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marco\Downloads\俞潔媽115.06.05~\收支月報表\"/>
    </mc:Choice>
  </mc:AlternateContent>
  <xr:revisionPtr revIDLastSave="0" documentId="13_ncr:1_{0D070B76-DBA4-4EF4-8435-7D931C6A2239}" xr6:coauthVersionLast="47" xr6:coauthVersionMax="47" xr10:uidLastSave="{00000000-0000-0000-0000-000000000000}"/>
  <bookViews>
    <workbookView xWindow="-98" yWindow="-98" windowWidth="21795" windowHeight="13875" firstSheet="3" activeTab="6" xr2:uid="{00000000-000D-0000-FFFF-FFFF00000000}"/>
  </bookViews>
  <sheets>
    <sheet name="一月收支月報表" sheetId="39" r:id="rId1"/>
    <sheet name="二月收支月報表" sheetId="40" r:id="rId2"/>
    <sheet name="三月收支月報表" sheetId="41" r:id="rId3"/>
    <sheet name="四月收支月報表" sheetId="42" r:id="rId4"/>
    <sheet name="五月收支月報表" sheetId="43" r:id="rId5"/>
    <sheet name="六月收支月報表" sheetId="51" r:id="rId6"/>
    <sheet name="七月收支月報表 " sheetId="50" r:id="rId7"/>
    <sheet name="八月收支月報表" sheetId="25" r:id="rId8"/>
    <sheet name="九月支收月報表" sheetId="46" r:id="rId9"/>
    <sheet name="十月支收月報表" sheetId="47" r:id="rId10"/>
    <sheet name="十一月支收月報表" sheetId="48" r:id="rId11"/>
    <sheet name="十二月支收月報表" sheetId="49" r:id="rId12"/>
  </sheets>
  <definedNames>
    <definedName name="_xlnm.Print_Area" localSheetId="6">'七月收支月報表 '!$A$1:$G$15</definedName>
    <definedName name="_xlnm.Print_Area" localSheetId="5">六月收支月報表!$A$1:$G$15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50" l="1"/>
  <c r="B15" i="50"/>
  <c r="B15" i="51"/>
</calcChain>
</file>

<file path=xl/sharedStrings.xml><?xml version="1.0" encoding="utf-8"?>
<sst xmlns="http://schemas.openxmlformats.org/spreadsheetml/2006/main" count="218" uniqueCount="53">
  <si>
    <t>薪資支出</t>
  </si>
  <si>
    <t>差旅費</t>
  </si>
  <si>
    <t>餐(宿)費</t>
  </si>
  <si>
    <t>訓練費（球）</t>
  </si>
  <si>
    <t>獎金</t>
    <phoneticPr fontId="2" type="noConversion"/>
  </si>
  <si>
    <t>其他費用</t>
  </si>
  <si>
    <t>餘額</t>
  </si>
  <si>
    <t>交通費</t>
    <phoneticPr fontId="1" type="noConversion"/>
  </si>
  <si>
    <t>電費</t>
    <phoneticPr fontId="1" type="noConversion"/>
  </si>
  <si>
    <t xml:space="preserve">    </t>
    <phoneticPr fontId="1" type="noConversion"/>
  </si>
  <si>
    <t>月費收入</t>
    <phoneticPr fontId="1" type="noConversion"/>
  </si>
  <si>
    <t>總收費人數</t>
    <phoneticPr fontId="1" type="noConversion"/>
  </si>
  <si>
    <t>其他收入</t>
    <phoneticPr fontId="1" type="noConversion"/>
  </si>
  <si>
    <t>前期餘額</t>
    <phoneticPr fontId="1" type="noConversion"/>
  </si>
  <si>
    <t xml:space="preserve"> </t>
    <phoneticPr fontId="1" type="noConversion"/>
  </si>
  <si>
    <t>暫付款</t>
    <phoneticPr fontId="1" type="noConversion"/>
  </si>
  <si>
    <r>
      <t>11</t>
    </r>
    <r>
      <rPr>
        <sz val="22"/>
        <color rgb="FF000000"/>
        <rFont val="細明體"/>
        <family val="3"/>
        <charset val="136"/>
      </rPr>
      <t>5</t>
    </r>
    <r>
      <rPr>
        <sz val="22"/>
        <color rgb="FF000000"/>
        <rFont val="楷體-簡 標準體"/>
        <charset val="134"/>
      </rPr>
      <t>年</t>
    </r>
    <r>
      <rPr>
        <sz val="22"/>
        <color rgb="FF000000"/>
        <rFont val="細明體"/>
        <family val="3"/>
        <charset val="136"/>
      </rPr>
      <t>12</t>
    </r>
    <r>
      <rPr>
        <sz val="22"/>
        <color rgb="FF000000"/>
        <rFont val="楷體-簡 標準體"/>
        <charset val="134"/>
      </rPr>
      <t>月份收支月報表</t>
    </r>
    <phoneticPr fontId="2" type="noConversion"/>
  </si>
  <si>
    <r>
      <t>11</t>
    </r>
    <r>
      <rPr>
        <sz val="22"/>
        <color rgb="FF000000"/>
        <rFont val="細明體"/>
        <family val="3"/>
        <charset val="136"/>
      </rPr>
      <t>5</t>
    </r>
    <r>
      <rPr>
        <sz val="22"/>
        <color rgb="FF000000"/>
        <rFont val="楷體-簡 標準體"/>
        <charset val="134"/>
      </rPr>
      <t>年</t>
    </r>
    <r>
      <rPr>
        <sz val="22"/>
        <color rgb="FF000000"/>
        <rFont val="細明體"/>
        <family val="3"/>
        <charset val="136"/>
      </rPr>
      <t>11</t>
    </r>
    <r>
      <rPr>
        <sz val="22"/>
        <color rgb="FF000000"/>
        <rFont val="楷體-簡 標準體"/>
        <charset val="134"/>
      </rPr>
      <t>月份收支月報表</t>
    </r>
    <phoneticPr fontId="2" type="noConversion"/>
  </si>
  <si>
    <r>
      <t>11</t>
    </r>
    <r>
      <rPr>
        <sz val="22"/>
        <color rgb="FF000000"/>
        <rFont val="細明體"/>
        <family val="3"/>
        <charset val="136"/>
      </rPr>
      <t>5</t>
    </r>
    <r>
      <rPr>
        <sz val="22"/>
        <color rgb="FF000000"/>
        <rFont val="楷體-簡 標準體"/>
        <charset val="134"/>
      </rPr>
      <t>年</t>
    </r>
    <r>
      <rPr>
        <sz val="22"/>
        <color rgb="FF000000"/>
        <rFont val="細明體"/>
        <family val="3"/>
        <charset val="136"/>
      </rPr>
      <t>10</t>
    </r>
    <r>
      <rPr>
        <sz val="22"/>
        <color rgb="FF000000"/>
        <rFont val="楷體-簡 標準體"/>
        <charset val="134"/>
      </rPr>
      <t>月份收支月報表</t>
    </r>
    <phoneticPr fontId="2" type="noConversion"/>
  </si>
  <si>
    <r>
      <t>11</t>
    </r>
    <r>
      <rPr>
        <sz val="22"/>
        <color rgb="FF000000"/>
        <rFont val="細明體"/>
        <family val="3"/>
        <charset val="136"/>
      </rPr>
      <t>5</t>
    </r>
    <r>
      <rPr>
        <sz val="22"/>
        <color rgb="FF000000"/>
        <rFont val="楷體-簡 標準體"/>
        <charset val="134"/>
      </rPr>
      <t>年</t>
    </r>
    <r>
      <rPr>
        <sz val="22"/>
        <color rgb="FF000000"/>
        <rFont val="細明體"/>
        <family val="3"/>
        <charset val="136"/>
      </rPr>
      <t>9</t>
    </r>
    <r>
      <rPr>
        <sz val="22"/>
        <color rgb="FF000000"/>
        <rFont val="楷體-簡 標準體"/>
        <charset val="134"/>
      </rPr>
      <t>月份收支月報表</t>
    </r>
    <phoneticPr fontId="2" type="noConversion"/>
  </si>
  <si>
    <r>
      <t>11</t>
    </r>
    <r>
      <rPr>
        <sz val="22"/>
        <color rgb="FF000000"/>
        <rFont val="細明體"/>
        <family val="3"/>
        <charset val="136"/>
      </rPr>
      <t>5</t>
    </r>
    <r>
      <rPr>
        <sz val="22"/>
        <color rgb="FF000000"/>
        <rFont val="楷體-簡 標準體"/>
        <charset val="134"/>
      </rPr>
      <t>年</t>
    </r>
    <r>
      <rPr>
        <sz val="22"/>
        <color rgb="FF000000"/>
        <rFont val="Microsoft JhengHei UI"/>
        <family val="2"/>
        <charset val="136"/>
      </rPr>
      <t>8</t>
    </r>
    <r>
      <rPr>
        <sz val="22"/>
        <color rgb="FF000000"/>
        <rFont val="楷體-簡 標準體"/>
        <charset val="134"/>
      </rPr>
      <t>月份收支月報表</t>
    </r>
    <phoneticPr fontId="2" type="noConversion"/>
  </si>
  <si>
    <r>
      <t>11</t>
    </r>
    <r>
      <rPr>
        <sz val="24"/>
        <color rgb="FF000000"/>
        <rFont val="細明體"/>
        <family val="3"/>
        <charset val="136"/>
      </rPr>
      <t>5</t>
    </r>
    <r>
      <rPr>
        <sz val="24"/>
        <color rgb="FF000000"/>
        <rFont val="楷體-簡 標準體"/>
        <charset val="134"/>
      </rPr>
      <t>年5月份收支月報表</t>
    </r>
    <phoneticPr fontId="2" type="noConversion"/>
  </si>
  <si>
    <r>
      <t>11</t>
    </r>
    <r>
      <rPr>
        <sz val="24"/>
        <color rgb="FF000000"/>
        <rFont val="細明體"/>
        <family val="3"/>
        <charset val="136"/>
      </rPr>
      <t>5</t>
    </r>
    <r>
      <rPr>
        <sz val="24"/>
        <color rgb="FF000000"/>
        <rFont val="楷體-簡 標準體"/>
        <charset val="134"/>
      </rPr>
      <t>年4月份收支月報表</t>
    </r>
    <phoneticPr fontId="2" type="noConversion"/>
  </si>
  <si>
    <r>
      <t>11</t>
    </r>
    <r>
      <rPr>
        <sz val="24"/>
        <color rgb="FF000000"/>
        <rFont val="細明體"/>
        <family val="3"/>
        <charset val="136"/>
      </rPr>
      <t>5</t>
    </r>
    <r>
      <rPr>
        <sz val="24"/>
        <color rgb="FF000000"/>
        <rFont val="楷體-簡 標準體"/>
        <charset val="134"/>
      </rPr>
      <t>年3月份收支月報表</t>
    </r>
    <phoneticPr fontId="2" type="noConversion"/>
  </si>
  <si>
    <r>
      <t>11</t>
    </r>
    <r>
      <rPr>
        <sz val="24"/>
        <color rgb="FF000000"/>
        <rFont val="細明體"/>
        <family val="3"/>
        <charset val="136"/>
      </rPr>
      <t>5</t>
    </r>
    <r>
      <rPr>
        <sz val="24"/>
        <color rgb="FF000000"/>
        <rFont val="楷體-簡 標準體"/>
        <charset val="134"/>
      </rPr>
      <t>年2月份收支月報表</t>
    </r>
    <phoneticPr fontId="2" type="noConversion"/>
  </si>
  <si>
    <r>
      <t>11</t>
    </r>
    <r>
      <rPr>
        <sz val="24"/>
        <color rgb="FF000000"/>
        <rFont val="細明體"/>
        <family val="3"/>
        <charset val="136"/>
      </rPr>
      <t>5</t>
    </r>
    <r>
      <rPr>
        <sz val="24"/>
        <color rgb="FF000000"/>
        <rFont val="楷體-簡 標準體"/>
        <charset val="134"/>
      </rPr>
      <t>年1月份收支月報表</t>
    </r>
    <phoneticPr fontId="2" type="noConversion"/>
  </si>
  <si>
    <t>衛生紙$365*2=730元 
收費帶$60*2=120元
慶生蛋糕$1400元
簡易醫療用品$294元</t>
    <phoneticPr fontId="1" type="noConversion"/>
  </si>
  <si>
    <t>會長(筠凱爸)贊助$700元</t>
    <phoneticPr fontId="1" type="noConversion"/>
  </si>
  <si>
    <t>支付教練1月份薪資(含匯費$105元)</t>
    <phoneticPr fontId="1" type="noConversion"/>
  </si>
  <si>
    <t>1月份80人 
寒訓57人</t>
    <phoneticPr fontId="1" type="noConversion"/>
  </si>
  <si>
    <t>教練團春節禮金$2000*5=10000元 
教練團春節禮盒$578*4=2312元</t>
    <phoneticPr fontId="1" type="noConversion"/>
  </si>
  <si>
    <t>會長(筠凱爸)贊助$600元</t>
    <phoneticPr fontId="1" type="noConversion"/>
  </si>
  <si>
    <t>支付教練2月份薪資(含匯費$105元)</t>
    <phoneticPr fontId="1" type="noConversion"/>
  </si>
  <si>
    <t>招生影印單$600元
慶生蛋糕$1400元</t>
    <phoneticPr fontId="1" type="noConversion"/>
  </si>
  <si>
    <t>支付教練3月份薪資(含匯費$90元)</t>
    <phoneticPr fontId="1" type="noConversion"/>
  </si>
  <si>
    <t>慶生蛋糕$1400元</t>
    <phoneticPr fontId="1" type="noConversion"/>
  </si>
  <si>
    <t>4/24~25日小運會餐費$2200元</t>
    <phoneticPr fontId="1" type="noConversion"/>
  </si>
  <si>
    <r>
      <rPr>
        <sz val="18"/>
        <color rgb="FF000000"/>
        <rFont val="標楷體"/>
        <family val="4"/>
        <charset val="136"/>
      </rPr>
      <t>支付教練</t>
    </r>
    <r>
      <rPr>
        <sz val="18"/>
        <color rgb="FF000000"/>
        <rFont val="Calibri"/>
        <family val="4"/>
      </rPr>
      <t>4</t>
    </r>
    <r>
      <rPr>
        <sz val="18"/>
        <color rgb="FF000000"/>
        <rFont val="標楷體"/>
        <family val="4"/>
        <charset val="136"/>
      </rPr>
      <t>月份薪資</t>
    </r>
    <r>
      <rPr>
        <sz val="18"/>
        <color rgb="FF000000"/>
        <rFont val="Calibri"/>
        <family val="4"/>
      </rPr>
      <t>(</t>
    </r>
    <r>
      <rPr>
        <sz val="18"/>
        <color rgb="FF000000"/>
        <rFont val="標楷體"/>
        <family val="4"/>
        <charset val="136"/>
      </rPr>
      <t>含匯費</t>
    </r>
    <r>
      <rPr>
        <sz val="18"/>
        <color rgb="FF000000"/>
        <rFont val="Calibri"/>
        <family val="4"/>
      </rPr>
      <t>$75</t>
    </r>
    <r>
      <rPr>
        <sz val="18"/>
        <color rgb="FF000000"/>
        <rFont val="標楷體"/>
        <family val="4"/>
        <charset val="136"/>
      </rPr>
      <t>元</t>
    </r>
    <r>
      <rPr>
        <sz val="18"/>
        <color rgb="FF000000"/>
        <rFont val="Calibri"/>
        <family val="4"/>
      </rPr>
      <t>)</t>
    </r>
    <phoneticPr fontId="1" type="noConversion"/>
  </si>
  <si>
    <t>4/30~5/3日自由盃團體賽教練4位$13765元</t>
    <phoneticPr fontId="1" type="noConversion"/>
  </si>
  <si>
    <t>小運會甲組女童第一名選手8名*100=800元獎勵金
小運會甲組男童第三名選手8名*100=800元獎勵金
小運會甲組女童第一名教練團獎金$5000元
115年自由盃11歲組女童團體賽第五名教練團獎金$4000元</t>
    <phoneticPr fontId="1" type="noConversion"/>
  </si>
  <si>
    <t xml:space="preserve">自由盃報名費$3000元
冷氣過濾棉網$490元
招生影印單$700元
4呎2w燈管$100*4=400元
畢業生花束禮袋紀念品$129元*6+購物袋$3元=777元
</t>
    <phoneticPr fontId="1" type="noConversion"/>
  </si>
  <si>
    <t>小運會午餐退費$400元
自由盃午餐退費$200元
會長(筠凱爸贊助$700元</t>
    <phoneticPr fontId="1" type="noConversion"/>
  </si>
  <si>
    <t>78</t>
    <phoneticPr fontId="1" type="noConversion"/>
  </si>
  <si>
    <r>
      <t>支付教練</t>
    </r>
    <r>
      <rPr>
        <sz val="22"/>
        <color rgb="FF000000"/>
        <rFont val="Calibri"/>
        <family val="4"/>
      </rPr>
      <t>5</t>
    </r>
    <r>
      <rPr>
        <sz val="22"/>
        <color rgb="FF000000"/>
        <rFont val="標楷體"/>
        <family val="4"/>
        <charset val="136"/>
      </rPr>
      <t>月份薪資</t>
    </r>
    <r>
      <rPr>
        <sz val="22"/>
        <color rgb="FF000000"/>
        <rFont val="Calibri"/>
        <family val="4"/>
      </rPr>
      <t>(</t>
    </r>
    <r>
      <rPr>
        <sz val="22"/>
        <color rgb="FF000000"/>
        <rFont val="標楷體"/>
        <family val="4"/>
        <charset val="136"/>
      </rPr>
      <t>含會費</t>
    </r>
    <r>
      <rPr>
        <sz val="22"/>
        <color rgb="FF000000"/>
        <rFont val="Calibri"/>
        <family val="4"/>
      </rPr>
      <t>$90</t>
    </r>
    <r>
      <rPr>
        <sz val="22"/>
        <color rgb="FF000000"/>
        <rFont val="標楷體"/>
        <family val="4"/>
        <charset val="136"/>
      </rPr>
      <t>元</t>
    </r>
    <r>
      <rPr>
        <sz val="22"/>
        <color rgb="FF000000"/>
        <rFont val="Calibri"/>
        <family val="4"/>
      </rPr>
      <t>)</t>
    </r>
    <phoneticPr fontId="1" type="noConversion"/>
  </si>
  <si>
    <t>4/30~5/3日自由盃團體賽教練4位餐費$4196元
4/30~5/3日自由盃團體賽教練4位住宿$14898元
自由盃選手12名*$300=3600元住宿補助</t>
    <phoneticPr fontId="1" type="noConversion"/>
  </si>
  <si>
    <t>銀行利息$1421元</t>
    <phoneticPr fontId="1" type="noConversion"/>
  </si>
  <si>
    <t>115年7月份收支月報表</t>
    <phoneticPr fontId="2" type="noConversion"/>
  </si>
  <si>
    <t>115年6月份收支月報表</t>
    <phoneticPr fontId="2" type="noConversion"/>
  </si>
  <si>
    <t>畢業餐會家長自付$5750元
小運會甲組女童獎金$6000元
會長(筠凱爸)贊助$200元
銀行利息$101元</t>
    <phoneticPr fontId="1" type="noConversion"/>
  </si>
  <si>
    <t>畢業餐會餐點$28610元
修繕耗品$617元
教練團端午節禮金$1000*7=7000元 
教練團端午節禮盒$360*2=720元
慶生蛋糕$1400元</t>
    <phoneticPr fontId="1" type="noConversion"/>
  </si>
  <si>
    <t>7/25~28日南區菁英賽交通費$10000元</t>
    <phoneticPr fontId="1" type="noConversion"/>
  </si>
  <si>
    <t>磁鐵$368元
立扇/鐵網$10400元
垃圾袋/延長線$1126元
衛生紙$630元
工具(T型長套筒)$128元</t>
    <phoneticPr fontId="1" type="noConversion"/>
  </si>
  <si>
    <t>7/25~28日南區菁英賽餐費$14960元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</si>
</sst>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39">
    <font>
      <sz val="10"/>
      <color indexed="8"/>
      <name val="Helvetica Neue"/>
      <family val="1"/>
      <charset val="136"/>
    </font>
    <font>
      <sz val="9"/>
      <name val="Helvetica Neue"/>
      <family val="1"/>
      <charset val="136"/>
    </font>
    <font>
      <sz val="9"/>
      <name val="細明體"/>
      <family val="3"/>
      <charset val="136"/>
    </font>
    <font>
      <sz val="10"/>
      <color indexed="8"/>
      <name val="細明體"/>
      <family val="3"/>
      <charset val="136"/>
    </font>
    <font>
      <b/>
      <sz val="16"/>
      <color indexed="8"/>
      <name val="標楷體"/>
      <family val="4"/>
      <charset val="136"/>
    </font>
    <font>
      <sz val="17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6"/>
      <color theme="1"/>
      <name val="標楷體"/>
      <family val="4"/>
      <charset val="136"/>
    </font>
    <font>
      <sz val="17"/>
      <name val="標楷體"/>
      <family val="4"/>
      <charset val="136"/>
    </font>
    <font>
      <sz val="22"/>
      <color rgb="FF000000"/>
      <name val="楷體-簡 標準體"/>
      <charset val="134"/>
    </font>
    <font>
      <sz val="22"/>
      <color indexed="8"/>
      <name val="楷體-簡 標準體"/>
      <charset val="134"/>
    </font>
    <font>
      <sz val="14"/>
      <color indexed="8"/>
      <name val="楷體-簡 標準體"/>
      <charset val="134"/>
    </font>
    <font>
      <sz val="16"/>
      <color rgb="FF000000"/>
      <name val="標楷體"/>
      <family val="4"/>
      <charset val="136"/>
    </font>
    <font>
      <sz val="22"/>
      <color rgb="FF000000"/>
      <name val="Microsoft JhengHei UI"/>
      <family val="2"/>
      <charset val="136"/>
    </font>
    <font>
      <sz val="22"/>
      <color rgb="FF000000"/>
      <name val="細明體"/>
      <family val="3"/>
      <charset val="136"/>
    </font>
    <font>
      <b/>
      <sz val="18"/>
      <color indexed="8"/>
      <name val="標楷體"/>
      <family val="4"/>
      <charset val="136"/>
    </font>
    <font>
      <sz val="24"/>
      <color rgb="FF000000"/>
      <name val="楷體-簡 標準體"/>
      <charset val="134"/>
    </font>
    <font>
      <sz val="24"/>
      <color rgb="FF000000"/>
      <name val="細明體"/>
      <family val="3"/>
      <charset val="136"/>
    </font>
    <font>
      <sz val="24"/>
      <color indexed="8"/>
      <name val="楷體-簡 標準體"/>
      <charset val="134"/>
    </font>
    <font>
      <b/>
      <sz val="20"/>
      <color indexed="8"/>
      <name val="標楷體"/>
      <family val="4"/>
      <charset val="136"/>
    </font>
    <font>
      <b/>
      <sz val="22"/>
      <color indexed="8"/>
      <name val="標楷體"/>
      <family val="4"/>
      <charset val="136"/>
    </font>
    <font>
      <sz val="22"/>
      <color indexed="8"/>
      <name val="標楷體"/>
      <family val="4"/>
      <charset val="136"/>
    </font>
    <font>
      <sz val="22"/>
      <color rgb="FFFF0000"/>
      <name val="標楷體"/>
      <family val="4"/>
      <charset val="136"/>
    </font>
    <font>
      <sz val="22"/>
      <name val="標楷體"/>
      <family val="4"/>
      <charset val="136"/>
    </font>
    <font>
      <sz val="20"/>
      <color indexed="8"/>
      <name val="標楷體"/>
      <family val="4"/>
      <charset val="136"/>
    </font>
    <font>
      <sz val="20"/>
      <color theme="1"/>
      <name val="標楷體"/>
      <family val="4"/>
      <charset val="136"/>
    </font>
    <font>
      <sz val="20"/>
      <color rgb="FF000000"/>
      <name val="標楷體"/>
      <family val="4"/>
      <charset val="136"/>
    </font>
    <font>
      <sz val="20"/>
      <color indexed="8"/>
      <name val="楷體-簡 標準體"/>
      <charset val="134"/>
    </font>
    <font>
      <sz val="22"/>
      <color rgb="FF000000"/>
      <name val="標楷體"/>
      <family val="4"/>
      <charset val="136"/>
    </font>
    <font>
      <sz val="20"/>
      <color rgb="FFFF0000"/>
      <name val="標楷體"/>
      <family val="4"/>
      <charset val="136"/>
    </font>
    <font>
      <sz val="20"/>
      <name val="標楷體"/>
      <family val="4"/>
      <charset val="136"/>
    </font>
    <font>
      <sz val="18"/>
      <color indexed="8"/>
      <name val="標楷體"/>
      <family val="4"/>
      <charset val="136"/>
    </font>
    <font>
      <sz val="18"/>
      <color theme="1"/>
      <name val="標楷體"/>
      <family val="4"/>
      <charset val="136"/>
    </font>
    <font>
      <sz val="18"/>
      <color rgb="FF000000"/>
      <name val="標楷體"/>
      <family val="4"/>
      <charset val="136"/>
    </font>
    <font>
      <sz val="18"/>
      <color indexed="8"/>
      <name val="楷體-簡 標準體"/>
      <charset val="134"/>
    </font>
    <font>
      <sz val="18"/>
      <color rgb="FF000000"/>
      <name val="Calibri"/>
      <family val="4"/>
    </font>
    <font>
      <sz val="22"/>
      <color theme="1"/>
      <name val="標楷體"/>
      <family val="4"/>
      <charset val="136"/>
    </font>
    <font>
      <sz val="22"/>
      <color rgb="FF000000"/>
      <name val="Calibri"/>
      <family val="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5">
    <xf numFmtId="0" fontId="0" fillId="0" borderId="0" xfId="0">
      <alignment vertical="top" wrapText="1"/>
    </xf>
    <xf numFmtId="0" fontId="3" fillId="0" borderId="0" xfId="0" applyNumberFormat="1" applyFont="1" applyFill="1">
      <alignment vertical="top" wrapText="1"/>
    </xf>
    <xf numFmtId="0" fontId="3" fillId="0" borderId="0" xfId="0" applyFont="1" applyFill="1">
      <alignment vertical="top" wrapText="1"/>
    </xf>
    <xf numFmtId="49" fontId="4" fillId="0" borderId="7" xfId="0" applyNumberFormat="1" applyFont="1" applyFill="1" applyBorder="1" applyAlignment="1">
      <alignment horizontal="distributed" vertical="center" wrapText="1"/>
    </xf>
    <xf numFmtId="49" fontId="4" fillId="0" borderId="7" xfId="0" applyNumberFormat="1" applyFont="1" applyFill="1" applyBorder="1" applyAlignment="1">
      <alignment horizontal="center" vertical="center" shrinkToFit="1"/>
    </xf>
    <xf numFmtId="49" fontId="4" fillId="0" borderId="10" xfId="0" applyNumberFormat="1" applyFont="1" applyFill="1" applyBorder="1" applyAlignment="1">
      <alignment horizontal="distributed" vertical="center" wrapText="1"/>
    </xf>
    <xf numFmtId="3" fontId="6" fillId="0" borderId="12" xfId="0" applyNumberFormat="1" applyFont="1" applyFill="1" applyBorder="1" applyAlignment="1">
      <alignment vertical="center" shrinkToFit="1"/>
    </xf>
    <xf numFmtId="49" fontId="4" fillId="0" borderId="7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right" vertical="center" wrapText="1"/>
    </xf>
    <xf numFmtId="176" fontId="5" fillId="0" borderId="11" xfId="0" applyNumberFormat="1" applyFont="1" applyFill="1" applyBorder="1" applyAlignment="1">
      <alignment horizontal="right" vertical="center" shrinkToFit="1"/>
    </xf>
    <xf numFmtId="176" fontId="5" fillId="0" borderId="1" xfId="0" applyNumberFormat="1" applyFont="1" applyFill="1" applyBorder="1" applyAlignment="1">
      <alignment horizontal="right" vertical="center" shrinkToFit="1"/>
    </xf>
    <xf numFmtId="0" fontId="6" fillId="0" borderId="18" xfId="0" applyFont="1" applyFill="1" applyBorder="1" applyAlignment="1">
      <alignment vertical="center" wrapText="1"/>
    </xf>
    <xf numFmtId="49" fontId="16" fillId="0" borderId="7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Fill="1" applyBorder="1" applyAlignment="1">
      <alignment horizontal="distributed" vertical="center" wrapText="1"/>
    </xf>
    <xf numFmtId="49" fontId="16" fillId="0" borderId="7" xfId="0" applyNumberFormat="1" applyFont="1" applyFill="1" applyBorder="1" applyAlignment="1">
      <alignment horizontal="center" vertical="center" shrinkToFit="1"/>
    </xf>
    <xf numFmtId="49" fontId="16" fillId="0" borderId="10" xfId="0" applyNumberFormat="1" applyFont="1" applyFill="1" applyBorder="1" applyAlignment="1">
      <alignment horizontal="distributed" vertical="center" wrapText="1"/>
    </xf>
    <xf numFmtId="49" fontId="20" fillId="0" borderId="7" xfId="0" applyNumberFormat="1" applyFont="1" applyFill="1" applyBorder="1" applyAlignment="1">
      <alignment horizontal="center" vertical="center" wrapText="1"/>
    </xf>
    <xf numFmtId="49" fontId="20" fillId="0" borderId="7" xfId="0" applyNumberFormat="1" applyFont="1" applyFill="1" applyBorder="1" applyAlignment="1">
      <alignment horizontal="distributed" vertical="center" wrapText="1"/>
    </xf>
    <xf numFmtId="49" fontId="20" fillId="0" borderId="7" xfId="0" applyNumberFormat="1" applyFont="1" applyFill="1" applyBorder="1" applyAlignment="1">
      <alignment horizontal="center" vertical="center" shrinkToFit="1"/>
    </xf>
    <xf numFmtId="49" fontId="20" fillId="0" borderId="10" xfId="0" applyNumberFormat="1" applyFont="1" applyFill="1" applyBorder="1" applyAlignment="1">
      <alignment horizontal="distributed" vertical="center" wrapText="1"/>
    </xf>
    <xf numFmtId="49" fontId="21" fillId="0" borderId="7" xfId="0" applyNumberFormat="1" applyFont="1" applyFill="1" applyBorder="1" applyAlignment="1">
      <alignment horizontal="distributed" vertical="center" wrapText="1"/>
    </xf>
    <xf numFmtId="49" fontId="21" fillId="0" borderId="7" xfId="0" applyNumberFormat="1" applyFont="1" applyFill="1" applyBorder="1" applyAlignment="1">
      <alignment horizontal="center" vertical="center" shrinkToFit="1"/>
    </xf>
    <xf numFmtId="49" fontId="21" fillId="0" borderId="10" xfId="0" applyNumberFormat="1" applyFont="1" applyFill="1" applyBorder="1" applyAlignment="1">
      <alignment horizontal="distributed" vertical="center" wrapText="1"/>
    </xf>
    <xf numFmtId="49" fontId="21" fillId="0" borderId="7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right" vertical="center" shrinkToFit="1"/>
    </xf>
    <xf numFmtId="176" fontId="24" fillId="0" borderId="1" xfId="0" applyNumberFormat="1" applyFont="1" applyFill="1" applyBorder="1" applyAlignment="1">
      <alignment horizontal="right" vertical="center" wrapText="1"/>
    </xf>
    <xf numFmtId="3" fontId="25" fillId="0" borderId="12" xfId="0" applyNumberFormat="1" applyFont="1" applyFill="1" applyBorder="1" applyAlignment="1">
      <alignment vertical="center" shrinkToFit="1"/>
    </xf>
    <xf numFmtId="176" fontId="22" fillId="0" borderId="1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176" fontId="22" fillId="0" borderId="11" xfId="0" applyNumberFormat="1" applyFont="1" applyFill="1" applyBorder="1" applyAlignment="1">
      <alignment horizontal="center" vertical="center" shrinkToFit="1"/>
    </xf>
    <xf numFmtId="176" fontId="25" fillId="0" borderId="1" xfId="0" applyNumberFormat="1" applyFont="1" applyFill="1" applyBorder="1" applyAlignment="1">
      <alignment horizontal="center" vertical="center" shrinkToFit="1"/>
    </xf>
    <xf numFmtId="176" fontId="30" fillId="0" borderId="1" xfId="0" applyNumberFormat="1" applyFont="1" applyFill="1" applyBorder="1" applyAlignment="1">
      <alignment horizontal="center" vertical="center" wrapText="1"/>
    </xf>
    <xf numFmtId="176" fontId="31" fillId="0" borderId="1" xfId="0" applyNumberFormat="1" applyFont="1" applyFill="1" applyBorder="1" applyAlignment="1">
      <alignment horizontal="center" vertical="center" wrapText="1"/>
    </xf>
    <xf numFmtId="176" fontId="25" fillId="0" borderId="11" xfId="0" applyNumberFormat="1" applyFont="1" applyFill="1" applyBorder="1" applyAlignment="1">
      <alignment horizontal="center" vertical="center" shrinkToFit="1"/>
    </xf>
    <xf numFmtId="176" fontId="24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3" fontId="32" fillId="0" borderId="12" xfId="0" applyNumberFormat="1" applyFont="1" applyFill="1" applyBorder="1" applyAlignment="1">
      <alignment horizontal="center" vertical="center" shrinkToFit="1"/>
    </xf>
    <xf numFmtId="0" fontId="25" fillId="0" borderId="1" xfId="0" applyNumberFormat="1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vertical="center" wrapText="1"/>
    </xf>
    <xf numFmtId="3" fontId="22" fillId="0" borderId="12" xfId="0" applyNumberFormat="1" applyFont="1" applyFill="1" applyBorder="1" applyAlignment="1">
      <alignment vertical="center" shrinkToFit="1"/>
    </xf>
    <xf numFmtId="49" fontId="21" fillId="0" borderId="1" xfId="0" applyNumberFormat="1" applyFont="1" applyFill="1" applyBorder="1" applyAlignment="1">
      <alignment horizontal="center" vertical="center" wrapText="1"/>
    </xf>
    <xf numFmtId="176" fontId="22" fillId="0" borderId="11" xfId="0" applyNumberFormat="1" applyFont="1" applyFill="1" applyBorder="1" applyAlignment="1">
      <alignment horizontal="right" vertical="center" shrinkToFit="1"/>
    </xf>
    <xf numFmtId="0" fontId="22" fillId="0" borderId="0" xfId="0" applyNumberFormat="1" applyFont="1" applyFill="1">
      <alignment vertical="top" wrapText="1"/>
    </xf>
    <xf numFmtId="0" fontId="22" fillId="0" borderId="0" xfId="0" applyFont="1" applyFill="1">
      <alignment vertical="top" wrapText="1"/>
    </xf>
    <xf numFmtId="176" fontId="23" fillId="0" borderId="1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Fill="1" applyBorder="1" applyAlignment="1">
      <alignment horizontal="right" vertical="center" shrinkToFit="1"/>
    </xf>
    <xf numFmtId="49" fontId="21" fillId="0" borderId="4" xfId="0" applyNumberFormat="1" applyFont="1" applyFill="1" applyBorder="1" applyAlignment="1">
      <alignment horizontal="center" vertical="center" wrapText="1"/>
    </xf>
    <xf numFmtId="176" fontId="22" fillId="0" borderId="5" xfId="0" applyNumberFormat="1" applyFont="1" applyFill="1" applyBorder="1" applyAlignment="1">
      <alignment horizontal="right" vertical="center" shrinkToFit="1"/>
    </xf>
    <xf numFmtId="0" fontId="22" fillId="0" borderId="12" xfId="0" applyFont="1" applyFill="1" applyBorder="1" applyAlignment="1">
      <alignment vertical="center" wrapText="1"/>
    </xf>
    <xf numFmtId="49" fontId="22" fillId="0" borderId="1" xfId="0" applyNumberFormat="1" applyFont="1" applyFill="1" applyBorder="1" applyAlignment="1">
      <alignment horizontal="left" vertical="center" wrapText="1" shrinkToFit="1"/>
    </xf>
    <xf numFmtId="0" fontId="22" fillId="0" borderId="3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49" fontId="29" fillId="0" borderId="2" xfId="0" applyNumberFormat="1" applyFont="1" applyFill="1" applyBorder="1" applyAlignment="1">
      <alignment horizontal="left" vertical="center" wrapText="1" shrinkToFit="1"/>
    </xf>
    <xf numFmtId="49" fontId="22" fillId="0" borderId="3" xfId="0" applyNumberFormat="1" applyFont="1" applyFill="1" applyBorder="1" applyAlignment="1">
      <alignment horizontal="left" vertical="center" wrapText="1" shrinkToFit="1"/>
    </xf>
    <xf numFmtId="49" fontId="22" fillId="0" borderId="9" xfId="0" applyNumberFormat="1" applyFont="1" applyFill="1" applyBorder="1" applyAlignment="1">
      <alignment horizontal="left" vertical="center" wrapText="1" shrinkToFit="1"/>
    </xf>
    <xf numFmtId="3" fontId="22" fillId="0" borderId="11" xfId="0" applyNumberFormat="1" applyFont="1" applyFill="1" applyBorder="1" applyAlignment="1">
      <alignment vertical="center" wrapText="1"/>
    </xf>
    <xf numFmtId="0" fontId="22" fillId="0" borderId="11" xfId="0" applyFont="1" applyFill="1" applyBorder="1" applyAlignment="1">
      <alignment vertical="center" wrapText="1"/>
    </xf>
    <xf numFmtId="49" fontId="22" fillId="0" borderId="1" xfId="0" applyNumberFormat="1" applyFont="1" applyFill="1" applyBorder="1" applyAlignment="1">
      <alignment vertical="center" wrapText="1" shrinkToFit="1"/>
    </xf>
    <xf numFmtId="0" fontId="22" fillId="0" borderId="1" xfId="0" applyFont="1" applyFill="1" applyBorder="1" applyAlignment="1">
      <alignment vertical="center" wrapText="1" shrinkToFit="1"/>
    </xf>
    <xf numFmtId="0" fontId="22" fillId="0" borderId="8" xfId="0" applyFont="1" applyFill="1" applyBorder="1" applyAlignment="1">
      <alignment vertical="center" wrapText="1" shrinkToFit="1"/>
    </xf>
    <xf numFmtId="49" fontId="37" fillId="0" borderId="2" xfId="0" applyNumberFormat="1" applyFont="1" applyFill="1" applyBorder="1" applyAlignment="1">
      <alignment horizontal="left" vertical="center" wrapText="1" shrinkToFit="1"/>
    </xf>
    <xf numFmtId="0" fontId="37" fillId="0" borderId="3" xfId="0" applyFont="1" applyFill="1" applyBorder="1" applyAlignment="1">
      <alignment horizontal="left" vertical="center" wrapText="1" shrinkToFit="1"/>
    </xf>
    <xf numFmtId="0" fontId="37" fillId="0" borderId="9" xfId="0" applyFont="1" applyFill="1" applyBorder="1" applyAlignment="1">
      <alignment horizontal="left" vertical="center" wrapText="1" shrinkToFit="1"/>
    </xf>
    <xf numFmtId="3" fontId="22" fillId="0" borderId="1" xfId="0" applyNumberFormat="1" applyFont="1" applyFill="1" applyBorder="1" applyAlignment="1">
      <alignment horizontal="left" vertical="center" wrapText="1"/>
    </xf>
    <xf numFmtId="3" fontId="22" fillId="0" borderId="8" xfId="0" applyNumberFormat="1" applyFont="1" applyFill="1" applyBorder="1" applyAlignment="1">
      <alignment horizontal="left" vertical="center" wrapText="1"/>
    </xf>
    <xf numFmtId="49" fontId="22" fillId="0" borderId="2" xfId="0" applyNumberFormat="1" applyFont="1" applyFill="1" applyBorder="1" applyAlignment="1">
      <alignment horizontal="left" vertical="center" wrapText="1" shrinkToFit="1"/>
    </xf>
    <xf numFmtId="0" fontId="22" fillId="0" borderId="3" xfId="0" applyFont="1" applyBorder="1" applyAlignment="1">
      <alignment horizontal="left" vertical="center" wrapText="1" shrinkToFit="1"/>
    </xf>
    <xf numFmtId="0" fontId="22" fillId="0" borderId="9" xfId="0" applyFont="1" applyBorder="1" applyAlignment="1">
      <alignment horizontal="left" vertical="center" wrapText="1" shrinkToFit="1"/>
    </xf>
    <xf numFmtId="0" fontId="22" fillId="0" borderId="3" xfId="0" applyFont="1" applyFill="1" applyBorder="1" applyAlignment="1">
      <alignment horizontal="left" vertical="center" wrapText="1" shrinkToFit="1"/>
    </xf>
    <xf numFmtId="0" fontId="22" fillId="0" borderId="9" xfId="0" applyFont="1" applyFill="1" applyBorder="1" applyAlignment="1">
      <alignment horizontal="left" vertical="center" wrapText="1" shrinkToFit="1"/>
    </xf>
    <xf numFmtId="49" fontId="29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22" fillId="0" borderId="17" xfId="0" applyNumberFormat="1" applyFont="1" applyFill="1" applyBorder="1" applyAlignment="1">
      <alignment horizontal="left" vertical="center" wrapText="1"/>
    </xf>
    <xf numFmtId="3" fontId="22" fillId="0" borderId="25" xfId="0" applyNumberFormat="1" applyFont="1" applyFill="1" applyBorder="1" applyAlignment="1">
      <alignment horizontal="left" vertical="center" wrapText="1"/>
    </xf>
    <xf numFmtId="3" fontId="22" fillId="0" borderId="26" xfId="0" applyNumberFormat="1" applyFont="1" applyFill="1" applyBorder="1" applyAlignment="1">
      <alignment horizontal="left" vertical="center" wrapText="1"/>
    </xf>
    <xf numFmtId="3" fontId="22" fillId="0" borderId="2" xfId="0" applyNumberFormat="1" applyFont="1" applyFill="1" applyBorder="1" applyAlignment="1">
      <alignment horizontal="left" vertical="center" wrapText="1"/>
    </xf>
    <xf numFmtId="3" fontId="22" fillId="0" borderId="3" xfId="0" applyNumberFormat="1" applyFont="1" applyFill="1" applyBorder="1" applyAlignment="1">
      <alignment horizontal="left" vertical="center" wrapText="1"/>
    </xf>
    <xf numFmtId="3" fontId="22" fillId="0" borderId="9" xfId="0" applyNumberFormat="1" applyFont="1" applyFill="1" applyBorder="1" applyAlignment="1">
      <alignment horizontal="left" vertical="center" wrapText="1"/>
    </xf>
    <xf numFmtId="49" fontId="27" fillId="0" borderId="2" xfId="0" applyNumberFormat="1" applyFont="1" applyFill="1" applyBorder="1" applyAlignment="1">
      <alignment horizontal="left" vertical="center" wrapText="1" shrinkToFit="1"/>
    </xf>
    <xf numFmtId="49" fontId="25" fillId="0" borderId="3" xfId="0" applyNumberFormat="1" applyFont="1" applyFill="1" applyBorder="1" applyAlignment="1">
      <alignment horizontal="left" vertical="center" wrapText="1" shrinkToFit="1"/>
    </xf>
    <xf numFmtId="49" fontId="25" fillId="0" borderId="9" xfId="0" applyNumberFormat="1" applyFont="1" applyFill="1" applyBorder="1" applyAlignment="1">
      <alignment horizontal="left" vertical="center" wrapText="1" shrinkToFit="1"/>
    </xf>
    <xf numFmtId="3" fontId="25" fillId="0" borderId="11" xfId="0" applyNumberFormat="1" applyFont="1" applyFill="1" applyBorder="1" applyAlignment="1">
      <alignment vertical="center" wrapText="1"/>
    </xf>
    <xf numFmtId="0" fontId="25" fillId="0" borderId="11" xfId="0" applyFont="1" applyFill="1" applyBorder="1" applyAlignment="1">
      <alignment vertical="center" wrapText="1"/>
    </xf>
    <xf numFmtId="49" fontId="26" fillId="0" borderId="2" xfId="0" applyNumberFormat="1" applyFont="1" applyFill="1" applyBorder="1" applyAlignment="1">
      <alignment horizontal="left" vertical="center" wrapText="1" shrinkToFit="1"/>
    </xf>
    <xf numFmtId="0" fontId="26" fillId="0" borderId="3" xfId="0" applyFont="1" applyFill="1" applyBorder="1" applyAlignment="1">
      <alignment horizontal="left" vertical="center" wrapText="1" shrinkToFit="1"/>
    </xf>
    <xf numFmtId="0" fontId="26" fillId="0" borderId="9" xfId="0" applyFont="1" applyFill="1" applyBorder="1" applyAlignment="1">
      <alignment horizontal="left" vertical="center" wrapText="1" shrinkToFit="1"/>
    </xf>
    <xf numFmtId="0" fontId="26" fillId="0" borderId="3" xfId="0" applyFont="1" applyBorder="1" applyAlignment="1">
      <alignment horizontal="left" vertical="center" wrapText="1" shrinkToFit="1"/>
    </xf>
    <xf numFmtId="0" fontId="26" fillId="0" borderId="9" xfId="0" applyFont="1" applyBorder="1" applyAlignment="1">
      <alignment horizontal="left" vertical="center" wrapText="1" shrinkToFit="1"/>
    </xf>
    <xf numFmtId="49" fontId="28" fillId="0" borderId="3" xfId="0" applyNumberFormat="1" applyFont="1" applyFill="1" applyBorder="1" applyAlignment="1">
      <alignment horizontal="left" vertical="center" wrapText="1" shrinkToFit="1"/>
    </xf>
    <xf numFmtId="49" fontId="28" fillId="0" borderId="9" xfId="0" applyNumberFormat="1" applyFont="1" applyFill="1" applyBorder="1" applyAlignment="1">
      <alignment horizontal="left" vertical="center" wrapText="1" shrinkToFit="1"/>
    </xf>
    <xf numFmtId="49" fontId="25" fillId="0" borderId="2" xfId="0" applyNumberFormat="1" applyFont="1" applyFill="1" applyBorder="1" applyAlignment="1">
      <alignment horizontal="left" vertical="center" wrapText="1" shrinkToFit="1"/>
    </xf>
    <xf numFmtId="0" fontId="25" fillId="0" borderId="3" xfId="0" applyFont="1" applyBorder="1" applyAlignment="1">
      <alignment horizontal="left" vertical="center" wrapText="1" shrinkToFit="1"/>
    </xf>
    <xf numFmtId="0" fontId="25" fillId="0" borderId="9" xfId="0" applyFont="1" applyBorder="1" applyAlignment="1">
      <alignment horizontal="left" vertical="center" wrapText="1" shrinkToFit="1"/>
    </xf>
    <xf numFmtId="49" fontId="25" fillId="0" borderId="1" xfId="0" applyNumberFormat="1" applyFont="1" applyFill="1" applyBorder="1" applyAlignment="1">
      <alignment horizontal="left" vertical="center" wrapText="1" shrinkToFit="1"/>
    </xf>
    <xf numFmtId="0" fontId="25" fillId="0" borderId="3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49" fontId="25" fillId="0" borderId="1" xfId="0" applyNumberFormat="1" applyFont="1" applyFill="1" applyBorder="1" applyAlignment="1">
      <alignment vertical="center" wrapText="1" shrinkToFit="1"/>
    </xf>
    <xf numFmtId="0" fontId="25" fillId="0" borderId="1" xfId="0" applyFont="1" applyFill="1" applyBorder="1" applyAlignment="1">
      <alignment vertical="center" wrapText="1" shrinkToFit="1"/>
    </xf>
    <xf numFmtId="0" fontId="25" fillId="0" borderId="8" xfId="0" applyFont="1" applyFill="1" applyBorder="1" applyAlignment="1">
      <alignment vertical="center" wrapText="1" shrinkToFit="1"/>
    </xf>
    <xf numFmtId="49" fontId="17" fillId="0" borderId="4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3" fontId="25" fillId="0" borderId="2" xfId="0" applyNumberFormat="1" applyFont="1" applyFill="1" applyBorder="1" applyAlignment="1">
      <alignment horizontal="left" vertical="center" wrapText="1"/>
    </xf>
    <xf numFmtId="3" fontId="25" fillId="0" borderId="3" xfId="0" applyNumberFormat="1" applyFont="1" applyFill="1" applyBorder="1" applyAlignment="1">
      <alignment horizontal="left" vertical="center" wrapText="1"/>
    </xf>
    <xf numFmtId="3" fontId="25" fillId="0" borderId="9" xfId="0" applyNumberFormat="1" applyFont="1" applyFill="1" applyBorder="1" applyAlignment="1">
      <alignment horizontal="left" vertical="center" wrapText="1"/>
    </xf>
    <xf numFmtId="3" fontId="25" fillId="0" borderId="1" xfId="0" applyNumberFormat="1" applyFont="1" applyFill="1" applyBorder="1" applyAlignment="1">
      <alignment horizontal="left" vertical="center" wrapText="1"/>
    </xf>
    <xf numFmtId="3" fontId="25" fillId="0" borderId="8" xfId="0" applyNumberFormat="1" applyFont="1" applyFill="1" applyBorder="1" applyAlignment="1">
      <alignment horizontal="left" vertical="center" wrapText="1"/>
    </xf>
    <xf numFmtId="49" fontId="20" fillId="0" borderId="2" xfId="0" applyNumberFormat="1" applyFont="1" applyFill="1" applyBorder="1" applyAlignment="1">
      <alignment horizontal="left" vertical="center" wrapText="1"/>
    </xf>
    <xf numFmtId="49" fontId="20" fillId="0" borderId="3" xfId="0" applyNumberFormat="1" applyFont="1" applyFill="1" applyBorder="1" applyAlignment="1">
      <alignment horizontal="left" vertical="center" wrapText="1"/>
    </xf>
    <xf numFmtId="49" fontId="20" fillId="0" borderId="9" xfId="0" applyNumberFormat="1" applyFont="1" applyFill="1" applyBorder="1" applyAlignment="1">
      <alignment horizontal="left" vertical="center" wrapText="1"/>
    </xf>
    <xf numFmtId="49" fontId="21" fillId="0" borderId="13" xfId="0" applyNumberFormat="1" applyFont="1" applyFill="1" applyBorder="1" applyAlignment="1">
      <alignment horizontal="center" vertical="center" wrapText="1"/>
    </xf>
    <xf numFmtId="49" fontId="21" fillId="0" borderId="14" xfId="0" applyNumberFormat="1" applyFont="1" applyFill="1" applyBorder="1" applyAlignment="1">
      <alignment horizontal="center" vertical="center" wrapText="1"/>
    </xf>
    <xf numFmtId="0" fontId="25" fillId="0" borderId="15" xfId="0" applyNumberFormat="1" applyFont="1" applyFill="1" applyBorder="1" applyAlignment="1">
      <alignment horizontal="center" vertical="center" wrapText="1"/>
    </xf>
    <xf numFmtId="0" fontId="25" fillId="0" borderId="16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49" fontId="20" fillId="0" borderId="21" xfId="0" applyNumberFormat="1" applyFont="1" applyFill="1" applyBorder="1" applyAlignment="1">
      <alignment horizontal="center" vertical="center" wrapText="1"/>
    </xf>
    <xf numFmtId="49" fontId="20" fillId="0" borderId="22" xfId="0" applyNumberFormat="1" applyFont="1" applyFill="1" applyBorder="1" applyAlignment="1">
      <alignment horizontal="center" vertical="center" wrapText="1"/>
    </xf>
    <xf numFmtId="49" fontId="20" fillId="0" borderId="23" xfId="0" applyNumberFormat="1" applyFont="1" applyFill="1" applyBorder="1" applyAlignment="1">
      <alignment horizontal="center" vertical="center" wrapText="1"/>
    </xf>
    <xf numFmtId="49" fontId="20" fillId="0" borderId="24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left" vertical="center" wrapText="1"/>
    </xf>
    <xf numFmtId="3" fontId="5" fillId="0" borderId="3" xfId="0" applyNumberFormat="1" applyFont="1" applyFill="1" applyBorder="1" applyAlignment="1">
      <alignment horizontal="left" vertical="center" wrapText="1"/>
    </xf>
    <xf numFmtId="3" fontId="5" fillId="0" borderId="9" xfId="0" applyNumberFormat="1" applyFont="1" applyFill="1" applyBorder="1" applyAlignment="1">
      <alignment horizontal="left" vertical="center" wrapText="1"/>
    </xf>
    <xf numFmtId="3" fontId="6" fillId="0" borderId="11" xfId="0" applyNumberFormat="1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vertical="center" wrapText="1" shrinkToFit="1"/>
    </xf>
    <xf numFmtId="0" fontId="7" fillId="0" borderId="1" xfId="0" applyFont="1" applyFill="1" applyBorder="1" applyAlignment="1">
      <alignment vertical="center" wrapText="1" shrinkToFit="1"/>
    </xf>
    <xf numFmtId="0" fontId="7" fillId="0" borderId="8" xfId="0" applyFont="1" applyFill="1" applyBorder="1" applyAlignment="1">
      <alignment vertical="center" wrapText="1" shrinkToFit="1"/>
    </xf>
    <xf numFmtId="49" fontId="8" fillId="0" borderId="2" xfId="0" applyNumberFormat="1" applyFont="1" applyFill="1" applyBorder="1" applyAlignment="1">
      <alignment horizontal="left" vertical="center" wrapText="1" shrinkToFit="1"/>
    </xf>
    <xf numFmtId="0" fontId="8" fillId="0" borderId="3" xfId="0" applyFont="1" applyFill="1" applyBorder="1" applyAlignment="1">
      <alignment horizontal="left" vertical="center" wrapText="1" shrinkToFit="1"/>
    </xf>
    <xf numFmtId="0" fontId="8" fillId="0" borderId="9" xfId="0" applyFont="1" applyFill="1" applyBorder="1" applyAlignment="1">
      <alignment horizontal="left" vertical="center" wrapText="1" shrinkToFit="1"/>
    </xf>
    <xf numFmtId="0" fontId="8" fillId="0" borderId="3" xfId="0" applyFont="1" applyBorder="1" applyAlignment="1">
      <alignment horizontal="left" vertical="center" wrapText="1" shrinkToFit="1"/>
    </xf>
    <xf numFmtId="0" fontId="8" fillId="0" borderId="9" xfId="0" applyFont="1" applyBorder="1" applyAlignment="1">
      <alignment horizontal="left" vertical="center" wrapText="1" shrinkToFit="1"/>
    </xf>
    <xf numFmtId="49" fontId="13" fillId="0" borderId="2" xfId="0" applyNumberFormat="1" applyFont="1" applyFill="1" applyBorder="1" applyAlignment="1">
      <alignment horizontal="left" vertical="center" wrapText="1" shrinkToFit="1"/>
    </xf>
    <xf numFmtId="49" fontId="12" fillId="0" borderId="3" xfId="0" applyNumberFormat="1" applyFont="1" applyFill="1" applyBorder="1" applyAlignment="1">
      <alignment horizontal="left" vertical="center" wrapText="1" shrinkToFit="1"/>
    </xf>
    <xf numFmtId="49" fontId="12" fillId="0" borderId="9" xfId="0" applyNumberFormat="1" applyFont="1" applyFill="1" applyBorder="1" applyAlignment="1">
      <alignment horizontal="left" vertical="center" wrapText="1" shrinkToFit="1"/>
    </xf>
    <xf numFmtId="49" fontId="6" fillId="0" borderId="2" xfId="0" applyNumberFormat="1" applyFont="1" applyFill="1" applyBorder="1" applyAlignment="1">
      <alignment horizontal="left" vertical="center" wrapText="1" shrinkToFit="1"/>
    </xf>
    <xf numFmtId="0" fontId="6" fillId="0" borderId="3" xfId="0" applyFont="1" applyBorder="1" applyAlignment="1">
      <alignment horizontal="left" vertical="center" wrapText="1" shrinkToFit="1"/>
    </xf>
    <xf numFmtId="0" fontId="6" fillId="0" borderId="9" xfId="0" applyFont="1" applyBorder="1" applyAlignment="1">
      <alignment horizontal="left" vertical="center" wrapText="1" shrinkToFit="1"/>
    </xf>
    <xf numFmtId="49" fontId="6" fillId="0" borderId="1" xfId="0" applyNumberFormat="1" applyFont="1" applyFill="1" applyBorder="1" applyAlignment="1">
      <alignment horizontal="left" vertical="center" wrapText="1" shrinkToFi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49" fontId="34" fillId="0" borderId="2" xfId="0" applyNumberFormat="1" applyFont="1" applyFill="1" applyBorder="1" applyAlignment="1">
      <alignment horizontal="left" vertical="center" wrapText="1" shrinkToFit="1"/>
    </xf>
    <xf numFmtId="49" fontId="32" fillId="0" borderId="3" xfId="0" applyNumberFormat="1" applyFont="1" applyFill="1" applyBorder="1" applyAlignment="1">
      <alignment horizontal="left" vertical="center" wrapText="1" shrinkToFit="1"/>
    </xf>
    <xf numFmtId="49" fontId="32" fillId="0" borderId="9" xfId="0" applyNumberFormat="1" applyFont="1" applyFill="1" applyBorder="1" applyAlignment="1">
      <alignment horizontal="left" vertical="center" wrapText="1" shrinkToFit="1"/>
    </xf>
    <xf numFmtId="3" fontId="32" fillId="0" borderId="11" xfId="0" applyNumberFormat="1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49" fontId="33" fillId="0" borderId="2" xfId="0" applyNumberFormat="1" applyFont="1" applyFill="1" applyBorder="1" applyAlignment="1">
      <alignment horizontal="left" vertical="center" wrapText="1" shrinkToFit="1"/>
    </xf>
    <xf numFmtId="0" fontId="33" fillId="0" borderId="3" xfId="0" applyFont="1" applyFill="1" applyBorder="1" applyAlignment="1">
      <alignment horizontal="left" vertical="center" wrapText="1" shrinkToFit="1"/>
    </xf>
    <xf numFmtId="0" fontId="33" fillId="0" borderId="9" xfId="0" applyFont="1" applyFill="1" applyBorder="1" applyAlignment="1">
      <alignment horizontal="left" vertical="center" wrapText="1" shrinkToFit="1"/>
    </xf>
    <xf numFmtId="49" fontId="33" fillId="0" borderId="2" xfId="0" applyNumberFormat="1" applyFont="1" applyFill="1" applyBorder="1" applyAlignment="1">
      <alignment horizontal="center" vertical="center" wrapText="1" shrinkToFit="1"/>
    </xf>
    <xf numFmtId="0" fontId="33" fillId="0" borderId="3" xfId="0" applyFont="1" applyBorder="1" applyAlignment="1">
      <alignment horizontal="center" vertical="center" wrapText="1" shrinkToFit="1"/>
    </xf>
    <xf numFmtId="0" fontId="33" fillId="0" borderId="9" xfId="0" applyFont="1" applyBorder="1" applyAlignment="1">
      <alignment horizontal="center" vertical="center" wrapText="1" shrinkToFit="1"/>
    </xf>
    <xf numFmtId="49" fontId="34" fillId="0" borderId="2" xfId="0" applyNumberFormat="1" applyFont="1" applyFill="1" applyBorder="1" applyAlignment="1">
      <alignment horizontal="center" vertical="center" wrapText="1" shrinkToFit="1"/>
    </xf>
    <xf numFmtId="49" fontId="35" fillId="0" borderId="3" xfId="0" applyNumberFormat="1" applyFont="1" applyFill="1" applyBorder="1" applyAlignment="1">
      <alignment horizontal="center" vertical="center" wrapText="1" shrinkToFit="1"/>
    </xf>
    <xf numFmtId="49" fontId="35" fillId="0" borderId="9" xfId="0" applyNumberFormat="1" applyFont="1" applyFill="1" applyBorder="1" applyAlignment="1">
      <alignment horizontal="center" vertical="center" wrapText="1" shrinkToFit="1"/>
    </xf>
    <xf numFmtId="49" fontId="32" fillId="0" borderId="2" xfId="0" applyNumberFormat="1" applyFont="1" applyFill="1" applyBorder="1" applyAlignment="1">
      <alignment horizontal="center" vertical="center" wrapText="1" shrinkToFit="1"/>
    </xf>
    <xf numFmtId="0" fontId="32" fillId="0" borderId="3" xfId="0" applyFont="1" applyBorder="1" applyAlignment="1">
      <alignment horizontal="center" vertical="center" wrapText="1" shrinkToFit="1"/>
    </xf>
    <xf numFmtId="0" fontId="32" fillId="0" borderId="9" xfId="0" applyFont="1" applyBorder="1" applyAlignment="1">
      <alignment horizontal="center" vertical="center" wrapText="1" shrinkToFit="1"/>
    </xf>
    <xf numFmtId="49" fontId="32" fillId="0" borderId="1" xfId="0" applyNumberFormat="1" applyFont="1" applyFill="1" applyBorder="1" applyAlignment="1">
      <alignment horizontal="center" vertical="center" wrapText="1" shrinkToFit="1"/>
    </xf>
    <xf numFmtId="0" fontId="32" fillId="0" borderId="3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 shrinkToFit="1"/>
    </xf>
    <xf numFmtId="0" fontId="32" fillId="0" borderId="8" xfId="0" applyFont="1" applyFill="1" applyBorder="1" applyAlignment="1">
      <alignment horizontal="center" vertical="center" wrapText="1" shrinkToFit="1"/>
    </xf>
    <xf numFmtId="3" fontId="32" fillId="0" borderId="2" xfId="0" applyNumberFormat="1" applyFont="1" applyFill="1" applyBorder="1" applyAlignment="1">
      <alignment horizontal="center" vertical="center" wrapText="1"/>
    </xf>
    <xf numFmtId="3" fontId="32" fillId="0" borderId="3" xfId="0" applyNumberFormat="1" applyFont="1" applyFill="1" applyBorder="1" applyAlignment="1">
      <alignment horizontal="center" vertical="center" wrapText="1"/>
    </xf>
    <xf numFmtId="3" fontId="32" fillId="0" borderId="9" xfId="0" applyNumberFormat="1" applyFont="1" applyFill="1" applyBorder="1" applyAlignment="1">
      <alignment horizontal="center" vertical="center" wrapText="1"/>
    </xf>
    <xf numFmtId="3" fontId="32" fillId="0" borderId="1" xfId="0" applyNumberFormat="1" applyFont="1" applyFill="1" applyBorder="1" applyAlignment="1">
      <alignment horizontal="center" vertical="center" wrapText="1"/>
    </xf>
    <xf numFmtId="3" fontId="32" fillId="0" borderId="8" xfId="0" applyNumberFormat="1" applyFont="1" applyFill="1" applyBorder="1" applyAlignment="1">
      <alignment horizontal="center" vertical="center" wrapText="1"/>
    </xf>
    <xf numFmtId="3" fontId="34" fillId="0" borderId="1" xfId="0" applyNumberFormat="1" applyFont="1" applyFill="1" applyBorder="1" applyAlignment="1">
      <alignment horizontal="left" vertical="center" wrapText="1"/>
    </xf>
    <xf numFmtId="3" fontId="32" fillId="0" borderId="1" xfId="0" applyNumberFormat="1" applyFont="1" applyFill="1" applyBorder="1" applyAlignment="1">
      <alignment horizontal="left" vertical="center" wrapText="1"/>
    </xf>
    <xf numFmtId="3" fontId="32" fillId="0" borderId="8" xfId="0" applyNumberFormat="1" applyFont="1" applyFill="1" applyBorder="1" applyAlignment="1">
      <alignment horizontal="left" vertical="center" wrapText="1"/>
    </xf>
    <xf numFmtId="49" fontId="16" fillId="0" borderId="2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49" fontId="16" fillId="0" borderId="9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vertical="center" wrapText="1" shrinkToFit="1"/>
    </xf>
    <xf numFmtId="0" fontId="19" fillId="0" borderId="17" xfId="0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>
      <alignment horizontal="left" vertical="center" wrapText="1"/>
    </xf>
    <xf numFmtId="49" fontId="11" fillId="0" borderId="3" xfId="0" applyNumberFormat="1" applyFont="1" applyFill="1" applyBorder="1" applyAlignment="1">
      <alignment horizontal="left" vertical="center" wrapText="1" shrinkToFit="1"/>
    </xf>
    <xf numFmtId="49" fontId="11" fillId="0" borderId="9" xfId="0" applyNumberFormat="1" applyFont="1" applyFill="1" applyBorder="1" applyAlignment="1">
      <alignment horizontal="left" vertical="center" wrapText="1" shrinkToFit="1"/>
    </xf>
    <xf numFmtId="3" fontId="5" fillId="0" borderId="1" xfId="0" applyNumberFormat="1" applyFont="1" applyFill="1" applyBorder="1" applyAlignment="1">
      <alignment horizontal="left" vertical="center" wrapText="1"/>
    </xf>
    <xf numFmtId="3" fontId="5" fillId="0" borderId="8" xfId="0" applyNumberFormat="1" applyFont="1" applyFill="1" applyBorder="1" applyAlignment="1">
      <alignment horizontal="left" vertical="center" wrapText="1"/>
    </xf>
    <xf numFmtId="49" fontId="10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left" vertical="center" wrapText="1" shrinkToFit="1"/>
    </xf>
    <xf numFmtId="49" fontId="6" fillId="0" borderId="9" xfId="0" applyNumberFormat="1" applyFont="1" applyFill="1" applyBorder="1" applyAlignment="1">
      <alignment horizontal="left" vertical="center" wrapText="1" shrinkToFit="1"/>
    </xf>
    <xf numFmtId="0" fontId="7" fillId="0" borderId="2" xfId="0" applyFont="1" applyFill="1" applyBorder="1" applyAlignment="1">
      <alignment vertical="center" wrapText="1" shrinkToFit="1"/>
    </xf>
    <xf numFmtId="0" fontId="6" fillId="0" borderId="3" xfId="0" applyFont="1" applyFill="1" applyBorder="1" applyAlignment="1">
      <alignment horizontal="left" vertical="center" wrapText="1" shrinkToFit="1"/>
    </xf>
    <xf numFmtId="0" fontId="6" fillId="0" borderId="9" xfId="0" applyFont="1" applyFill="1" applyBorder="1" applyAlignment="1">
      <alignment horizontal="left" vertical="center" wrapText="1" shrinkToFi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2CF6-F8BA-48CF-875D-36D3883554A7}">
  <sheetPr>
    <pageSetUpPr fitToPage="1"/>
  </sheetPr>
  <dimension ref="A1:IV18"/>
  <sheetViews>
    <sheetView showGridLines="0" showRuler="0" zoomScale="72" zoomScaleNormal="72" zoomScalePageLayoutView="130" workbookViewId="0">
      <selection activeCell="C13" sqref="C13:G13"/>
    </sheetView>
  </sheetViews>
  <sheetFormatPr defaultColWidth="16.35546875" defaultRowHeight="27" customHeight="1"/>
  <cols>
    <col min="1" max="1" width="19.640625" style="1" customWidth="1"/>
    <col min="2" max="2" width="28.2109375" style="1" customWidth="1"/>
    <col min="3" max="6" width="16.35546875" style="1" customWidth="1"/>
    <col min="7" max="7" width="67.78515625" style="1" customWidth="1"/>
    <col min="8" max="8" width="16.35546875" style="1" customWidth="1"/>
    <col min="9" max="9" width="16.140625" style="1" bestFit="1" customWidth="1"/>
    <col min="10" max="256" width="16.35546875" style="1" customWidth="1"/>
    <col min="257" max="16384" width="16.35546875" style="2"/>
  </cols>
  <sheetData>
    <row r="1" spans="1:7" s="1" customFormat="1" ht="57.75" customHeight="1">
      <c r="A1" s="100" t="s">
        <v>25</v>
      </c>
      <c r="B1" s="101"/>
      <c r="C1" s="101"/>
      <c r="D1" s="101"/>
      <c r="E1" s="101"/>
      <c r="F1" s="101"/>
      <c r="G1" s="102"/>
    </row>
    <row r="2" spans="1:7" s="1" customFormat="1" ht="64.8" customHeight="1">
      <c r="A2" s="23" t="s">
        <v>11</v>
      </c>
      <c r="B2" s="29" t="s">
        <v>29</v>
      </c>
      <c r="C2" s="108"/>
      <c r="D2" s="109"/>
      <c r="E2" s="109"/>
      <c r="F2" s="109"/>
      <c r="G2" s="110"/>
    </row>
    <row r="3" spans="1:7" s="1" customFormat="1" ht="57.75" customHeight="1">
      <c r="A3" s="20" t="s">
        <v>13</v>
      </c>
      <c r="B3" s="27">
        <v>311304</v>
      </c>
      <c r="C3" s="103"/>
      <c r="D3" s="104"/>
      <c r="E3" s="104"/>
      <c r="F3" s="104"/>
      <c r="G3" s="105"/>
    </row>
    <row r="4" spans="1:7" s="1" customFormat="1" ht="57.75" customHeight="1">
      <c r="A4" s="20" t="s">
        <v>10</v>
      </c>
      <c r="B4" s="27">
        <v>394100</v>
      </c>
      <c r="C4" s="103"/>
      <c r="D4" s="104"/>
      <c r="E4" s="104"/>
      <c r="F4" s="104"/>
      <c r="G4" s="105"/>
    </row>
    <row r="5" spans="1:7" s="1" customFormat="1" ht="57.75" customHeight="1">
      <c r="A5" s="20" t="s">
        <v>12</v>
      </c>
      <c r="B5" s="27">
        <v>700</v>
      </c>
      <c r="C5" s="103" t="s">
        <v>27</v>
      </c>
      <c r="D5" s="104"/>
      <c r="E5" s="104"/>
      <c r="F5" s="104"/>
      <c r="G5" s="105"/>
    </row>
    <row r="6" spans="1:7" s="1" customFormat="1" ht="57.75" customHeight="1">
      <c r="A6" s="20" t="s">
        <v>0</v>
      </c>
      <c r="B6" s="28">
        <v>-225374</v>
      </c>
      <c r="C6" s="106" t="s">
        <v>28</v>
      </c>
      <c r="D6" s="106"/>
      <c r="E6" s="106"/>
      <c r="F6" s="106"/>
      <c r="G6" s="107"/>
    </row>
    <row r="7" spans="1:7" s="1" customFormat="1" ht="49.8" customHeight="1">
      <c r="A7" s="20" t="s">
        <v>1</v>
      </c>
      <c r="B7" s="24"/>
      <c r="C7" s="97"/>
      <c r="D7" s="98"/>
      <c r="E7" s="98"/>
      <c r="F7" s="98"/>
      <c r="G7" s="99"/>
    </row>
    <row r="8" spans="1:7" s="1" customFormat="1" ht="62.45" customHeight="1">
      <c r="A8" s="20" t="s">
        <v>2</v>
      </c>
      <c r="B8" s="24"/>
      <c r="C8" s="84"/>
      <c r="D8" s="85"/>
      <c r="E8" s="85"/>
      <c r="F8" s="85"/>
      <c r="G8" s="86"/>
    </row>
    <row r="9" spans="1:7" s="1" customFormat="1" ht="51" customHeight="1">
      <c r="A9" s="20" t="s">
        <v>7</v>
      </c>
      <c r="B9" s="24"/>
      <c r="C9" s="84"/>
      <c r="D9" s="87"/>
      <c r="E9" s="87"/>
      <c r="F9" s="87"/>
      <c r="G9" s="88"/>
    </row>
    <row r="10" spans="1:7" s="1" customFormat="1" ht="51" customHeight="1">
      <c r="A10" s="20" t="s">
        <v>8</v>
      </c>
      <c r="B10" s="24"/>
      <c r="C10" s="79"/>
      <c r="D10" s="89"/>
      <c r="E10" s="89"/>
      <c r="F10" s="89"/>
      <c r="G10" s="90"/>
    </row>
    <row r="11" spans="1:7" s="1" customFormat="1" ht="57.75" customHeight="1">
      <c r="A11" s="21" t="s">
        <v>3</v>
      </c>
      <c r="B11" s="25"/>
      <c r="C11" s="91"/>
      <c r="D11" s="92"/>
      <c r="E11" s="92"/>
      <c r="F11" s="92"/>
      <c r="G11" s="93"/>
    </row>
    <row r="12" spans="1:7" s="1" customFormat="1" ht="52.8" customHeight="1">
      <c r="A12" s="20" t="s">
        <v>4</v>
      </c>
      <c r="B12" s="24"/>
      <c r="C12" s="94"/>
      <c r="D12" s="95"/>
      <c r="E12" s="95"/>
      <c r="F12" s="95"/>
      <c r="G12" s="96"/>
    </row>
    <row r="13" spans="1:7" s="1" customFormat="1" ht="115.25" customHeight="1">
      <c r="A13" s="20" t="s">
        <v>5</v>
      </c>
      <c r="B13" s="27">
        <v>-2544</v>
      </c>
      <c r="C13" s="79" t="s">
        <v>26</v>
      </c>
      <c r="D13" s="80"/>
      <c r="E13" s="80"/>
      <c r="F13" s="80"/>
      <c r="G13" s="81"/>
    </row>
    <row r="14" spans="1:7" s="1" customFormat="1" ht="93.6" customHeight="1" thickBot="1">
      <c r="A14" s="22" t="s">
        <v>6</v>
      </c>
      <c r="B14" s="30">
        <v>478186</v>
      </c>
      <c r="C14" s="82"/>
      <c r="D14" s="83"/>
      <c r="E14" s="82"/>
      <c r="F14" s="83"/>
      <c r="G14" s="26"/>
    </row>
    <row r="18" spans="2:2" s="1" customFormat="1" ht="27" customHeight="1">
      <c r="B18" s="1" t="s">
        <v>9</v>
      </c>
    </row>
  </sheetData>
  <mergeCells count="15">
    <mergeCell ref="C7:G7"/>
    <mergeCell ref="A1:G1"/>
    <mergeCell ref="C3:G3"/>
    <mergeCell ref="C4:G4"/>
    <mergeCell ref="C5:G5"/>
    <mergeCell ref="C6:G6"/>
    <mergeCell ref="C2:G2"/>
    <mergeCell ref="C13:G13"/>
    <mergeCell ref="C14:D14"/>
    <mergeCell ref="E14:F14"/>
    <mergeCell ref="C8:G8"/>
    <mergeCell ref="C9:G9"/>
    <mergeCell ref="C10:G10"/>
    <mergeCell ref="C11:G11"/>
    <mergeCell ref="C12:G12"/>
  </mergeCells>
  <phoneticPr fontId="1" type="noConversion"/>
  <pageMargins left="0.51181102362204722" right="0.51181102362204722" top="0.74803149606299213" bottom="0.74803149606299213" header="0.27559055118110237" footer="0.27559055118110237"/>
  <pageSetup paperSize="9" scale="74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7F41-2550-4EB5-B2BE-D8CBA37952F0}">
  <sheetPr>
    <pageSetUpPr fitToPage="1"/>
  </sheetPr>
  <dimension ref="A1:IV19"/>
  <sheetViews>
    <sheetView showGridLines="0" showRuler="0" topLeftCell="A6" zoomScale="72" zoomScaleNormal="72" zoomScalePageLayoutView="130" workbookViewId="0">
      <selection activeCell="C14" sqref="C14:G14"/>
    </sheetView>
  </sheetViews>
  <sheetFormatPr defaultColWidth="16.35546875" defaultRowHeight="27" customHeight="1"/>
  <cols>
    <col min="1" max="1" width="19.640625" style="1" customWidth="1"/>
    <col min="2" max="2" width="29.640625" style="1" customWidth="1"/>
    <col min="3" max="6" width="16.35546875" style="1" customWidth="1"/>
    <col min="7" max="7" width="78.5703125" style="1" customWidth="1"/>
    <col min="8" max="8" width="16.35546875" style="1" customWidth="1"/>
    <col min="9" max="9" width="16.140625" style="1" bestFit="1" customWidth="1"/>
    <col min="10" max="256" width="16.35546875" style="1" customWidth="1"/>
    <col min="257" max="16384" width="16.35546875" style="2"/>
  </cols>
  <sheetData>
    <row r="1" spans="1:9" s="1" customFormat="1" ht="57.75" customHeight="1">
      <c r="A1" s="100" t="s">
        <v>24</v>
      </c>
      <c r="B1" s="101"/>
      <c r="C1" s="101"/>
      <c r="D1" s="101"/>
      <c r="E1" s="101"/>
      <c r="F1" s="101"/>
      <c r="G1" s="102"/>
    </row>
    <row r="2" spans="1:9" s="1" customFormat="1" ht="46.8" customHeight="1">
      <c r="A2" s="111" t="s">
        <v>11</v>
      </c>
      <c r="B2" s="113">
        <v>65</v>
      </c>
      <c r="C2" s="115"/>
      <c r="D2" s="116"/>
      <c r="E2" s="116"/>
      <c r="F2" s="116"/>
      <c r="G2" s="117"/>
    </row>
    <row r="3" spans="1:9" s="1" customFormat="1" ht="20.45" customHeight="1">
      <c r="A3" s="112"/>
      <c r="B3" s="114"/>
      <c r="C3" s="118"/>
      <c r="D3" s="119"/>
      <c r="E3" s="119"/>
      <c r="F3" s="119"/>
      <c r="G3" s="120"/>
    </row>
    <row r="4" spans="1:9" s="1" customFormat="1" ht="64.25" customHeight="1">
      <c r="A4" s="20" t="s">
        <v>13</v>
      </c>
      <c r="B4" s="31">
        <v>478186</v>
      </c>
      <c r="C4" s="103"/>
      <c r="D4" s="104"/>
      <c r="E4" s="104"/>
      <c r="F4" s="104"/>
      <c r="G4" s="105"/>
    </row>
    <row r="5" spans="1:9" s="1" customFormat="1" ht="71.45" customHeight="1">
      <c r="A5" s="20" t="s">
        <v>10</v>
      </c>
      <c r="B5" s="31">
        <v>124900</v>
      </c>
      <c r="C5" s="103"/>
      <c r="D5" s="104"/>
      <c r="E5" s="104"/>
      <c r="F5" s="104"/>
      <c r="G5" s="105"/>
      <c r="I5" s="1" t="s">
        <v>14</v>
      </c>
    </row>
    <row r="6" spans="1:9" s="1" customFormat="1" ht="67.8" customHeight="1">
      <c r="A6" s="20" t="s">
        <v>12</v>
      </c>
      <c r="B6" s="31">
        <v>600</v>
      </c>
      <c r="C6" s="103" t="s">
        <v>31</v>
      </c>
      <c r="D6" s="104"/>
      <c r="E6" s="104"/>
      <c r="F6" s="104"/>
      <c r="G6" s="105"/>
    </row>
    <row r="7" spans="1:9" s="1" customFormat="1" ht="57" customHeight="1">
      <c r="A7" s="20" t="s">
        <v>0</v>
      </c>
      <c r="B7" s="32">
        <v>-232169</v>
      </c>
      <c r="C7" s="106" t="s">
        <v>32</v>
      </c>
      <c r="D7" s="106"/>
      <c r="E7" s="106"/>
      <c r="F7" s="106"/>
      <c r="G7" s="107"/>
    </row>
    <row r="8" spans="1:9" s="1" customFormat="1" ht="75" customHeight="1">
      <c r="A8" s="20" t="s">
        <v>1</v>
      </c>
      <c r="B8" s="31"/>
      <c r="C8" s="97"/>
      <c r="D8" s="98"/>
      <c r="E8" s="98"/>
      <c r="F8" s="98"/>
      <c r="G8" s="99"/>
    </row>
    <row r="9" spans="1:9" s="1" customFormat="1" ht="67.25" customHeight="1">
      <c r="A9" s="20" t="s">
        <v>2</v>
      </c>
      <c r="B9" s="31"/>
      <c r="C9" s="84"/>
      <c r="D9" s="85"/>
      <c r="E9" s="85"/>
      <c r="F9" s="85"/>
      <c r="G9" s="86"/>
    </row>
    <row r="10" spans="1:9" s="1" customFormat="1" ht="57.75" customHeight="1">
      <c r="A10" s="20" t="s">
        <v>7</v>
      </c>
      <c r="B10" s="31"/>
      <c r="C10" s="84"/>
      <c r="D10" s="87"/>
      <c r="E10" s="87"/>
      <c r="F10" s="87"/>
      <c r="G10" s="88"/>
    </row>
    <row r="11" spans="1:9" s="1" customFormat="1" ht="57.75" customHeight="1">
      <c r="A11" s="20" t="s">
        <v>8</v>
      </c>
      <c r="B11" s="31"/>
      <c r="C11" s="79"/>
      <c r="D11" s="89"/>
      <c r="E11" s="89"/>
      <c r="F11" s="89"/>
      <c r="G11" s="90"/>
    </row>
    <row r="12" spans="1:9" s="1" customFormat="1" ht="57.75" customHeight="1">
      <c r="A12" s="21" t="s">
        <v>3</v>
      </c>
      <c r="B12" s="33"/>
      <c r="C12" s="91"/>
      <c r="D12" s="92"/>
      <c r="E12" s="92"/>
      <c r="F12" s="92"/>
      <c r="G12" s="93"/>
    </row>
    <row r="13" spans="1:9" s="1" customFormat="1" ht="57.6" customHeight="1">
      <c r="A13" s="20" t="s">
        <v>4</v>
      </c>
      <c r="B13" s="31"/>
      <c r="C13" s="94"/>
      <c r="D13" s="95"/>
      <c r="E13" s="95"/>
      <c r="F13" s="95"/>
      <c r="G13" s="96"/>
    </row>
    <row r="14" spans="1:9" s="1" customFormat="1" ht="74.45" customHeight="1">
      <c r="A14" s="20" t="s">
        <v>5</v>
      </c>
      <c r="B14" s="31">
        <v>-12312</v>
      </c>
      <c r="C14" s="79" t="s">
        <v>30</v>
      </c>
      <c r="D14" s="80"/>
      <c r="E14" s="80"/>
      <c r="F14" s="80"/>
      <c r="G14" s="81"/>
    </row>
    <row r="15" spans="1:9" s="1" customFormat="1" ht="98.45" customHeight="1" thickBot="1">
      <c r="A15" s="22" t="s">
        <v>6</v>
      </c>
      <c r="B15" s="34">
        <v>359205</v>
      </c>
      <c r="C15" s="82"/>
      <c r="D15" s="83"/>
      <c r="E15" s="82"/>
      <c r="F15" s="83"/>
      <c r="G15" s="26"/>
    </row>
    <row r="19" spans="2:2" s="1" customFormat="1" ht="27" customHeight="1">
      <c r="B19" s="1" t="s">
        <v>9</v>
      </c>
    </row>
  </sheetData>
  <mergeCells count="17">
    <mergeCell ref="A1:G1"/>
    <mergeCell ref="C4:G4"/>
    <mergeCell ref="C5:G5"/>
    <mergeCell ref="C6:G6"/>
    <mergeCell ref="C7:G7"/>
    <mergeCell ref="C14:G14"/>
    <mergeCell ref="C15:D15"/>
    <mergeCell ref="E15:F15"/>
    <mergeCell ref="A2:A3"/>
    <mergeCell ref="C9:G9"/>
    <mergeCell ref="C10:G10"/>
    <mergeCell ref="C11:G11"/>
    <mergeCell ref="C12:G12"/>
    <mergeCell ref="C13:G13"/>
    <mergeCell ref="C8:G8"/>
    <mergeCell ref="B2:B3"/>
    <mergeCell ref="C2:G3"/>
  </mergeCells>
  <phoneticPr fontId="1" type="noConversion"/>
  <printOptions horizontalCentered="1" verticalCentered="1"/>
  <pageMargins left="0.51181102362204722" right="0.51181102362204722" top="0.74803149606299213" bottom="0.74803149606299213" header="0.27559055118110237" footer="0.27559055118110237"/>
  <pageSetup paperSize="9" scale="70" fitToWidth="0"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DDC3-61BA-4D43-98F2-9ADA1E6281F2}">
  <sheetPr>
    <pageSetUpPr fitToPage="1"/>
  </sheetPr>
  <dimension ref="A1:IV18"/>
  <sheetViews>
    <sheetView showGridLines="0" showRuler="0" zoomScale="72" zoomScaleNormal="72" zoomScalePageLayoutView="130" workbookViewId="0">
      <selection activeCell="C5" sqref="C5:G5"/>
    </sheetView>
  </sheetViews>
  <sheetFormatPr defaultColWidth="16.35546875" defaultRowHeight="27" customHeight="1"/>
  <cols>
    <col min="1" max="1" width="21.5703125" style="1" customWidth="1"/>
    <col min="2" max="2" width="30.140625" style="1" customWidth="1"/>
    <col min="3" max="6" width="16.35546875" style="1" customWidth="1"/>
    <col min="7" max="7" width="36.85546875" style="1" customWidth="1"/>
    <col min="8" max="8" width="16.35546875" style="1" customWidth="1"/>
    <col min="9" max="9" width="16.140625" style="1" bestFit="1" customWidth="1"/>
    <col min="10" max="256" width="16.35546875" style="1" customWidth="1"/>
    <col min="257" max="16384" width="16.35546875" style="2"/>
  </cols>
  <sheetData>
    <row r="1" spans="1:9" s="1" customFormat="1" ht="70.25" customHeight="1">
      <c r="A1" s="100" t="s">
        <v>23</v>
      </c>
      <c r="B1" s="101"/>
      <c r="C1" s="101"/>
      <c r="D1" s="101"/>
      <c r="E1" s="101"/>
      <c r="F1" s="101"/>
      <c r="G1" s="102"/>
    </row>
    <row r="2" spans="1:9" s="1" customFormat="1" ht="59" customHeight="1">
      <c r="A2" s="23" t="s">
        <v>11</v>
      </c>
      <c r="B2" s="36">
        <v>72</v>
      </c>
      <c r="C2" s="143"/>
      <c r="D2" s="144"/>
      <c r="E2" s="144"/>
      <c r="F2" s="144"/>
      <c r="G2" s="145"/>
    </row>
    <row r="3" spans="1:9" s="1" customFormat="1" ht="57.75" customHeight="1">
      <c r="A3" s="20" t="s">
        <v>13</v>
      </c>
      <c r="B3" s="35">
        <v>359205</v>
      </c>
      <c r="C3" s="121"/>
      <c r="D3" s="122"/>
      <c r="E3" s="122"/>
      <c r="F3" s="122"/>
      <c r="G3" s="123"/>
    </row>
    <row r="4" spans="1:9" s="1" customFormat="1" ht="57.75" customHeight="1">
      <c r="A4" s="20" t="s">
        <v>10</v>
      </c>
      <c r="B4" s="35">
        <v>210300</v>
      </c>
      <c r="C4" s="121"/>
      <c r="D4" s="122"/>
      <c r="E4" s="122"/>
      <c r="F4" s="122"/>
      <c r="G4" s="123"/>
      <c r="I4" s="1" t="s">
        <v>14</v>
      </c>
    </row>
    <row r="5" spans="1:9" s="1" customFormat="1" ht="57.75" customHeight="1">
      <c r="A5" s="20" t="s">
        <v>12</v>
      </c>
      <c r="B5" s="35">
        <v>600</v>
      </c>
      <c r="C5" s="103" t="s">
        <v>31</v>
      </c>
      <c r="D5" s="104"/>
      <c r="E5" s="104"/>
      <c r="F5" s="104"/>
      <c r="G5" s="105"/>
    </row>
    <row r="6" spans="1:9" s="1" customFormat="1" ht="57.75" customHeight="1">
      <c r="A6" s="20" t="s">
        <v>0</v>
      </c>
      <c r="B6" s="28">
        <v>-197190</v>
      </c>
      <c r="C6" s="106" t="s">
        <v>34</v>
      </c>
      <c r="D6" s="106"/>
      <c r="E6" s="106"/>
      <c r="F6" s="106"/>
      <c r="G6" s="107"/>
    </row>
    <row r="7" spans="1:9" s="1" customFormat="1" ht="57.75" customHeight="1">
      <c r="A7" s="20" t="s">
        <v>1</v>
      </c>
      <c r="B7" s="10"/>
      <c r="C7" s="126"/>
      <c r="D7" s="127"/>
      <c r="E7" s="127"/>
      <c r="F7" s="127"/>
      <c r="G7" s="128"/>
    </row>
    <row r="8" spans="1:9" s="1" customFormat="1" ht="76.25" customHeight="1">
      <c r="A8" s="20" t="s">
        <v>2</v>
      </c>
      <c r="B8" s="10"/>
      <c r="C8" s="129"/>
      <c r="D8" s="130"/>
      <c r="E8" s="130"/>
      <c r="F8" s="130"/>
      <c r="G8" s="131"/>
    </row>
    <row r="9" spans="1:9" s="1" customFormat="1" ht="57.75" customHeight="1">
      <c r="A9" s="20" t="s">
        <v>7</v>
      </c>
      <c r="B9" s="10"/>
      <c r="C9" s="129"/>
      <c r="D9" s="132"/>
      <c r="E9" s="132"/>
      <c r="F9" s="132"/>
      <c r="G9" s="133"/>
    </row>
    <row r="10" spans="1:9" s="1" customFormat="1" ht="57.75" customHeight="1">
      <c r="A10" s="20" t="s">
        <v>8</v>
      </c>
      <c r="B10" s="10"/>
      <c r="C10" s="134"/>
      <c r="D10" s="135"/>
      <c r="E10" s="135"/>
      <c r="F10" s="135"/>
      <c r="G10" s="136"/>
    </row>
    <row r="11" spans="1:9" s="1" customFormat="1" ht="57.75" customHeight="1">
      <c r="A11" s="21" t="s">
        <v>3</v>
      </c>
      <c r="B11" s="8"/>
      <c r="C11" s="137"/>
      <c r="D11" s="138"/>
      <c r="E11" s="138"/>
      <c r="F11" s="138"/>
      <c r="G11" s="139"/>
    </row>
    <row r="12" spans="1:9" s="1" customFormat="1" ht="57.6" customHeight="1">
      <c r="A12" s="20" t="s">
        <v>4</v>
      </c>
      <c r="B12" s="10"/>
      <c r="C12" s="140"/>
      <c r="D12" s="141"/>
      <c r="E12" s="141"/>
      <c r="F12" s="141"/>
      <c r="G12" s="142"/>
    </row>
    <row r="13" spans="1:9" s="1" customFormat="1" ht="57.75" customHeight="1">
      <c r="A13" s="20" t="s">
        <v>5</v>
      </c>
      <c r="B13" s="27">
        <v>-2000</v>
      </c>
      <c r="C13" s="79" t="s">
        <v>33</v>
      </c>
      <c r="D13" s="80"/>
      <c r="E13" s="80"/>
      <c r="F13" s="80"/>
      <c r="G13" s="81"/>
    </row>
    <row r="14" spans="1:9" s="1" customFormat="1" ht="66" customHeight="1" thickBot="1">
      <c r="A14" s="22" t="s">
        <v>6</v>
      </c>
      <c r="B14" s="30">
        <v>370915</v>
      </c>
      <c r="C14" s="124"/>
      <c r="D14" s="125"/>
      <c r="E14" s="124"/>
      <c r="F14" s="125"/>
      <c r="G14" s="6"/>
    </row>
    <row r="18" spans="2:2" s="1" customFormat="1" ht="27" customHeight="1">
      <c r="B18" s="1" t="s">
        <v>9</v>
      </c>
    </row>
  </sheetData>
  <mergeCells count="15">
    <mergeCell ref="A1:G1"/>
    <mergeCell ref="C3:G3"/>
    <mergeCell ref="C14:D14"/>
    <mergeCell ref="E14:F14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2:G2"/>
  </mergeCells>
  <phoneticPr fontId="1" type="noConversion"/>
  <printOptions horizontalCentered="1" verticalCentered="1"/>
  <pageMargins left="0.11811023622047245" right="0.11811023622047245" top="0.35433070866141736" bottom="0.35433070866141736" header="0.27559055118110237" footer="0.27559055118110237"/>
  <pageSetup paperSize="9" scale="66" fitToHeight="0"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27B1-3584-4471-9ABC-CAA0E268F98C}">
  <sheetPr>
    <pageSetUpPr fitToPage="1"/>
  </sheetPr>
  <dimension ref="A1:IV18"/>
  <sheetViews>
    <sheetView showGridLines="0" showRuler="0" zoomScale="72" zoomScaleNormal="72" zoomScalePageLayoutView="130" workbookViewId="0">
      <selection activeCell="C8" sqref="C8:G8"/>
    </sheetView>
  </sheetViews>
  <sheetFormatPr defaultColWidth="16.35546875" defaultRowHeight="27" customHeight="1"/>
  <cols>
    <col min="1" max="1" width="28.5703125" style="1" customWidth="1"/>
    <col min="2" max="2" width="27.85546875" style="1" customWidth="1"/>
    <col min="3" max="6" width="16.35546875" style="1" customWidth="1"/>
    <col min="7" max="7" width="42" style="1" customWidth="1"/>
    <col min="8" max="8" width="16.35546875" style="1" customWidth="1"/>
    <col min="9" max="9" width="16.140625" style="1" bestFit="1" customWidth="1"/>
    <col min="10" max="256" width="16.35546875" style="1" customWidth="1"/>
    <col min="257" max="16384" width="16.35546875" style="2"/>
  </cols>
  <sheetData>
    <row r="1" spans="1:9" s="1" customFormat="1" ht="70.25" customHeight="1">
      <c r="A1" s="100" t="s">
        <v>22</v>
      </c>
      <c r="B1" s="101"/>
      <c r="C1" s="101"/>
      <c r="D1" s="101"/>
      <c r="E1" s="101"/>
      <c r="F1" s="101"/>
      <c r="G1" s="102"/>
    </row>
    <row r="2" spans="1:9" s="1" customFormat="1" ht="59" customHeight="1">
      <c r="A2" s="23" t="s">
        <v>11</v>
      </c>
      <c r="B2" s="38">
        <v>76</v>
      </c>
      <c r="C2" s="176"/>
      <c r="D2" s="177"/>
      <c r="E2" s="177"/>
      <c r="F2" s="177"/>
      <c r="G2" s="178"/>
    </row>
    <row r="3" spans="1:9" s="1" customFormat="1" ht="57.75" customHeight="1">
      <c r="A3" s="20" t="s">
        <v>13</v>
      </c>
      <c r="B3" s="33">
        <v>370915</v>
      </c>
      <c r="C3" s="168"/>
      <c r="D3" s="169"/>
      <c r="E3" s="169"/>
      <c r="F3" s="169"/>
      <c r="G3" s="170"/>
    </row>
    <row r="4" spans="1:9" s="1" customFormat="1" ht="57.75" customHeight="1">
      <c r="A4" s="20" t="s">
        <v>10</v>
      </c>
      <c r="B4" s="33">
        <v>201600</v>
      </c>
      <c r="C4" s="168"/>
      <c r="D4" s="169"/>
      <c r="E4" s="169"/>
      <c r="F4" s="169"/>
      <c r="G4" s="170"/>
      <c r="I4" s="1" t="s">
        <v>14</v>
      </c>
    </row>
    <row r="5" spans="1:9" s="1" customFormat="1" ht="57.75" customHeight="1">
      <c r="A5" s="20" t="s">
        <v>12</v>
      </c>
      <c r="B5" s="33"/>
      <c r="C5" s="171"/>
      <c r="D5" s="171"/>
      <c r="E5" s="171"/>
      <c r="F5" s="171"/>
      <c r="G5" s="172"/>
    </row>
    <row r="6" spans="1:9" s="1" customFormat="1" ht="57.75" customHeight="1">
      <c r="A6" s="20" t="s">
        <v>0</v>
      </c>
      <c r="B6" s="32">
        <v>-193875</v>
      </c>
      <c r="C6" s="173" t="s">
        <v>37</v>
      </c>
      <c r="D6" s="174"/>
      <c r="E6" s="174"/>
      <c r="F6" s="174"/>
      <c r="G6" s="175"/>
    </row>
    <row r="7" spans="1:9" s="1" customFormat="1" ht="57.75" customHeight="1">
      <c r="A7" s="20" t="s">
        <v>1</v>
      </c>
      <c r="B7" s="31"/>
      <c r="C7" s="163"/>
      <c r="D7" s="166"/>
      <c r="E7" s="166"/>
      <c r="F7" s="166"/>
      <c r="G7" s="167"/>
    </row>
    <row r="8" spans="1:9" s="1" customFormat="1" ht="76.25" customHeight="1">
      <c r="A8" s="20" t="s">
        <v>2</v>
      </c>
      <c r="B8" s="31">
        <v>-2200</v>
      </c>
      <c r="C8" s="151" t="s">
        <v>36</v>
      </c>
      <c r="D8" s="152"/>
      <c r="E8" s="152"/>
      <c r="F8" s="152"/>
      <c r="G8" s="153"/>
    </row>
    <row r="9" spans="1:9" s="1" customFormat="1" ht="57.75" customHeight="1">
      <c r="A9" s="20" t="s">
        <v>7</v>
      </c>
      <c r="B9" s="31"/>
      <c r="C9" s="154"/>
      <c r="D9" s="155"/>
      <c r="E9" s="155"/>
      <c r="F9" s="155"/>
      <c r="G9" s="156"/>
    </row>
    <row r="10" spans="1:9" s="1" customFormat="1" ht="57.75" customHeight="1">
      <c r="A10" s="20" t="s">
        <v>8</v>
      </c>
      <c r="B10" s="31"/>
      <c r="C10" s="157"/>
      <c r="D10" s="158"/>
      <c r="E10" s="158"/>
      <c r="F10" s="158"/>
      <c r="G10" s="159"/>
    </row>
    <row r="11" spans="1:9" s="1" customFormat="1" ht="57.75" customHeight="1">
      <c r="A11" s="21" t="s">
        <v>3</v>
      </c>
      <c r="B11" s="33"/>
      <c r="C11" s="160"/>
      <c r="D11" s="161"/>
      <c r="E11" s="161"/>
      <c r="F11" s="161"/>
      <c r="G11" s="162"/>
    </row>
    <row r="12" spans="1:9" s="1" customFormat="1" ht="57.6" customHeight="1">
      <c r="A12" s="20" t="s">
        <v>4</v>
      </c>
      <c r="B12" s="31"/>
      <c r="C12" s="163"/>
      <c r="D12" s="164"/>
      <c r="E12" s="164"/>
      <c r="F12" s="164"/>
      <c r="G12" s="165"/>
    </row>
    <row r="13" spans="1:9" s="1" customFormat="1" ht="57.75" customHeight="1">
      <c r="A13" s="20" t="s">
        <v>5</v>
      </c>
      <c r="B13" s="31">
        <v>-1400</v>
      </c>
      <c r="C13" s="146" t="s">
        <v>35</v>
      </c>
      <c r="D13" s="147"/>
      <c r="E13" s="147"/>
      <c r="F13" s="147"/>
      <c r="G13" s="148"/>
    </row>
    <row r="14" spans="1:9" s="1" customFormat="1" ht="66" customHeight="1" thickBot="1">
      <c r="A14" s="22" t="s">
        <v>6</v>
      </c>
      <c r="B14" s="34">
        <v>375040</v>
      </c>
      <c r="C14" s="149"/>
      <c r="D14" s="150"/>
      <c r="E14" s="149"/>
      <c r="F14" s="150"/>
      <c r="G14" s="37"/>
    </row>
    <row r="18" spans="2:2" s="1" customFormat="1" ht="27" customHeight="1">
      <c r="B18" s="1" t="s">
        <v>9</v>
      </c>
    </row>
  </sheetData>
  <mergeCells count="15">
    <mergeCell ref="C7:G7"/>
    <mergeCell ref="A1:G1"/>
    <mergeCell ref="C3:G3"/>
    <mergeCell ref="C4:G4"/>
    <mergeCell ref="C5:G5"/>
    <mergeCell ref="C6:G6"/>
    <mergeCell ref="C2:G2"/>
    <mergeCell ref="C13:G13"/>
    <mergeCell ref="C14:D14"/>
    <mergeCell ref="E14:F14"/>
    <mergeCell ref="C8:G8"/>
    <mergeCell ref="C9:G9"/>
    <mergeCell ref="C10:G10"/>
    <mergeCell ref="C11:G11"/>
    <mergeCell ref="C12:G12"/>
  </mergeCells>
  <phoneticPr fontId="1" type="noConversion"/>
  <printOptions horizontalCentered="1" verticalCentered="1"/>
  <pageMargins left="0.11811023622047245" right="0.11811023622047245" top="0.35433070866141736" bottom="0.35433070866141736" header="0.27559055118110237" footer="0.27559055118110237"/>
  <pageSetup paperSize="9" scale="66" fitToHeight="0"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111A-CC53-4102-9142-41F57FF8BA15}">
  <sheetPr>
    <pageSetUpPr fitToPage="1"/>
  </sheetPr>
  <dimension ref="A1:IW18"/>
  <sheetViews>
    <sheetView showGridLines="0" showRuler="0" topLeftCell="A12" zoomScale="72" zoomScaleNormal="72" zoomScalePageLayoutView="130" workbookViewId="0">
      <selection activeCell="L7" sqref="L7"/>
    </sheetView>
  </sheetViews>
  <sheetFormatPr defaultColWidth="16.35546875" defaultRowHeight="27" customHeight="1"/>
  <cols>
    <col min="1" max="1" width="23.140625" style="1" customWidth="1"/>
    <col min="2" max="2" width="25" style="1" customWidth="1"/>
    <col min="3" max="7" width="16.35546875" style="1" customWidth="1"/>
    <col min="8" max="8" width="21.640625" style="1" customWidth="1"/>
    <col min="9" max="9" width="16.35546875" style="1" customWidth="1"/>
    <col min="10" max="10" width="16.140625" style="1" bestFit="1" customWidth="1"/>
    <col min="11" max="257" width="16.35546875" style="1" customWidth="1"/>
    <col min="258" max="16384" width="16.35546875" style="2"/>
  </cols>
  <sheetData>
    <row r="1" spans="1:10" s="1" customFormat="1" ht="66.599999999999994" customHeight="1">
      <c r="A1" s="100" t="s">
        <v>21</v>
      </c>
      <c r="B1" s="101"/>
      <c r="C1" s="101"/>
      <c r="D1" s="101"/>
      <c r="E1" s="101"/>
      <c r="F1" s="101"/>
      <c r="G1" s="180"/>
      <c r="H1" s="102"/>
    </row>
    <row r="2" spans="1:10" s="1" customFormat="1" ht="59" customHeight="1">
      <c r="A2" s="16" t="s">
        <v>11</v>
      </c>
      <c r="B2" s="41" t="s">
        <v>42</v>
      </c>
      <c r="C2" s="76"/>
      <c r="D2" s="77"/>
      <c r="E2" s="77"/>
      <c r="F2" s="77"/>
      <c r="G2" s="77"/>
      <c r="H2" s="78"/>
    </row>
    <row r="3" spans="1:10" s="1" customFormat="1" ht="57.75" customHeight="1">
      <c r="A3" s="17" t="s">
        <v>13</v>
      </c>
      <c r="B3" s="35">
        <v>375040</v>
      </c>
      <c r="C3" s="76"/>
      <c r="D3" s="77"/>
      <c r="E3" s="77"/>
      <c r="F3" s="77"/>
      <c r="G3" s="77"/>
      <c r="H3" s="78"/>
    </row>
    <row r="4" spans="1:10" s="1" customFormat="1" ht="63.6" customHeight="1">
      <c r="A4" s="17" t="s">
        <v>10</v>
      </c>
      <c r="B4" s="35">
        <v>222300</v>
      </c>
      <c r="C4" s="76"/>
      <c r="D4" s="77"/>
      <c r="E4" s="77"/>
      <c r="F4" s="77"/>
      <c r="G4" s="77"/>
      <c r="H4" s="78"/>
      <c r="J4" s="1" t="s">
        <v>14</v>
      </c>
    </row>
    <row r="5" spans="1:10" s="1" customFormat="1" ht="93.6" customHeight="1">
      <c r="A5" s="17" t="s">
        <v>12</v>
      </c>
      <c r="B5" s="35">
        <v>1300</v>
      </c>
      <c r="C5" s="64" t="s">
        <v>41</v>
      </c>
      <c r="D5" s="64"/>
      <c r="E5" s="64"/>
      <c r="F5" s="64"/>
      <c r="G5" s="76"/>
      <c r="H5" s="65"/>
    </row>
    <row r="6" spans="1:10" s="1" customFormat="1" ht="72.599999999999994" customHeight="1">
      <c r="A6" s="17" t="s">
        <v>0</v>
      </c>
      <c r="B6" s="28">
        <v>-216840</v>
      </c>
      <c r="C6" s="181" t="s">
        <v>43</v>
      </c>
      <c r="D6" s="64"/>
      <c r="E6" s="64"/>
      <c r="F6" s="64"/>
      <c r="G6" s="76"/>
      <c r="H6" s="65"/>
    </row>
    <row r="7" spans="1:10" s="1" customFormat="1" ht="63.6" customHeight="1">
      <c r="A7" s="17" t="s">
        <v>1</v>
      </c>
      <c r="B7" s="24"/>
      <c r="C7" s="58"/>
      <c r="D7" s="59"/>
      <c r="E7" s="59"/>
      <c r="F7" s="59"/>
      <c r="G7" s="179"/>
      <c r="H7" s="60"/>
    </row>
    <row r="8" spans="1:10" s="1" customFormat="1" ht="93" customHeight="1">
      <c r="A8" s="17" t="s">
        <v>2</v>
      </c>
      <c r="B8" s="27">
        <v>-22694</v>
      </c>
      <c r="C8" s="61" t="s">
        <v>44</v>
      </c>
      <c r="D8" s="62"/>
      <c r="E8" s="62"/>
      <c r="F8" s="62"/>
      <c r="G8" s="62"/>
      <c r="H8" s="63"/>
    </row>
    <row r="9" spans="1:10" s="1" customFormat="1" ht="57.75" customHeight="1">
      <c r="A9" s="17" t="s">
        <v>7</v>
      </c>
      <c r="B9" s="27">
        <v>-13765</v>
      </c>
      <c r="C9" s="64" t="s">
        <v>38</v>
      </c>
      <c r="D9" s="64"/>
      <c r="E9" s="64"/>
      <c r="F9" s="64"/>
      <c r="G9" s="76"/>
      <c r="H9" s="65"/>
    </row>
    <row r="10" spans="1:10" s="1" customFormat="1" ht="57.75" customHeight="1">
      <c r="A10" s="17" t="s">
        <v>8</v>
      </c>
      <c r="B10" s="27"/>
      <c r="C10" s="53"/>
      <c r="D10" s="182"/>
      <c r="E10" s="182"/>
      <c r="F10" s="182"/>
      <c r="G10" s="182"/>
      <c r="H10" s="183"/>
    </row>
    <row r="11" spans="1:10" s="1" customFormat="1" ht="57.75" customHeight="1">
      <c r="A11" s="18" t="s">
        <v>3</v>
      </c>
      <c r="B11" s="35"/>
      <c r="C11" s="66"/>
      <c r="D11" s="67"/>
      <c r="E11" s="67"/>
      <c r="F11" s="67"/>
      <c r="G11" s="67"/>
      <c r="H11" s="68"/>
    </row>
    <row r="12" spans="1:10" s="1" customFormat="1" ht="123" customHeight="1">
      <c r="A12" s="17" t="s">
        <v>4</v>
      </c>
      <c r="B12" s="27">
        <v>-10600</v>
      </c>
      <c r="C12" s="50" t="s">
        <v>39</v>
      </c>
      <c r="D12" s="51"/>
      <c r="E12" s="51"/>
      <c r="F12" s="51"/>
      <c r="G12" s="51"/>
      <c r="H12" s="52"/>
    </row>
    <row r="13" spans="1:10" s="1" customFormat="1" ht="186" customHeight="1">
      <c r="A13" s="17" t="s">
        <v>5</v>
      </c>
      <c r="B13" s="27">
        <v>-5367</v>
      </c>
      <c r="C13" s="53" t="s">
        <v>40</v>
      </c>
      <c r="D13" s="54"/>
      <c r="E13" s="54"/>
      <c r="F13" s="54"/>
      <c r="G13" s="54"/>
      <c r="H13" s="55"/>
    </row>
    <row r="14" spans="1:10" s="1" customFormat="1" ht="118.25" customHeight="1" thickBot="1">
      <c r="A14" s="19" t="s">
        <v>6</v>
      </c>
      <c r="B14" s="30">
        <v>329374</v>
      </c>
      <c r="C14" s="56"/>
      <c r="D14" s="57"/>
      <c r="E14" s="56"/>
      <c r="F14" s="57"/>
      <c r="G14" s="39"/>
      <c r="H14" s="40"/>
    </row>
    <row r="18" spans="2:2" s="1" customFormat="1" ht="27" customHeight="1">
      <c r="B18" s="1" t="s">
        <v>9</v>
      </c>
    </row>
  </sheetData>
  <mergeCells count="15">
    <mergeCell ref="C13:H13"/>
    <mergeCell ref="C14:D14"/>
    <mergeCell ref="E14:F14"/>
    <mergeCell ref="C8:H8"/>
    <mergeCell ref="C9:H9"/>
    <mergeCell ref="C10:H10"/>
    <mergeCell ref="C11:H11"/>
    <mergeCell ref="C12:H12"/>
    <mergeCell ref="C7:H7"/>
    <mergeCell ref="A1:H1"/>
    <mergeCell ref="C3:H3"/>
    <mergeCell ref="C4:H4"/>
    <mergeCell ref="C5:H5"/>
    <mergeCell ref="C6:H6"/>
    <mergeCell ref="C2:H2"/>
  </mergeCells>
  <phoneticPr fontId="1" type="noConversion"/>
  <printOptions horizontalCentered="1"/>
  <pageMargins left="0.39370078740157483" right="0.39370078740157483" top="0.35433070866141736" bottom="0.35433070866141736" header="0.27559055118110237" footer="0.27559055118110237"/>
  <pageSetup paperSize="9" scale="57" orientation="portrait" r:id="rId1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197B-85E4-45A0-9308-2AB705DE55A5}">
  <sheetPr>
    <pageSetUpPr fitToPage="1"/>
  </sheetPr>
  <dimension ref="A1:IV15"/>
  <sheetViews>
    <sheetView showGridLines="0" showRuler="0" topLeftCell="A8" zoomScale="60" zoomScaleNormal="60" zoomScalePageLayoutView="130" workbookViewId="0">
      <selection activeCell="B15" sqref="B15"/>
    </sheetView>
  </sheetViews>
  <sheetFormatPr defaultColWidth="16.35546875" defaultRowHeight="27" customHeight="1"/>
  <cols>
    <col min="1" max="1" width="22.85546875" style="43" customWidth="1"/>
    <col min="2" max="2" width="27.78515625" style="43" customWidth="1"/>
    <col min="3" max="8" width="16.35546875" style="43" customWidth="1"/>
    <col min="9" max="9" width="16.140625" style="43" bestFit="1" customWidth="1"/>
    <col min="10" max="256" width="16.35546875" style="43" customWidth="1"/>
    <col min="257" max="16384" width="16.35546875" style="44"/>
  </cols>
  <sheetData>
    <row r="1" spans="1:9" s="43" customFormat="1" ht="70.25" customHeight="1" thickBot="1">
      <c r="A1" s="71" t="s">
        <v>47</v>
      </c>
      <c r="B1" s="72"/>
      <c r="C1" s="72"/>
      <c r="D1" s="72"/>
      <c r="E1" s="72"/>
      <c r="F1" s="72"/>
      <c r="G1" s="72"/>
    </row>
    <row r="2" spans="1:9" s="43" customFormat="1" ht="59" customHeight="1">
      <c r="A2" s="47" t="s">
        <v>11</v>
      </c>
      <c r="B2" s="48">
        <v>71</v>
      </c>
      <c r="C2" s="73"/>
      <c r="D2" s="74"/>
      <c r="E2" s="74"/>
      <c r="F2" s="74"/>
      <c r="G2" s="75"/>
    </row>
    <row r="3" spans="1:9" s="43" customFormat="1" ht="57.75" customHeight="1">
      <c r="A3" s="20" t="s">
        <v>13</v>
      </c>
      <c r="B3" s="24">
        <v>329374</v>
      </c>
      <c r="C3" s="76"/>
      <c r="D3" s="77"/>
      <c r="E3" s="77"/>
      <c r="F3" s="77"/>
      <c r="G3" s="78"/>
    </row>
    <row r="4" spans="1:9" s="43" customFormat="1" ht="57.75" customHeight="1">
      <c r="A4" s="20" t="s">
        <v>10</v>
      </c>
      <c r="B4" s="24">
        <v>213400</v>
      </c>
      <c r="C4" s="76"/>
      <c r="D4" s="77"/>
      <c r="E4" s="77"/>
      <c r="F4" s="77"/>
      <c r="G4" s="78"/>
      <c r="I4" s="43" t="s">
        <v>14</v>
      </c>
    </row>
    <row r="5" spans="1:9" s="43" customFormat="1" ht="120" customHeight="1">
      <c r="A5" s="20" t="s">
        <v>12</v>
      </c>
      <c r="B5" s="24">
        <v>12051</v>
      </c>
      <c r="C5" s="76" t="s">
        <v>48</v>
      </c>
      <c r="D5" s="77"/>
      <c r="E5" s="77"/>
      <c r="F5" s="77"/>
      <c r="G5" s="78"/>
    </row>
    <row r="6" spans="1:9" s="43" customFormat="1" ht="57.75" customHeight="1">
      <c r="A6" s="20" t="s">
        <v>0</v>
      </c>
      <c r="B6" s="46">
        <v>189000</v>
      </c>
      <c r="C6" s="64"/>
      <c r="D6" s="64"/>
      <c r="E6" s="64"/>
      <c r="F6" s="64"/>
      <c r="G6" s="65"/>
    </row>
    <row r="7" spans="1:9" s="43" customFormat="1" ht="57.75" customHeight="1">
      <c r="A7" s="20" t="s">
        <v>1</v>
      </c>
      <c r="B7" s="24"/>
      <c r="C7" s="58"/>
      <c r="D7" s="59"/>
      <c r="E7" s="59"/>
      <c r="F7" s="59"/>
      <c r="G7" s="60"/>
    </row>
    <row r="8" spans="1:9" s="43" customFormat="1" ht="76.25" customHeight="1">
      <c r="A8" s="20" t="s">
        <v>2</v>
      </c>
      <c r="B8" s="24"/>
      <c r="C8" s="61"/>
      <c r="D8" s="62"/>
      <c r="E8" s="62"/>
      <c r="F8" s="62"/>
      <c r="G8" s="63"/>
    </row>
    <row r="9" spans="1:9" s="43" customFormat="1" ht="57.75" customHeight="1">
      <c r="A9" s="20" t="s">
        <v>7</v>
      </c>
      <c r="B9" s="24"/>
      <c r="C9" s="64"/>
      <c r="D9" s="64"/>
      <c r="E9" s="64"/>
      <c r="F9" s="64"/>
      <c r="G9" s="65"/>
    </row>
    <row r="10" spans="1:9" s="43" customFormat="1" ht="57.75" customHeight="1">
      <c r="A10" s="20" t="s">
        <v>8</v>
      </c>
      <c r="B10" s="24"/>
      <c r="C10" s="53"/>
      <c r="D10" s="54"/>
      <c r="E10" s="54"/>
      <c r="F10" s="54"/>
      <c r="G10" s="55"/>
    </row>
    <row r="11" spans="1:9" s="43" customFormat="1" ht="57.75" customHeight="1">
      <c r="A11" s="21" t="s">
        <v>3</v>
      </c>
      <c r="B11" s="25"/>
      <c r="C11" s="66"/>
      <c r="D11" s="67"/>
      <c r="E11" s="67"/>
      <c r="F11" s="67"/>
      <c r="G11" s="68"/>
    </row>
    <row r="12" spans="1:9" s="43" customFormat="1" ht="57.75" customHeight="1">
      <c r="A12" s="20" t="s">
        <v>15</v>
      </c>
      <c r="B12" s="24"/>
      <c r="C12" s="66"/>
      <c r="D12" s="69"/>
      <c r="E12" s="69"/>
      <c r="F12" s="69"/>
      <c r="G12" s="70"/>
    </row>
    <row r="13" spans="1:9" s="43" customFormat="1" ht="57.6" customHeight="1">
      <c r="A13" s="20" t="s">
        <v>4</v>
      </c>
      <c r="B13" s="24"/>
      <c r="C13" s="50"/>
      <c r="D13" s="51"/>
      <c r="E13" s="51"/>
      <c r="F13" s="51"/>
      <c r="G13" s="52"/>
    </row>
    <row r="14" spans="1:9" s="43" customFormat="1" ht="150" customHeight="1">
      <c r="A14" s="20" t="s">
        <v>5</v>
      </c>
      <c r="B14" s="45">
        <v>38347</v>
      </c>
      <c r="C14" s="53" t="s">
        <v>49</v>
      </c>
      <c r="D14" s="54"/>
      <c r="E14" s="54"/>
      <c r="F14" s="54"/>
      <c r="G14" s="55"/>
    </row>
    <row r="15" spans="1:9" s="43" customFormat="1" ht="66" customHeight="1" thickBot="1">
      <c r="A15" s="22" t="s">
        <v>6</v>
      </c>
      <c r="B15" s="42">
        <f>B3+B4+B5-B6-B14</f>
        <v>327478</v>
      </c>
      <c r="C15" s="56"/>
      <c r="D15" s="57"/>
      <c r="E15" s="56"/>
      <c r="F15" s="57"/>
      <c r="G15" s="49"/>
    </row>
  </sheetData>
  <mergeCells count="16">
    <mergeCell ref="C6:G6"/>
    <mergeCell ref="A1:G1"/>
    <mergeCell ref="C2:G2"/>
    <mergeCell ref="C3:G3"/>
    <mergeCell ref="C4:G4"/>
    <mergeCell ref="C5:G5"/>
    <mergeCell ref="C13:G13"/>
    <mergeCell ref="C14:G14"/>
    <mergeCell ref="C15:D15"/>
    <mergeCell ref="E15:F15"/>
    <mergeCell ref="C7:G7"/>
    <mergeCell ref="C8:G8"/>
    <mergeCell ref="C9:G9"/>
    <mergeCell ref="C10:G10"/>
    <mergeCell ref="C11:G11"/>
    <mergeCell ref="C12:G12"/>
  </mergeCells>
  <phoneticPr fontId="1" type="noConversion"/>
  <printOptions horizontalCentered="1" verticalCentered="1"/>
  <pageMargins left="0.39370078740157483" right="0.11811023622047245" top="0.35433070866141736" bottom="0.35433070866141736" header="0.27559055118110237" footer="0.27559055118110237"/>
  <pageSetup paperSize="9" scale="79" fitToWidth="0" orientation="portrait" r:id="rId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D106-B185-411A-ADBE-EBAE1ADC9E06}">
  <sheetPr>
    <pageSetUpPr fitToPage="1"/>
  </sheetPr>
  <dimension ref="A1:IV15"/>
  <sheetViews>
    <sheetView showGridLines="0" tabSelected="1" showRuler="0" zoomScale="50" zoomScaleNormal="50" zoomScalePageLayoutView="130" workbookViewId="0">
      <selection activeCell="L7" sqref="L7"/>
    </sheetView>
  </sheetViews>
  <sheetFormatPr defaultColWidth="16.35546875" defaultRowHeight="27" customHeight="1"/>
  <cols>
    <col min="1" max="1" width="30.5703125" style="43" bestFit="1" customWidth="1"/>
    <col min="2" max="2" width="27.78515625" style="43" customWidth="1"/>
    <col min="3" max="8" width="16.35546875" style="43" customWidth="1"/>
    <col min="9" max="9" width="16.140625" style="43" bestFit="1" customWidth="1"/>
    <col min="10" max="256" width="16.35546875" style="43" customWidth="1"/>
    <col min="257" max="16384" width="16.35546875" style="44"/>
  </cols>
  <sheetData>
    <row r="1" spans="1:9" s="43" customFormat="1" ht="70.25" customHeight="1" thickBot="1">
      <c r="A1" s="71" t="s">
        <v>46</v>
      </c>
      <c r="B1" s="72"/>
      <c r="C1" s="72"/>
      <c r="D1" s="72"/>
      <c r="E1" s="72"/>
      <c r="F1" s="72"/>
      <c r="G1" s="72"/>
    </row>
    <row r="2" spans="1:9" s="43" customFormat="1" ht="59" customHeight="1">
      <c r="A2" s="47" t="s">
        <v>11</v>
      </c>
      <c r="B2" s="48">
        <v>79</v>
      </c>
      <c r="C2" s="73"/>
      <c r="D2" s="74"/>
      <c r="E2" s="74"/>
      <c r="F2" s="74"/>
      <c r="G2" s="75"/>
    </row>
    <row r="3" spans="1:9" s="43" customFormat="1" ht="57.75" customHeight="1">
      <c r="A3" s="20" t="s">
        <v>13</v>
      </c>
      <c r="B3" s="24">
        <v>327478</v>
      </c>
      <c r="C3" s="76"/>
      <c r="D3" s="77"/>
      <c r="E3" s="77"/>
      <c r="F3" s="77"/>
      <c r="G3" s="78"/>
    </row>
    <row r="4" spans="1:9" s="43" customFormat="1" ht="57.75" customHeight="1">
      <c r="A4" s="20" t="s">
        <v>10</v>
      </c>
      <c r="B4" s="24">
        <f>336900+17600+200</f>
        <v>354700</v>
      </c>
      <c r="C4" s="76"/>
      <c r="D4" s="77"/>
      <c r="E4" s="77"/>
      <c r="F4" s="77"/>
      <c r="G4" s="78"/>
      <c r="I4" s="43" t="s">
        <v>14</v>
      </c>
    </row>
    <row r="5" spans="1:9" s="43" customFormat="1" ht="60" customHeight="1">
      <c r="A5" s="20" t="s">
        <v>12</v>
      </c>
      <c r="B5" s="24">
        <v>1421</v>
      </c>
      <c r="C5" s="76" t="s">
        <v>45</v>
      </c>
      <c r="D5" s="77"/>
      <c r="E5" s="77"/>
      <c r="F5" s="77"/>
      <c r="G5" s="78"/>
    </row>
    <row r="6" spans="1:9" s="43" customFormat="1" ht="57.75" customHeight="1">
      <c r="A6" s="20" t="s">
        <v>0</v>
      </c>
      <c r="B6" s="46">
        <v>305800</v>
      </c>
      <c r="C6" s="64"/>
      <c r="D6" s="64"/>
      <c r="E6" s="64"/>
      <c r="F6" s="64"/>
      <c r="G6" s="65"/>
    </row>
    <row r="7" spans="1:9" s="43" customFormat="1" ht="57.75" customHeight="1">
      <c r="A7" s="20" t="s">
        <v>1</v>
      </c>
      <c r="B7" s="24"/>
      <c r="C7" s="58"/>
      <c r="D7" s="59"/>
      <c r="E7" s="59"/>
      <c r="F7" s="59"/>
      <c r="G7" s="60"/>
    </row>
    <row r="8" spans="1:9" s="43" customFormat="1" ht="76.25" customHeight="1">
      <c r="A8" s="20" t="s">
        <v>2</v>
      </c>
      <c r="B8" s="46">
        <v>14960</v>
      </c>
      <c r="C8" s="61" t="s">
        <v>52</v>
      </c>
      <c r="D8" s="62"/>
      <c r="E8" s="62"/>
      <c r="F8" s="62"/>
      <c r="G8" s="63"/>
    </row>
    <row r="9" spans="1:9" s="43" customFormat="1" ht="57.75" customHeight="1">
      <c r="A9" s="20" t="s">
        <v>7</v>
      </c>
      <c r="B9" s="46">
        <v>10000</v>
      </c>
      <c r="C9" s="64" t="s">
        <v>50</v>
      </c>
      <c r="D9" s="64"/>
      <c r="E9" s="64"/>
      <c r="F9" s="64"/>
      <c r="G9" s="65"/>
    </row>
    <row r="10" spans="1:9" s="43" customFormat="1" ht="57.75" customHeight="1">
      <c r="A10" s="20" t="s">
        <v>8</v>
      </c>
      <c r="B10" s="46">
        <v>4200</v>
      </c>
      <c r="C10" s="53"/>
      <c r="D10" s="54"/>
      <c r="E10" s="54"/>
      <c r="F10" s="54"/>
      <c r="G10" s="55"/>
    </row>
    <row r="11" spans="1:9" s="43" customFormat="1" ht="57.75" customHeight="1">
      <c r="A11" s="21" t="s">
        <v>3</v>
      </c>
      <c r="B11" s="25"/>
      <c r="C11" s="66"/>
      <c r="D11" s="67"/>
      <c r="E11" s="67"/>
      <c r="F11" s="67"/>
      <c r="G11" s="68"/>
    </row>
    <row r="12" spans="1:9" s="43" customFormat="1" ht="57.75" customHeight="1">
      <c r="A12" s="20" t="s">
        <v>15</v>
      </c>
      <c r="B12" s="24"/>
      <c r="C12" s="66"/>
      <c r="D12" s="69"/>
      <c r="E12" s="69"/>
      <c r="F12" s="69"/>
      <c r="G12" s="70"/>
    </row>
    <row r="13" spans="1:9" s="43" customFormat="1" ht="57.6" customHeight="1">
      <c r="A13" s="20" t="s">
        <v>4</v>
      </c>
      <c r="B13" s="24"/>
      <c r="C13" s="50"/>
      <c r="D13" s="51"/>
      <c r="E13" s="51"/>
      <c r="F13" s="51"/>
      <c r="G13" s="52"/>
    </row>
    <row r="14" spans="1:9" s="43" customFormat="1" ht="150" customHeight="1">
      <c r="A14" s="20" t="s">
        <v>5</v>
      </c>
      <c r="B14" s="45">
        <v>12652</v>
      </c>
      <c r="C14" s="53" t="s">
        <v>51</v>
      </c>
      <c r="D14" s="54"/>
      <c r="E14" s="54"/>
      <c r="F14" s="54"/>
      <c r="G14" s="55"/>
    </row>
    <row r="15" spans="1:9" s="43" customFormat="1" ht="66" customHeight="1" thickBot="1">
      <c r="A15" s="22" t="s">
        <v>6</v>
      </c>
      <c r="B15" s="42">
        <f>B3+B4+B5-B6-B8-B9-B10-B14</f>
        <v>335987</v>
      </c>
      <c r="C15" s="56"/>
      <c r="D15" s="57"/>
      <c r="E15" s="56"/>
      <c r="F15" s="57"/>
      <c r="G15" s="49"/>
    </row>
  </sheetData>
  <mergeCells count="16">
    <mergeCell ref="C6:G6"/>
    <mergeCell ref="A1:G1"/>
    <mergeCell ref="C2:G2"/>
    <mergeCell ref="C3:G3"/>
    <mergeCell ref="C4:G4"/>
    <mergeCell ref="C5:G5"/>
    <mergeCell ref="C13:G13"/>
    <mergeCell ref="C14:G14"/>
    <mergeCell ref="C15:D15"/>
    <mergeCell ref="E15:F15"/>
    <mergeCell ref="C7:G7"/>
    <mergeCell ref="C8:G8"/>
    <mergeCell ref="C9:G9"/>
    <mergeCell ref="C10:G10"/>
    <mergeCell ref="C11:G11"/>
    <mergeCell ref="C12:G12"/>
  </mergeCells>
  <phoneticPr fontId="1" type="noConversion"/>
  <printOptions horizontalCentered="1" verticalCentered="1"/>
  <pageMargins left="0.39370078740157483" right="0.11811023622047245" top="0.35433070866141736" bottom="0.35433070866141736" header="0.27559055118110237" footer="0.27559055118110237"/>
  <pageSetup paperSize="9" scale="79" fitToWidth="0" orientation="portrait" r:id="rId1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W19"/>
  <sheetViews>
    <sheetView zoomScale="75" zoomScaleNormal="75" workbookViewId="0">
      <selection sqref="A1:H1"/>
    </sheetView>
  </sheetViews>
  <sheetFormatPr defaultColWidth="16.35546875" defaultRowHeight="13.9"/>
  <cols>
    <col min="1" max="1" width="22.640625" style="1" customWidth="1"/>
    <col min="2" max="2" width="31" style="1" customWidth="1"/>
    <col min="3" max="7" width="16.35546875" style="1"/>
    <col min="8" max="8" width="63" style="1" customWidth="1"/>
    <col min="9" max="9" width="16.35546875" style="1"/>
    <col min="10" max="10" width="16.140625" style="1" bestFit="1" customWidth="1"/>
    <col min="11" max="257" width="16.35546875" style="1"/>
    <col min="258" max="16384" width="16.35546875" style="2"/>
  </cols>
  <sheetData>
    <row r="1" spans="1:10" s="1" customFormat="1" ht="77.45" customHeight="1">
      <c r="A1" s="186" t="s">
        <v>20</v>
      </c>
      <c r="B1" s="187"/>
      <c r="C1" s="187"/>
      <c r="D1" s="187"/>
      <c r="E1" s="187"/>
      <c r="F1" s="187"/>
      <c r="G1" s="188"/>
      <c r="H1" s="189"/>
    </row>
    <row r="2" spans="1:10" s="1" customFormat="1" ht="59" customHeight="1">
      <c r="A2" s="12" t="s">
        <v>11</v>
      </c>
      <c r="B2" s="10"/>
      <c r="C2" s="121"/>
      <c r="D2" s="122"/>
      <c r="E2" s="122"/>
      <c r="F2" s="122"/>
      <c r="G2" s="122"/>
      <c r="H2" s="123"/>
    </row>
    <row r="3" spans="1:10" s="1" customFormat="1" ht="57.75" customHeight="1">
      <c r="A3" s="13" t="s">
        <v>13</v>
      </c>
      <c r="B3" s="10"/>
      <c r="C3" s="121"/>
      <c r="D3" s="122"/>
      <c r="E3" s="122"/>
      <c r="F3" s="122"/>
      <c r="G3" s="122"/>
      <c r="H3" s="123"/>
    </row>
    <row r="4" spans="1:10" s="1" customFormat="1" ht="57.75" customHeight="1">
      <c r="A4" s="13" t="s">
        <v>10</v>
      </c>
      <c r="B4" s="10"/>
      <c r="C4" s="121"/>
      <c r="D4" s="122"/>
      <c r="E4" s="122"/>
      <c r="F4" s="122"/>
      <c r="G4" s="122"/>
      <c r="H4" s="123"/>
      <c r="J4" s="1" t="s">
        <v>14</v>
      </c>
    </row>
    <row r="5" spans="1:10" s="1" customFormat="1" ht="57.75" customHeight="1">
      <c r="A5" s="13" t="s">
        <v>12</v>
      </c>
      <c r="B5" s="10"/>
      <c r="C5" s="121"/>
      <c r="D5" s="122"/>
      <c r="E5" s="122"/>
      <c r="F5" s="122"/>
      <c r="G5" s="122"/>
      <c r="H5" s="123"/>
    </row>
    <row r="6" spans="1:10" s="1" customFormat="1" ht="57.75" customHeight="1">
      <c r="A6" s="13" t="s">
        <v>0</v>
      </c>
      <c r="B6" s="10"/>
      <c r="C6" s="184"/>
      <c r="D6" s="184"/>
      <c r="E6" s="184"/>
      <c r="F6" s="184"/>
      <c r="G6" s="121"/>
      <c r="H6" s="185"/>
    </row>
    <row r="7" spans="1:10" s="1" customFormat="1" ht="57.75" customHeight="1">
      <c r="A7" s="13" t="s">
        <v>1</v>
      </c>
      <c r="B7" s="10"/>
      <c r="C7" s="126"/>
      <c r="D7" s="127"/>
      <c r="E7" s="127"/>
      <c r="F7" s="127"/>
      <c r="G7" s="192"/>
      <c r="H7" s="128"/>
    </row>
    <row r="8" spans="1:10" s="1" customFormat="1" ht="76.25" customHeight="1">
      <c r="A8" s="13" t="s">
        <v>2</v>
      </c>
      <c r="B8" s="10"/>
      <c r="C8" s="129"/>
      <c r="D8" s="130"/>
      <c r="E8" s="130"/>
      <c r="F8" s="130"/>
      <c r="G8" s="130"/>
      <c r="H8" s="131"/>
    </row>
    <row r="9" spans="1:10" s="1" customFormat="1" ht="57.75" customHeight="1">
      <c r="A9" s="13" t="s">
        <v>7</v>
      </c>
      <c r="B9" s="10"/>
      <c r="C9" s="184"/>
      <c r="D9" s="184"/>
      <c r="E9" s="184"/>
      <c r="F9" s="184"/>
      <c r="G9" s="121"/>
      <c r="H9" s="185"/>
    </row>
    <row r="10" spans="1:10" s="1" customFormat="1" ht="57.75" customHeight="1">
      <c r="A10" s="13" t="s">
        <v>8</v>
      </c>
      <c r="B10" s="10"/>
      <c r="C10" s="134"/>
      <c r="D10" s="135"/>
      <c r="E10" s="135"/>
      <c r="F10" s="135"/>
      <c r="G10" s="135"/>
      <c r="H10" s="136"/>
    </row>
    <row r="11" spans="1:10" s="1" customFormat="1" ht="57.75" customHeight="1">
      <c r="A11" s="14" t="s">
        <v>3</v>
      </c>
      <c r="B11" s="8"/>
      <c r="C11" s="137"/>
      <c r="D11" s="138"/>
      <c r="E11" s="138"/>
      <c r="F11" s="138"/>
      <c r="G11" s="138"/>
      <c r="H11" s="139"/>
    </row>
    <row r="12" spans="1:10" s="1" customFormat="1" ht="57.75" customHeight="1">
      <c r="A12" s="13" t="s">
        <v>15</v>
      </c>
      <c r="B12" s="10"/>
      <c r="C12" s="137"/>
      <c r="D12" s="193"/>
      <c r="E12" s="193"/>
      <c r="F12" s="193"/>
      <c r="G12" s="193"/>
      <c r="H12" s="194"/>
    </row>
    <row r="13" spans="1:10" s="1" customFormat="1" ht="57.6" customHeight="1">
      <c r="A13" s="13" t="s">
        <v>4</v>
      </c>
      <c r="B13" s="10"/>
      <c r="C13" s="140"/>
      <c r="D13" s="141"/>
      <c r="E13" s="141"/>
      <c r="F13" s="141"/>
      <c r="G13" s="141"/>
      <c r="H13" s="142"/>
    </row>
    <row r="14" spans="1:10" s="1" customFormat="1" ht="141" customHeight="1">
      <c r="A14" s="13" t="s">
        <v>5</v>
      </c>
      <c r="B14" s="10"/>
      <c r="C14" s="134"/>
      <c r="D14" s="190"/>
      <c r="E14" s="190"/>
      <c r="F14" s="190"/>
      <c r="G14" s="190"/>
      <c r="H14" s="191"/>
    </row>
    <row r="15" spans="1:10" s="1" customFormat="1" ht="66" customHeight="1" thickBot="1">
      <c r="A15" s="15" t="s">
        <v>6</v>
      </c>
      <c r="B15" s="9"/>
      <c r="C15" s="124"/>
      <c r="D15" s="125"/>
      <c r="E15" s="124"/>
      <c r="F15" s="125"/>
      <c r="G15" s="11"/>
      <c r="H15" s="6"/>
    </row>
    <row r="19" spans="2:2" s="1" customFormat="1" ht="27" customHeight="1">
      <c r="B19" s="1" t="s">
        <v>9</v>
      </c>
    </row>
  </sheetData>
  <mergeCells count="16">
    <mergeCell ref="C13:H13"/>
    <mergeCell ref="C14:H14"/>
    <mergeCell ref="C15:D15"/>
    <mergeCell ref="E15:F15"/>
    <mergeCell ref="C7:H7"/>
    <mergeCell ref="C8:H8"/>
    <mergeCell ref="C9:H9"/>
    <mergeCell ref="C10:H10"/>
    <mergeCell ref="C11:H11"/>
    <mergeCell ref="C12:H12"/>
    <mergeCell ref="C6:H6"/>
    <mergeCell ref="A1:H1"/>
    <mergeCell ref="C2:H2"/>
    <mergeCell ref="C3:H3"/>
    <mergeCell ref="C4:H4"/>
    <mergeCell ref="C5:H5"/>
  </mergeCells>
  <phoneticPr fontId="1" type="noConversion"/>
  <pageMargins left="0.7" right="0.7" top="0.75" bottom="0.75" header="0.3" footer="0.3"/>
  <pageSetup paperSize="9" scale="5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52B1-2EB2-48BC-8554-979A9C9544CA}">
  <dimension ref="A1:IU19"/>
  <sheetViews>
    <sheetView zoomScale="89" zoomScaleNormal="89" workbookViewId="0">
      <selection activeCell="B3" sqref="B3"/>
    </sheetView>
  </sheetViews>
  <sheetFormatPr defaultColWidth="16.35546875" defaultRowHeight="13.9"/>
  <cols>
    <col min="1" max="1" width="19.640625" style="1" customWidth="1"/>
    <col min="2" max="2" width="17" style="1" customWidth="1"/>
    <col min="3" max="7" width="16.35546875" style="1"/>
    <col min="8" max="8" width="14.640625" style="1" customWidth="1"/>
    <col min="9" max="255" width="16.35546875" style="1"/>
    <col min="256" max="16384" width="16.35546875" style="2"/>
  </cols>
  <sheetData>
    <row r="1" spans="1:8" s="1" customFormat="1" ht="70.25" customHeight="1">
      <c r="A1" s="186" t="s">
        <v>19</v>
      </c>
      <c r="B1" s="187"/>
      <c r="C1" s="187"/>
      <c r="D1" s="187"/>
      <c r="E1" s="187"/>
      <c r="F1" s="187"/>
      <c r="G1" s="188"/>
      <c r="H1" s="189"/>
    </row>
    <row r="2" spans="1:8" s="1" customFormat="1" ht="59" customHeight="1">
      <c r="A2" s="7" t="s">
        <v>11</v>
      </c>
      <c r="B2" s="10"/>
      <c r="C2" s="121"/>
      <c r="D2" s="122"/>
      <c r="E2" s="122"/>
      <c r="F2" s="122"/>
      <c r="G2" s="122"/>
      <c r="H2" s="123"/>
    </row>
    <row r="3" spans="1:8" s="1" customFormat="1" ht="57.75" customHeight="1">
      <c r="A3" s="3" t="s">
        <v>13</v>
      </c>
      <c r="B3" s="10"/>
      <c r="C3" s="121"/>
      <c r="D3" s="122"/>
      <c r="E3" s="122"/>
      <c r="F3" s="122"/>
      <c r="G3" s="122"/>
      <c r="H3" s="123"/>
    </row>
    <row r="4" spans="1:8" s="1" customFormat="1" ht="57.75" customHeight="1">
      <c r="A4" s="3" t="s">
        <v>10</v>
      </c>
      <c r="B4" s="10"/>
      <c r="C4" s="121"/>
      <c r="D4" s="122"/>
      <c r="E4" s="122"/>
      <c r="F4" s="122"/>
      <c r="G4" s="122"/>
      <c r="H4" s="123"/>
    </row>
    <row r="5" spans="1:8" s="1" customFormat="1" ht="57.75" customHeight="1">
      <c r="A5" s="3" t="s">
        <v>12</v>
      </c>
      <c r="B5" s="10"/>
      <c r="C5" s="121"/>
      <c r="D5" s="122"/>
      <c r="E5" s="122"/>
      <c r="F5" s="122"/>
      <c r="G5" s="122"/>
      <c r="H5" s="123"/>
    </row>
    <row r="6" spans="1:8" s="1" customFormat="1" ht="57.75" customHeight="1">
      <c r="A6" s="3" t="s">
        <v>0</v>
      </c>
      <c r="B6" s="10"/>
      <c r="C6" s="184"/>
      <c r="D6" s="184"/>
      <c r="E6" s="184"/>
      <c r="F6" s="184"/>
      <c r="G6" s="121"/>
      <c r="H6" s="185"/>
    </row>
    <row r="7" spans="1:8" s="1" customFormat="1" ht="57.75" customHeight="1">
      <c r="A7" s="3" t="s">
        <v>1</v>
      </c>
      <c r="B7" s="10"/>
      <c r="C7" s="126"/>
      <c r="D7" s="127"/>
      <c r="E7" s="127"/>
      <c r="F7" s="127"/>
      <c r="G7" s="192"/>
      <c r="H7" s="128"/>
    </row>
    <row r="8" spans="1:8" s="1" customFormat="1" ht="76.25" customHeight="1">
      <c r="A8" s="3" t="s">
        <v>2</v>
      </c>
      <c r="B8" s="10"/>
      <c r="C8" s="129"/>
      <c r="D8" s="130"/>
      <c r="E8" s="130"/>
      <c r="F8" s="130"/>
      <c r="G8" s="130"/>
      <c r="H8" s="131"/>
    </row>
    <row r="9" spans="1:8" s="1" customFormat="1" ht="57.75" customHeight="1">
      <c r="A9" s="3" t="s">
        <v>7</v>
      </c>
      <c r="B9" s="10"/>
      <c r="C9" s="184"/>
      <c r="D9" s="184"/>
      <c r="E9" s="184"/>
      <c r="F9" s="184"/>
      <c r="G9" s="121"/>
      <c r="H9" s="185"/>
    </row>
    <row r="10" spans="1:8" s="1" customFormat="1" ht="57.75" customHeight="1">
      <c r="A10" s="3" t="s">
        <v>8</v>
      </c>
      <c r="B10" s="10"/>
      <c r="C10" s="134"/>
      <c r="D10" s="135"/>
      <c r="E10" s="135"/>
      <c r="F10" s="135"/>
      <c r="G10" s="135"/>
      <c r="H10" s="136"/>
    </row>
    <row r="11" spans="1:8" s="1" customFormat="1" ht="57.75" customHeight="1">
      <c r="A11" s="4" t="s">
        <v>3</v>
      </c>
      <c r="B11" s="8"/>
      <c r="C11" s="137"/>
      <c r="D11" s="138"/>
      <c r="E11" s="138"/>
      <c r="F11" s="138"/>
      <c r="G11" s="138"/>
      <c r="H11" s="139"/>
    </row>
    <row r="12" spans="1:8" s="1" customFormat="1" ht="57.75" customHeight="1">
      <c r="A12" s="3" t="s">
        <v>15</v>
      </c>
      <c r="B12" s="10"/>
      <c r="C12" s="137"/>
      <c r="D12" s="193"/>
      <c r="E12" s="193"/>
      <c r="F12" s="193"/>
      <c r="G12" s="193"/>
      <c r="H12" s="194"/>
    </row>
    <row r="13" spans="1:8" s="1" customFormat="1" ht="57.6" customHeight="1">
      <c r="A13" s="3" t="s">
        <v>4</v>
      </c>
      <c r="B13" s="10"/>
      <c r="C13" s="140"/>
      <c r="D13" s="141"/>
      <c r="E13" s="141"/>
      <c r="F13" s="141"/>
      <c r="G13" s="141"/>
      <c r="H13" s="142"/>
    </row>
    <row r="14" spans="1:8" s="1" customFormat="1" ht="141" customHeight="1">
      <c r="A14" s="3" t="s">
        <v>5</v>
      </c>
      <c r="B14" s="10"/>
      <c r="C14" s="134"/>
      <c r="D14" s="190"/>
      <c r="E14" s="190"/>
      <c r="F14" s="190"/>
      <c r="G14" s="190"/>
      <c r="H14" s="191"/>
    </row>
    <row r="15" spans="1:8" s="1" customFormat="1" ht="66" customHeight="1" thickBot="1">
      <c r="A15" s="5" t="s">
        <v>6</v>
      </c>
      <c r="B15" s="9"/>
      <c r="C15" s="124"/>
      <c r="D15" s="125"/>
      <c r="E15" s="124"/>
      <c r="F15" s="125"/>
      <c r="G15" s="11"/>
      <c r="H15" s="6"/>
    </row>
    <row r="19" spans="2:2" s="1" customFormat="1" ht="27" customHeight="1">
      <c r="B19" s="1" t="s">
        <v>9</v>
      </c>
    </row>
  </sheetData>
  <mergeCells count="16">
    <mergeCell ref="C13:H13"/>
    <mergeCell ref="C14:H14"/>
    <mergeCell ref="C15:D15"/>
    <mergeCell ref="E15:F15"/>
    <mergeCell ref="C7:H7"/>
    <mergeCell ref="C8:H8"/>
    <mergeCell ref="C9:H9"/>
    <mergeCell ref="C10:H10"/>
    <mergeCell ref="C11:H11"/>
    <mergeCell ref="C12:H12"/>
    <mergeCell ref="C6:H6"/>
    <mergeCell ref="A1:H1"/>
    <mergeCell ref="C2:H2"/>
    <mergeCell ref="C3:H3"/>
    <mergeCell ref="C4:H4"/>
    <mergeCell ref="C5:H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5F65-0159-4FA5-8731-CB3B2ECA3E4C}">
  <dimension ref="A1:IU19"/>
  <sheetViews>
    <sheetView zoomScale="80" zoomScaleNormal="80" workbookViewId="0">
      <selection activeCell="B3" sqref="B3"/>
    </sheetView>
  </sheetViews>
  <sheetFormatPr defaultColWidth="16.35546875" defaultRowHeight="13.9"/>
  <cols>
    <col min="1" max="1" width="19.640625" style="1" customWidth="1"/>
    <col min="2" max="2" width="27.42578125" style="1" customWidth="1"/>
    <col min="3" max="7" width="16.35546875" style="1"/>
    <col min="8" max="8" width="31.640625" style="1" customWidth="1"/>
    <col min="9" max="255" width="16.35546875" style="1"/>
    <col min="256" max="16384" width="16.35546875" style="2"/>
  </cols>
  <sheetData>
    <row r="1" spans="1:8" s="1" customFormat="1" ht="64.25" customHeight="1">
      <c r="A1" s="186" t="s">
        <v>18</v>
      </c>
      <c r="B1" s="187"/>
      <c r="C1" s="187"/>
      <c r="D1" s="187"/>
      <c r="E1" s="187"/>
      <c r="F1" s="187"/>
      <c r="G1" s="188"/>
      <c r="H1" s="189"/>
    </row>
    <row r="2" spans="1:8" s="1" customFormat="1" ht="59" customHeight="1">
      <c r="A2" s="7" t="s">
        <v>11</v>
      </c>
      <c r="B2" s="10"/>
      <c r="C2" s="121"/>
      <c r="D2" s="122"/>
      <c r="E2" s="122"/>
      <c r="F2" s="122"/>
      <c r="G2" s="122"/>
      <c r="H2" s="123"/>
    </row>
    <row r="3" spans="1:8" s="1" customFormat="1" ht="57.75" customHeight="1">
      <c r="A3" s="3" t="s">
        <v>13</v>
      </c>
      <c r="B3" s="10"/>
      <c r="C3" s="121"/>
      <c r="D3" s="122"/>
      <c r="E3" s="122"/>
      <c r="F3" s="122"/>
      <c r="G3" s="122"/>
      <c r="H3" s="123"/>
    </row>
    <row r="4" spans="1:8" s="1" customFormat="1" ht="57.75" customHeight="1">
      <c r="A4" s="3" t="s">
        <v>10</v>
      </c>
      <c r="B4" s="10"/>
      <c r="C4" s="121"/>
      <c r="D4" s="122"/>
      <c r="E4" s="122"/>
      <c r="F4" s="122"/>
      <c r="G4" s="122"/>
      <c r="H4" s="123"/>
    </row>
    <row r="5" spans="1:8" s="1" customFormat="1" ht="57.75" customHeight="1">
      <c r="A5" s="3" t="s">
        <v>12</v>
      </c>
      <c r="B5" s="10"/>
      <c r="C5" s="121"/>
      <c r="D5" s="122"/>
      <c r="E5" s="122"/>
      <c r="F5" s="122"/>
      <c r="G5" s="122"/>
      <c r="H5" s="123"/>
    </row>
    <row r="6" spans="1:8" s="1" customFormat="1" ht="57.75" customHeight="1">
      <c r="A6" s="3" t="s">
        <v>0</v>
      </c>
      <c r="B6" s="10"/>
      <c r="C6" s="184"/>
      <c r="D6" s="184"/>
      <c r="E6" s="184"/>
      <c r="F6" s="184"/>
      <c r="G6" s="121"/>
      <c r="H6" s="185"/>
    </row>
    <row r="7" spans="1:8" s="1" customFormat="1" ht="57.75" customHeight="1">
      <c r="A7" s="3" t="s">
        <v>1</v>
      </c>
      <c r="B7" s="10"/>
      <c r="C7" s="126"/>
      <c r="D7" s="127"/>
      <c r="E7" s="127"/>
      <c r="F7" s="127"/>
      <c r="G7" s="192"/>
      <c r="H7" s="128"/>
    </row>
    <row r="8" spans="1:8" s="1" customFormat="1" ht="76.25" customHeight="1">
      <c r="A8" s="3" t="s">
        <v>2</v>
      </c>
      <c r="B8" s="10"/>
      <c r="C8" s="129"/>
      <c r="D8" s="130"/>
      <c r="E8" s="130"/>
      <c r="F8" s="130"/>
      <c r="G8" s="130"/>
      <c r="H8" s="131"/>
    </row>
    <row r="9" spans="1:8" s="1" customFormat="1" ht="57.75" customHeight="1">
      <c r="A9" s="3" t="s">
        <v>7</v>
      </c>
      <c r="B9" s="10"/>
      <c r="C9" s="184"/>
      <c r="D9" s="184"/>
      <c r="E9" s="184"/>
      <c r="F9" s="184"/>
      <c r="G9" s="121"/>
      <c r="H9" s="185"/>
    </row>
    <row r="10" spans="1:8" s="1" customFormat="1" ht="57.75" customHeight="1">
      <c r="A10" s="3" t="s">
        <v>8</v>
      </c>
      <c r="B10" s="10"/>
      <c r="C10" s="134"/>
      <c r="D10" s="135"/>
      <c r="E10" s="135"/>
      <c r="F10" s="135"/>
      <c r="G10" s="135"/>
      <c r="H10" s="136"/>
    </row>
    <row r="11" spans="1:8" s="1" customFormat="1" ht="57.75" customHeight="1">
      <c r="A11" s="4" t="s">
        <v>3</v>
      </c>
      <c r="B11" s="8"/>
      <c r="C11" s="137"/>
      <c r="D11" s="138"/>
      <c r="E11" s="138"/>
      <c r="F11" s="138"/>
      <c r="G11" s="138"/>
      <c r="H11" s="139"/>
    </row>
    <row r="12" spans="1:8" s="1" customFormat="1" ht="57.75" customHeight="1">
      <c r="A12" s="3" t="s">
        <v>15</v>
      </c>
      <c r="B12" s="10"/>
      <c r="C12" s="137"/>
      <c r="D12" s="193"/>
      <c r="E12" s="193"/>
      <c r="F12" s="193"/>
      <c r="G12" s="193"/>
      <c r="H12" s="194"/>
    </row>
    <row r="13" spans="1:8" s="1" customFormat="1" ht="57.6" customHeight="1">
      <c r="A13" s="3" t="s">
        <v>4</v>
      </c>
      <c r="B13" s="10"/>
      <c r="C13" s="140"/>
      <c r="D13" s="141"/>
      <c r="E13" s="141"/>
      <c r="F13" s="141"/>
      <c r="G13" s="141"/>
      <c r="H13" s="142"/>
    </row>
    <row r="14" spans="1:8" s="1" customFormat="1" ht="141" customHeight="1">
      <c r="A14" s="3" t="s">
        <v>5</v>
      </c>
      <c r="B14" s="10"/>
      <c r="C14" s="134"/>
      <c r="D14" s="190"/>
      <c r="E14" s="190"/>
      <c r="F14" s="190"/>
      <c r="G14" s="190"/>
      <c r="H14" s="191"/>
    </row>
    <row r="15" spans="1:8" s="1" customFormat="1" ht="66" customHeight="1" thickBot="1">
      <c r="A15" s="5" t="s">
        <v>6</v>
      </c>
      <c r="B15" s="9"/>
      <c r="C15" s="124"/>
      <c r="D15" s="125"/>
      <c r="E15" s="124"/>
      <c r="F15" s="125"/>
      <c r="G15" s="11"/>
      <c r="H15" s="6"/>
    </row>
    <row r="19" spans="2:2" s="1" customFormat="1" ht="27" customHeight="1">
      <c r="B19" s="1" t="s">
        <v>9</v>
      </c>
    </row>
  </sheetData>
  <mergeCells count="16">
    <mergeCell ref="C6:H6"/>
    <mergeCell ref="A1:H1"/>
    <mergeCell ref="C2:H2"/>
    <mergeCell ref="C3:H3"/>
    <mergeCell ref="C4:H4"/>
    <mergeCell ref="C5:H5"/>
    <mergeCell ref="C13:H13"/>
    <mergeCell ref="C14:H14"/>
    <mergeCell ref="C15:D15"/>
    <mergeCell ref="E15:F15"/>
    <mergeCell ref="C7:H7"/>
    <mergeCell ref="C8:H8"/>
    <mergeCell ref="C9:H9"/>
    <mergeCell ref="C10:H10"/>
    <mergeCell ref="C11:H11"/>
    <mergeCell ref="C12:H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F3F6-AB44-4F71-B4E0-0D14C369BE4C}">
  <dimension ref="A1:IU19"/>
  <sheetViews>
    <sheetView workbookViewId="0">
      <selection activeCell="B3" sqref="B3"/>
    </sheetView>
  </sheetViews>
  <sheetFormatPr defaultColWidth="16.35546875" defaultRowHeight="13.9"/>
  <cols>
    <col min="1" max="1" width="19.640625" style="1" customWidth="1"/>
    <col min="2" max="2" width="17" style="1" customWidth="1"/>
    <col min="3" max="7" width="16.35546875" style="1"/>
    <col min="8" max="8" width="14.640625" style="1" customWidth="1"/>
    <col min="9" max="255" width="16.35546875" style="1"/>
    <col min="256" max="16384" width="16.35546875" style="2"/>
  </cols>
  <sheetData>
    <row r="1" spans="1:8" s="1" customFormat="1" ht="70.25" customHeight="1">
      <c r="A1" s="186" t="s">
        <v>17</v>
      </c>
      <c r="B1" s="187"/>
      <c r="C1" s="187"/>
      <c r="D1" s="187"/>
      <c r="E1" s="187"/>
      <c r="F1" s="187"/>
      <c r="G1" s="188"/>
      <c r="H1" s="189"/>
    </row>
    <row r="2" spans="1:8" s="1" customFormat="1" ht="59" customHeight="1">
      <c r="A2" s="7" t="s">
        <v>11</v>
      </c>
      <c r="B2" s="10"/>
      <c r="C2" s="121"/>
      <c r="D2" s="122"/>
      <c r="E2" s="122"/>
      <c r="F2" s="122"/>
      <c r="G2" s="122"/>
      <c r="H2" s="123"/>
    </row>
    <row r="3" spans="1:8" s="1" customFormat="1" ht="57.75" customHeight="1">
      <c r="A3" s="3" t="s">
        <v>13</v>
      </c>
      <c r="B3" s="10"/>
      <c r="C3" s="121"/>
      <c r="D3" s="122"/>
      <c r="E3" s="122"/>
      <c r="F3" s="122"/>
      <c r="G3" s="122"/>
      <c r="H3" s="123"/>
    </row>
    <row r="4" spans="1:8" s="1" customFormat="1" ht="57.75" customHeight="1">
      <c r="A4" s="3" t="s">
        <v>10</v>
      </c>
      <c r="B4" s="10"/>
      <c r="C4" s="121"/>
      <c r="D4" s="122"/>
      <c r="E4" s="122"/>
      <c r="F4" s="122"/>
      <c r="G4" s="122"/>
      <c r="H4" s="123"/>
    </row>
    <row r="5" spans="1:8" s="1" customFormat="1" ht="57.75" customHeight="1">
      <c r="A5" s="3" t="s">
        <v>12</v>
      </c>
      <c r="B5" s="10"/>
      <c r="C5" s="121"/>
      <c r="D5" s="122"/>
      <c r="E5" s="122"/>
      <c r="F5" s="122"/>
      <c r="G5" s="122"/>
      <c r="H5" s="123"/>
    </row>
    <row r="6" spans="1:8" s="1" customFormat="1" ht="57.75" customHeight="1">
      <c r="A6" s="3" t="s">
        <v>0</v>
      </c>
      <c r="B6" s="10"/>
      <c r="C6" s="184"/>
      <c r="D6" s="184"/>
      <c r="E6" s="184"/>
      <c r="F6" s="184"/>
      <c r="G6" s="121"/>
      <c r="H6" s="185"/>
    </row>
    <row r="7" spans="1:8" s="1" customFormat="1" ht="57.75" customHeight="1">
      <c r="A7" s="3" t="s">
        <v>1</v>
      </c>
      <c r="B7" s="10"/>
      <c r="C7" s="126"/>
      <c r="D7" s="127"/>
      <c r="E7" s="127"/>
      <c r="F7" s="127"/>
      <c r="G7" s="192"/>
      <c r="H7" s="128"/>
    </row>
    <row r="8" spans="1:8" s="1" customFormat="1" ht="76.25" customHeight="1">
      <c r="A8" s="3" t="s">
        <v>2</v>
      </c>
      <c r="B8" s="10"/>
      <c r="C8" s="129"/>
      <c r="D8" s="130"/>
      <c r="E8" s="130"/>
      <c r="F8" s="130"/>
      <c r="G8" s="130"/>
      <c r="H8" s="131"/>
    </row>
    <row r="9" spans="1:8" s="1" customFormat="1" ht="57.75" customHeight="1">
      <c r="A9" s="3" t="s">
        <v>7</v>
      </c>
      <c r="B9" s="10"/>
      <c r="C9" s="184"/>
      <c r="D9" s="184"/>
      <c r="E9" s="184"/>
      <c r="F9" s="184"/>
      <c r="G9" s="121"/>
      <c r="H9" s="185"/>
    </row>
    <row r="10" spans="1:8" s="1" customFormat="1" ht="57.75" customHeight="1">
      <c r="A10" s="3" t="s">
        <v>8</v>
      </c>
      <c r="B10" s="10"/>
      <c r="C10" s="134"/>
      <c r="D10" s="135"/>
      <c r="E10" s="135"/>
      <c r="F10" s="135"/>
      <c r="G10" s="135"/>
      <c r="H10" s="136"/>
    </row>
    <row r="11" spans="1:8" s="1" customFormat="1" ht="57.75" customHeight="1">
      <c r="A11" s="4" t="s">
        <v>3</v>
      </c>
      <c r="B11" s="8"/>
      <c r="C11" s="137"/>
      <c r="D11" s="138"/>
      <c r="E11" s="138"/>
      <c r="F11" s="138"/>
      <c r="G11" s="138"/>
      <c r="H11" s="139"/>
    </row>
    <row r="12" spans="1:8" s="1" customFormat="1" ht="57.75" customHeight="1">
      <c r="A12" s="3" t="s">
        <v>15</v>
      </c>
      <c r="B12" s="10"/>
      <c r="C12" s="137"/>
      <c r="D12" s="193"/>
      <c r="E12" s="193"/>
      <c r="F12" s="193"/>
      <c r="G12" s="193"/>
      <c r="H12" s="194"/>
    </row>
    <row r="13" spans="1:8" s="1" customFormat="1" ht="57.6" customHeight="1">
      <c r="A13" s="3" t="s">
        <v>4</v>
      </c>
      <c r="B13" s="10"/>
      <c r="C13" s="140"/>
      <c r="D13" s="141"/>
      <c r="E13" s="141"/>
      <c r="F13" s="141"/>
      <c r="G13" s="141"/>
      <c r="H13" s="142"/>
    </row>
    <row r="14" spans="1:8" s="1" customFormat="1" ht="141" customHeight="1">
      <c r="A14" s="3" t="s">
        <v>5</v>
      </c>
      <c r="B14" s="10"/>
      <c r="C14" s="134"/>
      <c r="D14" s="190"/>
      <c r="E14" s="190"/>
      <c r="F14" s="190"/>
      <c r="G14" s="190"/>
      <c r="H14" s="191"/>
    </row>
    <row r="15" spans="1:8" s="1" customFormat="1" ht="66" customHeight="1" thickBot="1">
      <c r="A15" s="5" t="s">
        <v>6</v>
      </c>
      <c r="B15" s="9"/>
      <c r="C15" s="124"/>
      <c r="D15" s="125"/>
      <c r="E15" s="124"/>
      <c r="F15" s="125"/>
      <c r="G15" s="11"/>
      <c r="H15" s="6"/>
    </row>
    <row r="19" spans="2:2" s="1" customFormat="1" ht="27" customHeight="1">
      <c r="B19" s="1" t="s">
        <v>9</v>
      </c>
    </row>
  </sheetData>
  <mergeCells count="16">
    <mergeCell ref="C6:H6"/>
    <mergeCell ref="A1:H1"/>
    <mergeCell ref="C2:H2"/>
    <mergeCell ref="C3:H3"/>
    <mergeCell ref="C4:H4"/>
    <mergeCell ref="C5:H5"/>
    <mergeCell ref="C13:H13"/>
    <mergeCell ref="C14:H14"/>
    <mergeCell ref="C15:D15"/>
    <mergeCell ref="E15:F15"/>
    <mergeCell ref="C7:H7"/>
    <mergeCell ref="C8:H8"/>
    <mergeCell ref="C9:H9"/>
    <mergeCell ref="C10:H10"/>
    <mergeCell ref="C11:H11"/>
    <mergeCell ref="C12:H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9224-3EBB-43F5-B25E-16E9A3424572}">
  <dimension ref="A1:IU19"/>
  <sheetViews>
    <sheetView workbookViewId="0">
      <selection sqref="A1:H1"/>
    </sheetView>
  </sheetViews>
  <sheetFormatPr defaultColWidth="16.35546875" defaultRowHeight="13.9"/>
  <cols>
    <col min="1" max="1" width="19.640625" style="1" customWidth="1"/>
    <col min="2" max="2" width="17" style="1" customWidth="1"/>
    <col min="3" max="7" width="16.35546875" style="1"/>
    <col min="8" max="8" width="8.140625" style="1" customWidth="1"/>
    <col min="9" max="255" width="16.35546875" style="1"/>
    <col min="256" max="16384" width="16.35546875" style="2"/>
  </cols>
  <sheetData>
    <row r="1" spans="1:8" s="1" customFormat="1" ht="70.25" customHeight="1">
      <c r="A1" s="186" t="s">
        <v>16</v>
      </c>
      <c r="B1" s="187"/>
      <c r="C1" s="187"/>
      <c r="D1" s="187"/>
      <c r="E1" s="187"/>
      <c r="F1" s="187"/>
      <c r="G1" s="188"/>
      <c r="H1" s="189"/>
    </row>
    <row r="2" spans="1:8" s="1" customFormat="1" ht="59" customHeight="1">
      <c r="A2" s="7" t="s">
        <v>11</v>
      </c>
      <c r="B2" s="10"/>
      <c r="C2" s="121"/>
      <c r="D2" s="122"/>
      <c r="E2" s="122"/>
      <c r="F2" s="122"/>
      <c r="G2" s="122"/>
      <c r="H2" s="123"/>
    </row>
    <row r="3" spans="1:8" s="1" customFormat="1" ht="57.75" customHeight="1">
      <c r="A3" s="3" t="s">
        <v>13</v>
      </c>
      <c r="B3" s="10"/>
      <c r="C3" s="121"/>
      <c r="D3" s="122"/>
      <c r="E3" s="122"/>
      <c r="F3" s="122"/>
      <c r="G3" s="122"/>
      <c r="H3" s="123"/>
    </row>
    <row r="4" spans="1:8" s="1" customFormat="1" ht="57.75" customHeight="1">
      <c r="A4" s="3" t="s">
        <v>10</v>
      </c>
      <c r="B4" s="10"/>
      <c r="C4" s="121"/>
      <c r="D4" s="122"/>
      <c r="E4" s="122"/>
      <c r="F4" s="122"/>
      <c r="G4" s="122"/>
      <c r="H4" s="123"/>
    </row>
    <row r="5" spans="1:8" s="1" customFormat="1" ht="57.75" customHeight="1">
      <c r="A5" s="3" t="s">
        <v>12</v>
      </c>
      <c r="B5" s="10"/>
      <c r="C5" s="121"/>
      <c r="D5" s="122"/>
      <c r="E5" s="122"/>
      <c r="F5" s="122"/>
      <c r="G5" s="122"/>
      <c r="H5" s="123"/>
    </row>
    <row r="6" spans="1:8" s="1" customFormat="1" ht="57.75" customHeight="1">
      <c r="A6" s="3" t="s">
        <v>0</v>
      </c>
      <c r="B6" s="10"/>
      <c r="C6" s="184"/>
      <c r="D6" s="184"/>
      <c r="E6" s="184"/>
      <c r="F6" s="184"/>
      <c r="G6" s="121"/>
      <c r="H6" s="185"/>
    </row>
    <row r="7" spans="1:8" s="1" customFormat="1" ht="57.75" customHeight="1">
      <c r="A7" s="3" t="s">
        <v>1</v>
      </c>
      <c r="B7" s="10"/>
      <c r="C7" s="126"/>
      <c r="D7" s="127"/>
      <c r="E7" s="127"/>
      <c r="F7" s="127"/>
      <c r="G7" s="192"/>
      <c r="H7" s="128"/>
    </row>
    <row r="8" spans="1:8" s="1" customFormat="1" ht="76.25" customHeight="1">
      <c r="A8" s="3" t="s">
        <v>2</v>
      </c>
      <c r="B8" s="10"/>
      <c r="C8" s="129"/>
      <c r="D8" s="130"/>
      <c r="E8" s="130"/>
      <c r="F8" s="130"/>
      <c r="G8" s="130"/>
      <c r="H8" s="131"/>
    </row>
    <row r="9" spans="1:8" s="1" customFormat="1" ht="57.75" customHeight="1">
      <c r="A9" s="3" t="s">
        <v>7</v>
      </c>
      <c r="B9" s="10"/>
      <c r="C9" s="184"/>
      <c r="D9" s="184"/>
      <c r="E9" s="184"/>
      <c r="F9" s="184"/>
      <c r="G9" s="121"/>
      <c r="H9" s="185"/>
    </row>
    <row r="10" spans="1:8" s="1" customFormat="1" ht="57.75" customHeight="1">
      <c r="A10" s="3" t="s">
        <v>8</v>
      </c>
      <c r="B10" s="10"/>
      <c r="C10" s="134"/>
      <c r="D10" s="135"/>
      <c r="E10" s="135"/>
      <c r="F10" s="135"/>
      <c r="G10" s="135"/>
      <c r="H10" s="136"/>
    </row>
    <row r="11" spans="1:8" s="1" customFormat="1" ht="57.75" customHeight="1">
      <c r="A11" s="4" t="s">
        <v>3</v>
      </c>
      <c r="B11" s="8"/>
      <c r="C11" s="137"/>
      <c r="D11" s="138"/>
      <c r="E11" s="138"/>
      <c r="F11" s="138"/>
      <c r="G11" s="138"/>
      <c r="H11" s="139"/>
    </row>
    <row r="12" spans="1:8" s="1" customFormat="1" ht="57.75" customHeight="1">
      <c r="A12" s="3" t="s">
        <v>15</v>
      </c>
      <c r="B12" s="10"/>
      <c r="C12" s="137"/>
      <c r="D12" s="193"/>
      <c r="E12" s="193"/>
      <c r="F12" s="193"/>
      <c r="G12" s="193"/>
      <c r="H12" s="194"/>
    </row>
    <row r="13" spans="1:8" s="1" customFormat="1" ht="57.6" customHeight="1">
      <c r="A13" s="3" t="s">
        <v>4</v>
      </c>
      <c r="B13" s="10"/>
      <c r="C13" s="140"/>
      <c r="D13" s="141"/>
      <c r="E13" s="141"/>
      <c r="F13" s="141"/>
      <c r="G13" s="141"/>
      <c r="H13" s="142"/>
    </row>
    <row r="14" spans="1:8" s="1" customFormat="1" ht="141" customHeight="1">
      <c r="A14" s="3" t="s">
        <v>5</v>
      </c>
      <c r="B14" s="10"/>
      <c r="C14" s="134"/>
      <c r="D14" s="190"/>
      <c r="E14" s="190"/>
      <c r="F14" s="190"/>
      <c r="G14" s="190"/>
      <c r="H14" s="191"/>
    </row>
    <row r="15" spans="1:8" s="1" customFormat="1" ht="66" customHeight="1" thickBot="1">
      <c r="A15" s="5" t="s">
        <v>6</v>
      </c>
      <c r="B15" s="9"/>
      <c r="C15" s="124"/>
      <c r="D15" s="125"/>
      <c r="E15" s="124"/>
      <c r="F15" s="125"/>
      <c r="G15" s="11"/>
      <c r="H15" s="6"/>
    </row>
    <row r="19" spans="2:2" s="1" customFormat="1" ht="27" customHeight="1">
      <c r="B19" s="1" t="s">
        <v>9</v>
      </c>
    </row>
  </sheetData>
  <mergeCells count="16">
    <mergeCell ref="C6:H6"/>
    <mergeCell ref="A1:H1"/>
    <mergeCell ref="C2:H2"/>
    <mergeCell ref="C3:H3"/>
    <mergeCell ref="C4:H4"/>
    <mergeCell ref="C5:H5"/>
    <mergeCell ref="C13:H13"/>
    <mergeCell ref="C14:H14"/>
    <mergeCell ref="C15:D15"/>
    <mergeCell ref="E15:F15"/>
    <mergeCell ref="C7:H7"/>
    <mergeCell ref="C8:H8"/>
    <mergeCell ref="C9:H9"/>
    <mergeCell ref="C10:H10"/>
    <mergeCell ref="C11:H11"/>
    <mergeCell ref="C12:H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</vt:i4>
      </vt:variant>
    </vt:vector>
  </HeadingPairs>
  <TitlesOfParts>
    <vt:vector size="14" baseType="lpstr">
      <vt:lpstr>一月收支月報表</vt:lpstr>
      <vt:lpstr>二月收支月報表</vt:lpstr>
      <vt:lpstr>三月收支月報表</vt:lpstr>
      <vt:lpstr>四月收支月報表</vt:lpstr>
      <vt:lpstr>五月收支月報表</vt:lpstr>
      <vt:lpstr>六月收支月報表</vt:lpstr>
      <vt:lpstr>七月收支月報表 </vt:lpstr>
      <vt:lpstr>八月收支月報表</vt:lpstr>
      <vt:lpstr>九月支收月報表</vt:lpstr>
      <vt:lpstr>十月支收月報表</vt:lpstr>
      <vt:lpstr>十一月支收月報表</vt:lpstr>
      <vt:lpstr>十二月支收月報表</vt:lpstr>
      <vt:lpstr>'七月收支月報表 '!Print_Area</vt:lpstr>
      <vt:lpstr>六月收支月報表!Print_Area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</dc:creator>
  <cp:lastModifiedBy>士銀 邱</cp:lastModifiedBy>
  <cp:lastPrinted>2026-07-01T00:40:36Z</cp:lastPrinted>
  <dcterms:created xsi:type="dcterms:W3CDTF">2020-03-07T13:52:00Z</dcterms:created>
  <dcterms:modified xsi:type="dcterms:W3CDTF">2026-08-01T07:33:15Z</dcterms:modified>
</cp:coreProperties>
</file>