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F:\冠勳媽112.08.12\日記帳\"/>
    </mc:Choice>
  </mc:AlternateContent>
  <xr:revisionPtr revIDLastSave="0" documentId="13_ncr:1_{A6C0ADAC-27A5-4FF4-AF13-70EF49B9E7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15日記帳" sheetId="1" r:id="rId1"/>
    <sheet name="115收支表 " sheetId="2" r:id="rId2"/>
    <sheet name="比賽費用支出" sheetId="3" r:id="rId3"/>
    <sheet name="繳費名單" sheetId="6" r:id="rId4"/>
    <sheet name="教練薪資" sheetId="5" r:id="rId5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5" l="1"/>
  <c r="R104" i="6"/>
  <c r="F18" i="5"/>
  <c r="R103" i="6"/>
  <c r="R45" i="6"/>
  <c r="R61" i="6"/>
  <c r="R12" i="6"/>
  <c r="R40" i="6"/>
  <c r="R72" i="6"/>
  <c r="R2" i="6"/>
  <c r="R3" i="6"/>
  <c r="R4" i="6"/>
  <c r="R5" i="6"/>
  <c r="R102" i="6"/>
  <c r="R101" i="6"/>
  <c r="R100" i="6"/>
  <c r="R99" i="6"/>
  <c r="R98" i="6"/>
  <c r="R97" i="6"/>
  <c r="R96" i="6"/>
  <c r="R95" i="6"/>
  <c r="R94" i="6"/>
  <c r="R93" i="6"/>
  <c r="R92" i="6"/>
  <c r="R91" i="6"/>
  <c r="R90" i="6"/>
  <c r="R89" i="6"/>
  <c r="R88" i="6"/>
  <c r="R87" i="6"/>
  <c r="R86" i="6"/>
  <c r="R85" i="6"/>
  <c r="R84" i="6"/>
  <c r="R83" i="6"/>
  <c r="R82" i="6"/>
  <c r="R81" i="6"/>
  <c r="R80" i="6"/>
  <c r="R79" i="6"/>
  <c r="R78" i="6"/>
  <c r="R77" i="6"/>
  <c r="R76" i="6"/>
  <c r="R75" i="6"/>
  <c r="R74" i="6"/>
  <c r="R73" i="6"/>
  <c r="R71" i="6"/>
  <c r="R70" i="6"/>
  <c r="R69" i="6"/>
  <c r="R68" i="6"/>
  <c r="R67" i="6"/>
  <c r="R66" i="6"/>
  <c r="R65" i="6"/>
  <c r="R64" i="6"/>
  <c r="R63" i="6"/>
  <c r="R62" i="6"/>
  <c r="R60" i="6"/>
  <c r="R59" i="6"/>
  <c r="R58" i="6"/>
  <c r="R57" i="6"/>
  <c r="R56" i="6"/>
  <c r="R55" i="6"/>
  <c r="R54" i="6"/>
  <c r="R53" i="6"/>
  <c r="R52" i="6"/>
  <c r="R51" i="6"/>
  <c r="R50" i="6"/>
  <c r="R49" i="6"/>
  <c r="R48" i="6"/>
  <c r="R47" i="6"/>
  <c r="R46" i="6"/>
  <c r="R44" i="6"/>
  <c r="R43" i="6"/>
  <c r="R42" i="6"/>
  <c r="R41" i="6"/>
  <c r="R39" i="6"/>
  <c r="R38" i="6"/>
  <c r="R37" i="6"/>
  <c r="R36" i="6"/>
  <c r="R35" i="6"/>
  <c r="R34" i="6"/>
  <c r="R33" i="6"/>
  <c r="R32" i="6"/>
  <c r="R31" i="6"/>
  <c r="R30" i="6"/>
  <c r="R29" i="6"/>
  <c r="R28" i="6"/>
  <c r="R27" i="6"/>
  <c r="R26" i="6"/>
  <c r="R25" i="6"/>
  <c r="R24" i="6"/>
  <c r="R23" i="6"/>
  <c r="R22" i="6"/>
  <c r="R21" i="6"/>
  <c r="R20" i="6"/>
  <c r="R19" i="6"/>
  <c r="R18" i="6"/>
  <c r="R17" i="6"/>
  <c r="R16" i="6"/>
  <c r="R15" i="6"/>
  <c r="R14" i="6"/>
  <c r="R13" i="6"/>
  <c r="R11" i="6"/>
  <c r="R10" i="6"/>
  <c r="R9" i="6"/>
  <c r="R8" i="6"/>
  <c r="R7" i="6"/>
  <c r="R6" i="6"/>
  <c r="R129" i="6"/>
  <c r="Q129" i="6"/>
  <c r="P129" i="6"/>
  <c r="O129" i="6"/>
  <c r="N129" i="6"/>
  <c r="M129" i="6"/>
  <c r="L129" i="6"/>
  <c r="K129" i="6"/>
  <c r="J129" i="6"/>
  <c r="I129" i="6"/>
  <c r="O7" i="5"/>
  <c r="D18" i="5"/>
  <c r="O5" i="5"/>
  <c r="F129" i="6"/>
  <c r="H129" i="6"/>
  <c r="G129" i="6"/>
  <c r="E129" i="6"/>
  <c r="J18" i="5"/>
  <c r="E18" i="5"/>
  <c r="H18" i="5"/>
  <c r="I18" i="5"/>
  <c r="K18" i="5"/>
  <c r="L18" i="5"/>
  <c r="M18" i="5"/>
  <c r="N18" i="5"/>
  <c r="O12" i="5"/>
  <c r="O10" i="5"/>
  <c r="O11" i="5"/>
  <c r="O13" i="5"/>
  <c r="O14" i="5"/>
  <c r="O15" i="5"/>
  <c r="O16" i="5"/>
  <c r="O9" i="5"/>
  <c r="O8" i="5"/>
  <c r="O6" i="5"/>
  <c r="O3" i="2"/>
  <c r="O4" i="2"/>
  <c r="O7" i="2"/>
  <c r="O4" i="5"/>
  <c r="O17" i="5"/>
  <c r="O3" i="5"/>
  <c r="C18" i="5"/>
  <c r="O18" i="2"/>
  <c r="O9" i="2"/>
  <c r="O14" i="2"/>
  <c r="O6" i="2"/>
  <c r="O10" i="2"/>
  <c r="O15" i="2"/>
  <c r="O19" i="2"/>
  <c r="O16" i="2"/>
  <c r="O12" i="2"/>
  <c r="O17" i="2"/>
  <c r="O13" i="2"/>
  <c r="O11" i="2"/>
  <c r="O8" i="2"/>
  <c r="O1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4" authorId="0" shapeId="0" xr:uid="{EEEC284B-B916-41DB-95B8-10BE14136D95}">
      <text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細明體"/>
            <family val="3"/>
            <charset val="136"/>
          </rPr>
          <t>月月費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>會費</t>
        </r>
        <r>
          <rPr>
            <sz val="9"/>
            <color indexed="81"/>
            <rFont val="Tahoma"/>
            <family val="2"/>
          </rPr>
          <t>$1000</t>
        </r>
        <r>
          <rPr>
            <sz val="9"/>
            <color indexed="81"/>
            <rFont val="細明體"/>
            <family val="3"/>
            <charset val="136"/>
          </rPr>
          <t>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8" authorId="0" shapeId="0" xr:uid="{606D26C1-9565-4194-9FB4-AA9E3BF3DE2D}">
      <text>
        <r>
          <rPr>
            <sz val="9"/>
            <color indexed="81"/>
            <rFont val="細明體"/>
            <family val="3"/>
            <charset val="136"/>
          </rPr>
          <t>含繳</t>
        </r>
        <r>
          <rPr>
            <sz val="9"/>
            <color indexed="81"/>
            <rFont val="Tahoma"/>
            <family val="2"/>
          </rPr>
          <t>12</t>
        </r>
        <r>
          <rPr>
            <sz val="9"/>
            <color indexed="81"/>
            <rFont val="細明體"/>
            <family val="3"/>
            <charset val="136"/>
          </rPr>
          <t>月月費</t>
        </r>
        <r>
          <rPr>
            <sz val="9"/>
            <color indexed="81"/>
            <rFont val="Tahoma"/>
            <family val="2"/>
          </rPr>
          <t>$3000</t>
        </r>
        <r>
          <rPr>
            <sz val="9"/>
            <color indexed="81"/>
            <rFont val="細明體"/>
            <family val="3"/>
            <charset val="136"/>
          </rPr>
          <t>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4" authorId="0" shapeId="0" xr:uid="{7FB9A6DD-B61F-447A-9AD9-5CFAF6C9A0FD}">
      <text>
        <r>
          <rPr>
            <sz val="9"/>
            <color indexed="81"/>
            <rFont val="Tahoma"/>
            <family val="2"/>
          </rPr>
          <t xml:space="preserve">1/3
</t>
        </r>
      </text>
    </comment>
    <comment ref="I14" authorId="0" shapeId="0" xr:uid="{54CAFE75-EB3F-4AEA-8632-0DB14C7E9232}">
      <text>
        <r>
          <rPr>
            <sz val="9"/>
            <color indexed="81"/>
            <rFont val="Tahoma"/>
            <family val="2"/>
          </rPr>
          <t xml:space="preserve">3/3.7.14.21
</t>
        </r>
      </text>
    </comment>
    <comment ref="J14" authorId="0" shapeId="0" xr:uid="{E193C906-1CF1-42A6-BEF9-8F391D7C9653}">
      <text>
        <r>
          <rPr>
            <sz val="9"/>
            <color indexed="81"/>
            <rFont val="Tahoma"/>
            <family val="2"/>
          </rPr>
          <t xml:space="preserve">4/1.8
</t>
        </r>
      </text>
    </comment>
    <comment ref="E25" authorId="0" shapeId="0" xr:uid="{33FC53AF-7DDC-4370-ADFB-A37634A31239}">
      <text>
        <r>
          <rPr>
            <sz val="9"/>
            <color indexed="81"/>
            <rFont val="Tahoma"/>
            <family val="2"/>
          </rPr>
          <t xml:space="preserve">12/5.12.16.26
</t>
        </r>
      </text>
    </comment>
    <comment ref="H25" authorId="0" shapeId="0" xr:uid="{1FECDAEF-9DD8-47E8-9123-79B5BDEBD57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1/2.6.9.16.21.23</t>
        </r>
      </text>
    </comment>
    <comment ref="I25" authorId="0" shapeId="0" xr:uid="{D5071BF4-EAEE-4F0F-81FD-BD0056C90CC0}">
      <text>
        <r>
          <rPr>
            <sz val="9"/>
            <color indexed="81"/>
            <rFont val="Tahoma"/>
            <family val="2"/>
          </rPr>
          <t xml:space="preserve">3/6.10.11.13.17.24.27
</t>
        </r>
      </text>
    </comment>
    <comment ref="J25" authorId="0" shapeId="0" xr:uid="{75B1D809-4C30-4B1E-A743-D1B591796165}">
      <text>
        <r>
          <rPr>
            <sz val="9"/>
            <color indexed="81"/>
            <rFont val="Tahoma"/>
            <family val="2"/>
          </rPr>
          <t xml:space="preserve">4/7.10.17.24.29
</t>
        </r>
      </text>
    </comment>
    <comment ref="I28" authorId="0" shapeId="0" xr:uid="{6C2AA176-BADF-4BA1-9FAE-DD3C1DB1C761}">
      <text>
        <r>
          <rPr>
            <sz val="9"/>
            <color indexed="81"/>
            <rFont val="Tahoma"/>
            <family val="2"/>
          </rPr>
          <t xml:space="preserve">3/7
</t>
        </r>
      </text>
    </comment>
    <comment ref="J28" authorId="0" shapeId="0" xr:uid="{B1A4E758-D4FD-4C65-9278-30B83F740CCC}">
      <text>
        <r>
          <rPr>
            <sz val="9"/>
            <color indexed="81"/>
            <rFont val="Tahoma"/>
            <family val="2"/>
          </rPr>
          <t xml:space="preserve">4/6.11.22
</t>
        </r>
      </text>
    </comment>
    <comment ref="E34" authorId="0" shapeId="0" xr:uid="{3F28F2D7-2A54-405B-8166-EDF32334767F}">
      <text>
        <r>
          <rPr>
            <sz val="9"/>
            <color indexed="81"/>
            <rFont val="細明體"/>
            <family val="3"/>
            <charset val="136"/>
          </rPr>
          <t>含繳</t>
        </r>
        <r>
          <rPr>
            <sz val="9"/>
            <color indexed="81"/>
            <rFont val="Tahoma"/>
            <family val="2"/>
          </rPr>
          <t>12</t>
        </r>
        <r>
          <rPr>
            <sz val="9"/>
            <color indexed="81"/>
            <rFont val="細明體"/>
            <family val="3"/>
            <charset val="136"/>
          </rPr>
          <t>月月費</t>
        </r>
        <r>
          <rPr>
            <sz val="9"/>
            <color indexed="81"/>
            <rFont val="Tahoma"/>
            <family val="2"/>
          </rPr>
          <t>$3000</t>
        </r>
        <r>
          <rPr>
            <sz val="9"/>
            <color indexed="81"/>
            <rFont val="細明體"/>
            <family val="3"/>
            <charset val="136"/>
          </rPr>
          <t>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4" authorId="0" shapeId="0" xr:uid="{F13375FC-D176-4DFD-AE72-BA56DB03537E}">
      <text>
        <r>
          <rPr>
            <sz val="9"/>
            <color indexed="81"/>
            <rFont val="細明體"/>
            <family val="3"/>
            <charset val="136"/>
          </rPr>
          <t>計次</t>
        </r>
        <r>
          <rPr>
            <sz val="9"/>
            <color indexed="81"/>
            <rFont val="Tahoma"/>
            <family val="2"/>
          </rPr>
          <t>+2</t>
        </r>
        <r>
          <rPr>
            <sz val="9"/>
            <color indexed="81"/>
            <rFont val="細明體"/>
            <family val="3"/>
            <charset val="136"/>
          </rPr>
          <t>月份費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>會費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4" authorId="0" shapeId="0" xr:uid="{F68E22C4-AADD-4043-86B7-BBA26B1005FA}">
      <text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細明體"/>
            <family val="3"/>
            <charset val="136"/>
          </rPr>
          <t>月份月費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4" authorId="0" shapeId="0" xr:uid="{77C87E32-E403-4362-B2DA-E6E9E26EBFCA}">
      <text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細明體"/>
            <family val="3"/>
            <charset val="136"/>
          </rPr>
          <t>月份月費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9" authorId="0" shapeId="0" xr:uid="{0139784F-87CB-4AF3-9009-F1A70DD6F760}">
      <text>
        <r>
          <rPr>
            <sz val="9"/>
            <color indexed="81"/>
            <rFont val="Tahoma"/>
            <family val="2"/>
          </rPr>
          <t xml:space="preserve">10/17.31 
11/21
</t>
        </r>
      </text>
    </comment>
    <comment ref="H39" authorId="0" shapeId="0" xr:uid="{B40CFCBB-38ED-40CD-AC99-345E2BD5D5B5}">
      <text>
        <r>
          <rPr>
            <sz val="9"/>
            <color indexed="81"/>
            <rFont val="Tahoma"/>
            <family val="2"/>
          </rPr>
          <t xml:space="preserve">12/19 
1/2.26.28.29.30
</t>
        </r>
      </text>
    </comment>
    <comment ref="J39" authorId="0" shapeId="0" xr:uid="{384FFEFD-CDA1-4AB7-BFD3-1D29E372F81E}">
      <text>
        <r>
          <rPr>
            <sz val="9"/>
            <color indexed="81"/>
            <rFont val="Tahoma"/>
            <family val="2"/>
          </rPr>
          <t xml:space="preserve">3/20.27 
4/10.24
</t>
        </r>
      </text>
    </comment>
    <comment ref="P39" authorId="0" shapeId="0" xr:uid="{00000000-0006-0000-0400-00001C000000}">
      <text>
        <r>
          <rPr>
            <sz val="9"/>
            <color indexed="81"/>
            <rFont val="Tahoma"/>
            <family val="2"/>
          </rPr>
          <t xml:space="preserve">9/26,27
</t>
        </r>
      </text>
    </comment>
    <comment ref="G40" authorId="0" shapeId="0" xr:uid="{3BFF8FDE-D428-40A1-866D-6DE1AAC0B3F9}">
      <text>
        <r>
          <rPr>
            <sz val="9"/>
            <color indexed="81"/>
            <rFont val="Tahoma"/>
            <family val="2"/>
          </rPr>
          <t xml:space="preserve">2/9.10.11.13
</t>
        </r>
      </text>
    </comment>
    <comment ref="H43" authorId="0" shapeId="0" xr:uid="{E862CC75-B7E7-4D77-9CE4-155C1AC9C3C4}">
      <text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細明體"/>
            <family val="3"/>
            <charset val="136"/>
          </rPr>
          <t>月月費$1000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4" authorId="0" shapeId="0" xr:uid="{2C5BACA9-0EF2-47AC-86B8-04BA76CF5FF3}">
      <text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細明體"/>
            <family val="3"/>
            <charset val="136"/>
          </rPr>
          <t>月月費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>會費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56" authorId="0" shapeId="0" xr:uid="{2FE753F6-83F1-430A-81D7-3A8744B6F0DA}">
      <text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細明體"/>
            <family val="3"/>
            <charset val="136"/>
          </rPr>
          <t>月月費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>會費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57" authorId="0" shapeId="0" xr:uid="{87D786C0-DF2E-4A6C-8FE7-CAC4D96C721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1/17.24</t>
        </r>
      </text>
    </comment>
    <comment ref="I57" authorId="0" shapeId="0" xr:uid="{BC2A33B8-1DA2-4D9E-ADF6-319F48DA51F6}">
      <text>
        <r>
          <rPr>
            <sz val="9"/>
            <color indexed="81"/>
            <rFont val="Tahoma"/>
            <family val="2"/>
          </rPr>
          <t xml:space="preserve">3/3.7.10.14.17.21.24.28
</t>
        </r>
      </text>
    </comment>
    <comment ref="E58" authorId="0" shapeId="0" xr:uid="{4220CCBB-FC9E-4EAE-9645-18781D77875C}">
      <text>
        <r>
          <rPr>
            <sz val="9"/>
            <color indexed="81"/>
            <rFont val="Tahoma"/>
            <family val="2"/>
          </rPr>
          <t xml:space="preserve">12/20.27
</t>
        </r>
      </text>
    </comment>
    <comment ref="G58" authorId="0" shapeId="0" xr:uid="{4C37176F-E416-403C-9694-759009681585}">
      <text>
        <r>
          <rPr>
            <sz val="9"/>
            <color indexed="81"/>
            <rFont val="Tahoma"/>
            <family val="2"/>
          </rPr>
          <t xml:space="preserve">1/3.10
</t>
        </r>
      </text>
    </comment>
    <comment ref="I58" authorId="0" shapeId="0" xr:uid="{638575AF-1E38-47CE-A783-A2CEA7E77003}">
      <text>
        <r>
          <rPr>
            <sz val="9"/>
            <color indexed="81"/>
            <rFont val="Tahoma"/>
            <family val="2"/>
          </rPr>
          <t xml:space="preserve">3/14
</t>
        </r>
      </text>
    </comment>
    <comment ref="J58" authorId="0" shapeId="0" xr:uid="{7B473A90-E89E-43EC-BD07-D0B1C4DE3B8F}">
      <text>
        <r>
          <rPr>
            <sz val="9"/>
            <color indexed="81"/>
            <rFont val="Tahoma"/>
            <family val="2"/>
          </rPr>
          <t xml:space="preserve">4/11.18
</t>
        </r>
      </text>
    </comment>
    <comment ref="H65" authorId="0" shapeId="0" xr:uid="{BE5FF80F-FF72-4C31-86A5-7D7EA309AE2D}">
      <text>
        <r>
          <rPr>
            <sz val="9"/>
            <color indexed="81"/>
            <rFont val="細明體"/>
            <family val="3"/>
            <charset val="136"/>
          </rPr>
          <t>寒訓</t>
        </r>
        <r>
          <rPr>
            <sz val="9"/>
            <color indexed="81"/>
            <rFont val="Tahoma"/>
            <family val="2"/>
          </rPr>
          <t>$3300
2</t>
        </r>
        <r>
          <rPr>
            <sz val="9"/>
            <color indexed="81"/>
            <rFont val="細明體"/>
            <family val="3"/>
            <charset val="136"/>
          </rPr>
          <t>月月費$700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>會費</t>
        </r>
        <r>
          <rPr>
            <sz val="9"/>
            <color indexed="81"/>
            <rFont val="Tahoma"/>
            <family val="2"/>
          </rPr>
          <t>$300</t>
        </r>
      </text>
    </comment>
    <comment ref="E70" authorId="0" shapeId="0" xr:uid="{5EFD4C12-4AEE-4F15-A615-638C40E3E5E2}">
      <text>
        <r>
          <rPr>
            <sz val="9"/>
            <color indexed="81"/>
            <rFont val="細明體"/>
            <family val="3"/>
            <charset val="136"/>
          </rPr>
          <t>含</t>
        </r>
        <r>
          <rPr>
            <sz val="9"/>
            <color indexed="81"/>
            <rFont val="Tahoma"/>
            <family val="2"/>
          </rPr>
          <t>12</t>
        </r>
        <r>
          <rPr>
            <sz val="9"/>
            <color indexed="81"/>
            <rFont val="細明體"/>
            <family val="3"/>
            <charset val="136"/>
          </rPr>
          <t>月月費</t>
        </r>
        <r>
          <rPr>
            <sz val="9"/>
            <color indexed="81"/>
            <rFont val="Tahoma"/>
            <family val="2"/>
          </rPr>
          <t>3000</t>
        </r>
        <r>
          <rPr>
            <sz val="9"/>
            <color indexed="81"/>
            <rFont val="細明體"/>
            <family val="3"/>
            <charset val="136"/>
          </rPr>
          <t>元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72" authorId="0" shapeId="0" xr:uid="{B2F70693-3E34-454B-A03A-68FC9824FCCA}">
      <text>
        <r>
          <rPr>
            <sz val="9"/>
            <color indexed="81"/>
            <rFont val="Tahoma"/>
            <family val="2"/>
          </rPr>
          <t xml:space="preserve">1/26.27.28.29.30
</t>
        </r>
      </text>
    </comment>
    <comment ref="E80" authorId="0" shapeId="0" xr:uid="{DD469D8C-6F2F-4477-8164-CAFDB43CD0CD}">
      <text>
        <r>
          <rPr>
            <sz val="9"/>
            <color indexed="81"/>
            <rFont val="Tahoma"/>
            <family val="2"/>
          </rPr>
          <t>10/18
11/8.29 
12/13</t>
        </r>
      </text>
    </comment>
    <comment ref="H80" authorId="0" shapeId="0" xr:uid="{7F22F31B-278F-4660-B551-BDE3FD05B55C}">
      <text>
        <r>
          <rPr>
            <sz val="9"/>
            <color indexed="81"/>
            <rFont val="Tahoma"/>
            <family val="2"/>
          </rPr>
          <t xml:space="preserve">1/7
</t>
        </r>
      </text>
    </comment>
    <comment ref="J80" authorId="0" shapeId="0" xr:uid="{EF24641D-B6AB-4F5F-921E-BB4305DAFAA7}">
      <text>
        <r>
          <rPr>
            <sz val="9"/>
            <color indexed="81"/>
            <rFont val="Tahoma"/>
            <family val="2"/>
          </rPr>
          <t>3/7.14.21.28
4/18.25</t>
        </r>
      </text>
    </comment>
    <comment ref="E81" authorId="0" shapeId="0" xr:uid="{B70DAF33-5502-4174-9948-941169C8391C}">
      <text>
        <r>
          <rPr>
            <sz val="9"/>
            <color indexed="81"/>
            <rFont val="Tahoma"/>
            <family val="2"/>
          </rPr>
          <t xml:space="preserve">11/1.8.22.29 
12/27
</t>
        </r>
      </text>
    </comment>
    <comment ref="H81" authorId="0" shapeId="0" xr:uid="{42C0C5D9-5FA5-4A61-9CC5-82A715BA0764}">
      <text>
        <r>
          <rPr>
            <sz val="9"/>
            <color indexed="81"/>
            <rFont val="Tahoma"/>
            <family val="2"/>
          </rPr>
          <t xml:space="preserve">1/3.10.17.24.31
</t>
        </r>
      </text>
    </comment>
    <comment ref="I81" authorId="0" shapeId="0" xr:uid="{DAEC1AAE-CF44-4F28-9D6B-FDB9FB042E86}">
      <text>
        <r>
          <rPr>
            <sz val="9"/>
            <color indexed="81"/>
            <rFont val="Tahoma"/>
            <family val="2"/>
          </rPr>
          <t xml:space="preserve">3/7.14.21.28
</t>
        </r>
      </text>
    </comment>
    <comment ref="J81" authorId="0" shapeId="0" xr:uid="{12233F92-D3B5-4125-9BDF-1CF45F99F7A7}">
      <text>
        <r>
          <rPr>
            <sz val="9"/>
            <color indexed="81"/>
            <rFont val="Tahoma"/>
            <family val="2"/>
          </rPr>
          <t xml:space="preserve">4/18.25
</t>
        </r>
      </text>
    </comment>
    <comment ref="E82" authorId="0" shapeId="0" xr:uid="{51952EF1-BE4A-4C97-9833-878F1051BE71}">
      <text>
        <r>
          <rPr>
            <sz val="9"/>
            <color indexed="81"/>
            <rFont val="Tahoma"/>
            <family val="2"/>
          </rPr>
          <t xml:space="preserve">11/8.22.27
</t>
        </r>
      </text>
    </comment>
    <comment ref="F82" authorId="0" shapeId="0" xr:uid="{FBEBD197-DC2E-4310-AE41-6CB686ACA4E5}">
      <text>
        <r>
          <rPr>
            <sz val="9"/>
            <color indexed="81"/>
            <rFont val="Tahoma"/>
            <family val="2"/>
          </rPr>
          <t xml:space="preserve">12/13.27
</t>
        </r>
      </text>
    </comment>
    <comment ref="E83" authorId="0" shapeId="0" xr:uid="{07B8DBF2-B9E1-4C3A-8231-3E8BC8A0E5E4}">
      <text>
        <r>
          <rPr>
            <sz val="9"/>
            <color indexed="81"/>
            <rFont val="Tahoma"/>
            <family val="2"/>
          </rPr>
          <t xml:space="preserve">12/4.5.18.26
</t>
        </r>
      </text>
    </comment>
    <comment ref="E84" authorId="0" shapeId="0" xr:uid="{94564A72-EBFD-4796-877A-7AE6E78309CE}">
      <text>
        <r>
          <rPr>
            <sz val="9"/>
            <color indexed="81"/>
            <rFont val="Tahoma"/>
            <family val="2"/>
          </rPr>
          <t xml:space="preserve">12/20.27
</t>
        </r>
      </text>
    </comment>
    <comment ref="E85" authorId="0" shapeId="0" xr:uid="{4CB1E56E-E1CC-40DA-8B92-2177D2D00760}">
      <text>
        <r>
          <rPr>
            <sz val="9"/>
            <color indexed="81"/>
            <rFont val="Tahoma"/>
            <family val="2"/>
          </rPr>
          <t xml:space="preserve">12/27
</t>
        </r>
      </text>
    </comment>
    <comment ref="J85" authorId="0" shapeId="0" xr:uid="{9F1BA8E3-6517-46C7-AE3F-9A02611BE394}">
      <text>
        <r>
          <rPr>
            <sz val="9"/>
            <color indexed="81"/>
            <rFont val="Tahoma"/>
            <family val="2"/>
          </rPr>
          <t xml:space="preserve">3/7.14.21.28 
4/6.18
</t>
        </r>
      </text>
    </comment>
    <comment ref="G92" authorId="0" shapeId="0" xr:uid="{5855B4F9-9692-427E-84A9-68383621C0BA}">
      <text>
        <r>
          <rPr>
            <sz val="9"/>
            <color indexed="81"/>
            <rFont val="Tahoma"/>
            <family val="2"/>
          </rPr>
          <t xml:space="preserve">11/8.22.29 
12/20
</t>
        </r>
      </text>
    </comment>
    <comment ref="J92" authorId="0" shapeId="0" xr:uid="{CB0A4694-1AFE-4925-A7AE-6781187E14A0}">
      <text>
        <r>
          <rPr>
            <sz val="9"/>
            <color indexed="81"/>
            <rFont val="Tahoma"/>
            <family val="2"/>
          </rPr>
          <t>1/3.17
3/7.21</t>
        </r>
      </text>
    </comment>
    <comment ref="G93" authorId="0" shapeId="0" xr:uid="{BC3FC629-B472-46BE-B8DB-731ADBA2B894}">
      <text>
        <r>
          <rPr>
            <sz val="9"/>
            <color indexed="81"/>
            <rFont val="Tahoma"/>
            <family val="2"/>
          </rPr>
          <t xml:space="preserve">12/13.20.27
</t>
        </r>
      </text>
    </comment>
    <comment ref="H93" authorId="0" shapeId="0" xr:uid="{DD0EE3A6-6AD8-4011-80CD-E6061A66A5D0}">
      <text>
        <r>
          <rPr>
            <sz val="9"/>
            <color indexed="81"/>
            <rFont val="Tahoma"/>
            <family val="2"/>
          </rPr>
          <t xml:space="preserve">1/3.17.24
</t>
        </r>
      </text>
    </comment>
    <comment ref="I93" authorId="0" shapeId="0" xr:uid="{831139A5-B704-46C2-AB93-714E4CCD0373}">
      <text>
        <r>
          <rPr>
            <sz val="9"/>
            <color indexed="81"/>
            <rFont val="Tahoma"/>
            <family val="2"/>
          </rPr>
          <t xml:space="preserve">3/7.14.28
</t>
        </r>
      </text>
    </comment>
    <comment ref="J93" authorId="0" shapeId="0" xr:uid="{02E27196-A715-4B80-B2CE-FA2FFA6B7E37}">
      <text>
        <r>
          <rPr>
            <sz val="9"/>
            <color indexed="81"/>
            <rFont val="Tahoma"/>
            <family val="2"/>
          </rPr>
          <t xml:space="preserve">4/11.18.25
</t>
        </r>
      </text>
    </comment>
    <comment ref="I94" authorId="0" shapeId="0" xr:uid="{EC4B1F69-64A3-45E0-B590-8F5A978D4905}">
      <text>
        <r>
          <rPr>
            <sz val="9"/>
            <color indexed="81"/>
            <rFont val="Tahoma"/>
            <family val="2"/>
          </rPr>
          <t xml:space="preserve">3/14.21.28
</t>
        </r>
      </text>
    </comment>
    <comment ref="J94" authorId="0" shapeId="0" xr:uid="{1605C41A-BB3C-4E47-9EC8-2BE4F6201586}">
      <text>
        <r>
          <rPr>
            <sz val="9"/>
            <color indexed="81"/>
            <rFont val="Tahoma"/>
            <family val="2"/>
          </rPr>
          <t xml:space="preserve">4/18 .25
5/9.16.23.30
</t>
        </r>
      </text>
    </comment>
    <comment ref="I95" authorId="0" shapeId="0" xr:uid="{AF36CF72-577F-42A1-965D-1D88E85031A1}">
      <text>
        <r>
          <rPr>
            <sz val="9"/>
            <color indexed="81"/>
            <rFont val="Tahoma"/>
            <family val="2"/>
          </rPr>
          <t xml:space="preserve">3/21
</t>
        </r>
      </text>
    </comment>
    <comment ref="J95" authorId="0" shapeId="0" xr:uid="{DE80186A-7F14-44FD-9108-CE76480BD2E1}">
      <text>
        <r>
          <rPr>
            <sz val="9"/>
            <color indexed="81"/>
            <rFont val="Tahoma"/>
            <family val="2"/>
          </rPr>
          <t xml:space="preserve">4/6.11.25
</t>
        </r>
      </text>
    </comment>
    <comment ref="I96" authorId="0" shapeId="0" xr:uid="{CCA18C8B-C00C-4796-983B-5567F9A51E68}">
      <text>
        <r>
          <rPr>
            <sz val="9"/>
            <color indexed="81"/>
            <rFont val="Tahoma"/>
            <family val="2"/>
          </rPr>
          <t xml:space="preserve">3/7.14
</t>
        </r>
      </text>
    </comment>
    <comment ref="J96" authorId="0" shapeId="0" xr:uid="{A40BCB58-DEC6-45FC-AFAD-F0EECA2C764B}">
      <text>
        <r>
          <rPr>
            <sz val="9"/>
            <color indexed="81"/>
            <rFont val="Tahoma"/>
            <family val="2"/>
          </rPr>
          <t xml:space="preserve">4/25
</t>
        </r>
      </text>
    </comment>
    <comment ref="I103" authorId="0" shapeId="0" xr:uid="{A7F2E0AD-D58B-412A-9CD9-59CE1D3E899E}">
      <text>
        <r>
          <rPr>
            <b/>
            <sz val="9"/>
            <color indexed="81"/>
            <rFont val="Tahoma"/>
            <family val="2"/>
          </rPr>
          <t>4/6.11</t>
        </r>
      </text>
    </comment>
    <comment ref="J104" authorId="0" shapeId="0" xr:uid="{B6DE3F17-EA82-410E-8D97-79C2AEC3E66D}">
      <text>
        <r>
          <rPr>
            <sz val="9"/>
            <color indexed="81"/>
            <rFont val="Tahoma"/>
            <family val="2"/>
          </rPr>
          <t xml:space="preserve">3/7.21.28
</t>
        </r>
      </text>
    </comment>
  </commentList>
</comments>
</file>

<file path=xl/sharedStrings.xml><?xml version="1.0" encoding="utf-8"?>
<sst xmlns="http://schemas.openxmlformats.org/spreadsheetml/2006/main" count="596" uniqueCount="396">
  <si>
    <t>月</t>
  </si>
  <si>
    <t>日</t>
  </si>
  <si>
    <t>摘要</t>
  </si>
  <si>
    <t>收入</t>
  </si>
  <si>
    <t>支出</t>
  </si>
  <si>
    <t>餘額</t>
  </si>
  <si>
    <t>備註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</si>
  <si>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</si>
  <si>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</si>
  <si>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</si>
  <si>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</si>
  <si>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</si>
  <si>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</si>
  <si>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</si>
  <si>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</si>
  <si>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</si>
  <si>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</si>
  <si>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總計</t>
  </si>
  <si>
    <t>比率</t>
  </si>
  <si>
    <t>其他收入</t>
  </si>
  <si>
    <t>收入總額</t>
  </si>
  <si>
    <t>薪資支出</t>
  </si>
  <si>
    <t>文具用品</t>
  </si>
  <si>
    <t>差旅費</t>
  </si>
  <si>
    <t>郵電費</t>
  </si>
  <si>
    <t>修繕費</t>
  </si>
  <si>
    <t>餐費(宿)</t>
  </si>
  <si>
    <t>訓練費(球)</t>
  </si>
  <si>
    <t>獎金支出</t>
  </si>
  <si>
    <t>其他費用</t>
  </si>
  <si>
    <t>支出總額</t>
  </si>
  <si>
    <t>收支相抵</t>
    <phoneticPr fontId="2" type="noConversion"/>
  </si>
  <si>
    <t>項次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</si>
  <si>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</si>
  <si>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</si>
  <si>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</si>
  <si>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</si>
  <si>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</si>
  <si>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</si>
  <si>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</si>
  <si>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</si>
  <si>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教練姓名</t>
  </si>
  <si>
    <t>合計</t>
  </si>
  <si>
    <t>許晉得</t>
  </si>
  <si>
    <t>邱鴻祥</t>
  </si>
  <si>
    <t>劉威廷</t>
  </si>
  <si>
    <t>羅婉玲</t>
  </si>
  <si>
    <t>薪資總額</t>
  </si>
  <si>
    <t>匯費</t>
    <phoneticPr fontId="2" type="noConversion"/>
  </si>
  <si>
    <t>交通費</t>
    <phoneticPr fontId="2" type="noConversion"/>
  </si>
  <si>
    <t>電費</t>
    <phoneticPr fontId="2" type="noConversion"/>
  </si>
  <si>
    <t>＋</t>
    <phoneticPr fontId="2" type="noConversion"/>
  </si>
  <si>
    <t>寒訓＋二月</t>
    <phoneticPr fontId="2" type="noConversion"/>
  </si>
  <si>
    <t>三月</t>
    <phoneticPr fontId="2" type="noConversion"/>
  </si>
  <si>
    <t>一月</t>
    <phoneticPr fontId="2" type="noConversion"/>
  </si>
  <si>
    <t>十二月</t>
    <phoneticPr fontId="2" type="noConversion"/>
  </si>
  <si>
    <t>暫付款</t>
    <phoneticPr fontId="2" type="noConversion"/>
  </si>
  <si>
    <r>
      <t>115</t>
    </r>
    <r>
      <rPr>
        <sz val="18"/>
        <color indexed="8"/>
        <rFont val="細明體"/>
        <family val="3"/>
        <charset val="136"/>
      </rPr>
      <t>年度收支表</t>
    </r>
    <phoneticPr fontId="2" type="noConversion"/>
  </si>
  <si>
    <r>
      <t>115</t>
    </r>
    <r>
      <rPr>
        <sz val="14"/>
        <color indexed="8"/>
        <rFont val="細明體"/>
        <family val="3"/>
        <charset val="136"/>
      </rPr>
      <t>年教練薪資名單</t>
    </r>
    <phoneticPr fontId="2" type="noConversion"/>
  </si>
  <si>
    <r>
      <rPr>
        <sz val="14"/>
        <color rgb="FF000000"/>
        <rFont val="細明體"/>
        <family val="3"/>
        <charset val="136"/>
      </rPr>
      <t>115年日記帳</t>
    </r>
    <r>
      <rPr>
        <b/>
        <sz val="14"/>
        <color rgb="FF000000"/>
        <rFont val="細明體"/>
        <family val="3"/>
        <charset val="136"/>
      </rPr>
      <t xml:space="preserve"> </t>
    </r>
    <phoneticPr fontId="2" type="noConversion"/>
  </si>
  <si>
    <t>114年結餘</t>
    <phoneticPr fontId="2" type="noConversion"/>
  </si>
  <si>
    <t>115年度收支表</t>
    <phoneticPr fontId="2" type="noConversion"/>
  </si>
  <si>
    <t>年級</t>
  </si>
  <si>
    <t>班別</t>
    <phoneticPr fontId="2" type="noConversion"/>
  </si>
  <si>
    <t>順序</t>
    <phoneticPr fontId="2" type="noConversion"/>
  </si>
  <si>
    <t>學生姓名</t>
  </si>
  <si>
    <t>一月</t>
  </si>
  <si>
    <t>寒訓</t>
    <phoneticPr fontId="2" type="noConversion"/>
  </si>
  <si>
    <t>二月</t>
    <phoneticPr fontId="2" type="noConversion"/>
  </si>
  <si>
    <t>三月</t>
    <phoneticPr fontId="2" type="noConversion"/>
  </si>
  <si>
    <t>四月</t>
    <phoneticPr fontId="2" type="noConversion"/>
  </si>
  <si>
    <t>五月</t>
    <phoneticPr fontId="2" type="noConversion"/>
  </si>
  <si>
    <t>六月</t>
    <phoneticPr fontId="2" type="noConversion"/>
  </si>
  <si>
    <t>七月暑訓</t>
    <phoneticPr fontId="2" type="noConversion"/>
  </si>
  <si>
    <t>八月暑訓</t>
    <phoneticPr fontId="2" type="noConversion"/>
  </si>
  <si>
    <t>十二月</t>
  </si>
  <si>
    <t>總計</t>
    <phoneticPr fontId="2" type="noConversion"/>
  </si>
  <si>
    <t>1</t>
    <phoneticPr fontId="2" type="noConversion"/>
  </si>
  <si>
    <t>2</t>
    <phoneticPr fontId="2" type="noConversion"/>
  </si>
  <si>
    <t>6</t>
    <phoneticPr fontId="2" type="noConversion"/>
  </si>
  <si>
    <t>顏敬恆</t>
    <phoneticPr fontId="2" type="noConversion"/>
  </si>
  <si>
    <t>顏敬庭</t>
    <phoneticPr fontId="2" type="noConversion"/>
  </si>
  <si>
    <t>6</t>
    <phoneticPr fontId="2" type="noConversion"/>
  </si>
  <si>
    <t>盧易宏</t>
    <phoneticPr fontId="2" type="noConversion"/>
  </si>
  <si>
    <t>羅子宸</t>
    <phoneticPr fontId="44" type="noConversion"/>
  </si>
  <si>
    <t>施沛平</t>
    <phoneticPr fontId="2" type="noConversion"/>
  </si>
  <si>
    <t>李依瑾</t>
    <phoneticPr fontId="44" type="noConversion"/>
  </si>
  <si>
    <t>林群倫</t>
    <phoneticPr fontId="44" type="noConversion"/>
  </si>
  <si>
    <t xml:space="preserve"> 陳楷恩 </t>
    <phoneticPr fontId="2" type="noConversion"/>
  </si>
  <si>
    <t>顏椲珣</t>
    <phoneticPr fontId="2" type="noConversion"/>
  </si>
  <si>
    <t>廖楷淯</t>
    <phoneticPr fontId="2" type="noConversion"/>
  </si>
  <si>
    <t>劉貞妤</t>
    <phoneticPr fontId="44" type="noConversion"/>
  </si>
  <si>
    <t>胡茗心</t>
    <phoneticPr fontId="2" type="noConversion"/>
  </si>
  <si>
    <t>梁逸廷</t>
    <phoneticPr fontId="2" type="noConversion"/>
  </si>
  <si>
    <t>楊欣桐</t>
    <phoneticPr fontId="2" type="noConversion"/>
  </si>
  <si>
    <t>楊舒云</t>
    <phoneticPr fontId="2" type="noConversion"/>
  </si>
  <si>
    <t>羅允蔚</t>
    <phoneticPr fontId="2" type="noConversion"/>
  </si>
  <si>
    <t>高鈺蓉</t>
    <phoneticPr fontId="2" type="noConversion"/>
  </si>
  <si>
    <t>李漢莛</t>
    <phoneticPr fontId="2" type="noConversion"/>
  </si>
  <si>
    <t>黃貞喜</t>
    <phoneticPr fontId="2" type="noConversion"/>
  </si>
  <si>
    <t>林牧謙</t>
    <phoneticPr fontId="2" type="noConversion"/>
  </si>
  <si>
    <t>傅冠勳</t>
    <phoneticPr fontId="2" type="noConversion"/>
  </si>
  <si>
    <t>邱敬能</t>
  </si>
  <si>
    <t>王星皓</t>
    <phoneticPr fontId="44" type="noConversion"/>
  </si>
  <si>
    <t>吳畇鱳</t>
  </si>
  <si>
    <t>黃圓量</t>
    <phoneticPr fontId="2" type="noConversion"/>
  </si>
  <si>
    <t>呂奕甫</t>
    <phoneticPr fontId="2" type="noConversion"/>
  </si>
  <si>
    <t>梁采甯</t>
    <phoneticPr fontId="2" type="noConversion"/>
  </si>
  <si>
    <t>翁羚瑄</t>
    <phoneticPr fontId="2" type="noConversion"/>
  </si>
  <si>
    <t>高浤鈞</t>
    <phoneticPr fontId="2" type="noConversion"/>
  </si>
  <si>
    <t>張倢菱</t>
    <phoneticPr fontId="2" type="noConversion"/>
  </si>
  <si>
    <t>王姿云</t>
    <phoneticPr fontId="2" type="noConversion"/>
  </si>
  <si>
    <t>羅允曄</t>
    <phoneticPr fontId="2" type="noConversion"/>
  </si>
  <si>
    <t>唐筠熙</t>
    <phoneticPr fontId="2" type="noConversion"/>
  </si>
  <si>
    <t>宋承臻</t>
    <phoneticPr fontId="2" type="noConversion"/>
  </si>
  <si>
    <t>陳妍安</t>
    <phoneticPr fontId="2" type="noConversion"/>
  </si>
  <si>
    <t>陳亞祥</t>
    <phoneticPr fontId="2" type="noConversion"/>
  </si>
  <si>
    <t>陳亞駿</t>
    <phoneticPr fontId="2" type="noConversion"/>
  </si>
  <si>
    <t>陳子謙</t>
    <phoneticPr fontId="2" type="noConversion"/>
  </si>
  <si>
    <t>莊博椉</t>
    <phoneticPr fontId="2" type="noConversion"/>
  </si>
  <si>
    <t>鄧皓元</t>
    <phoneticPr fontId="2" type="noConversion"/>
  </si>
  <si>
    <t>鄧詠欣</t>
    <phoneticPr fontId="2" type="noConversion"/>
  </si>
  <si>
    <t>鄭羽彤</t>
    <phoneticPr fontId="2" type="noConversion"/>
  </si>
  <si>
    <t>郭宥呈</t>
    <phoneticPr fontId="2" type="noConversion"/>
  </si>
  <si>
    <t>莊喬媗</t>
    <phoneticPr fontId="2" type="noConversion"/>
  </si>
  <si>
    <t>楊千綸</t>
    <phoneticPr fontId="2" type="noConversion"/>
  </si>
  <si>
    <t>李惟逸</t>
    <phoneticPr fontId="2" type="noConversion"/>
  </si>
  <si>
    <t>馮筠凱</t>
    <phoneticPr fontId="2" type="noConversion"/>
  </si>
  <si>
    <t>邱俞潔</t>
    <phoneticPr fontId="2" type="noConversion"/>
  </si>
  <si>
    <t>黃炳森</t>
    <phoneticPr fontId="2" type="noConversion"/>
  </si>
  <si>
    <t>周柏呈</t>
    <phoneticPr fontId="2" type="noConversion"/>
  </si>
  <si>
    <t>陳睿曦</t>
    <phoneticPr fontId="2" type="noConversion"/>
  </si>
  <si>
    <t>陳芯緹</t>
    <phoneticPr fontId="2" type="noConversion"/>
  </si>
  <si>
    <t>陳詠晴</t>
    <phoneticPr fontId="2" type="noConversion"/>
  </si>
  <si>
    <t>陳楚翔</t>
    <phoneticPr fontId="2" type="noConversion"/>
  </si>
  <si>
    <t>郭承安</t>
    <phoneticPr fontId="2" type="noConversion"/>
  </si>
  <si>
    <t>陳芊妤</t>
    <phoneticPr fontId="2" type="noConversion"/>
  </si>
  <si>
    <t>呂奕辰</t>
    <phoneticPr fontId="2" type="noConversion"/>
  </si>
  <si>
    <t>邱若棠</t>
    <phoneticPr fontId="2" type="noConversion"/>
  </si>
  <si>
    <t>鄧又榮</t>
    <phoneticPr fontId="2" type="noConversion"/>
  </si>
  <si>
    <t>蔡享锝</t>
    <phoneticPr fontId="2" type="noConversion"/>
  </si>
  <si>
    <t>楊宥駿</t>
    <phoneticPr fontId="2" type="noConversion"/>
  </si>
  <si>
    <t>葉妮霓</t>
    <phoneticPr fontId="2" type="noConversion"/>
  </si>
  <si>
    <t>黃證翰</t>
    <phoneticPr fontId="2" type="noConversion"/>
  </si>
  <si>
    <t>曾崇恩</t>
    <phoneticPr fontId="2" type="noConversion"/>
  </si>
  <si>
    <t>方于誠</t>
    <phoneticPr fontId="2" type="noConversion"/>
  </si>
  <si>
    <t>王星諺</t>
    <phoneticPr fontId="2" type="noConversion"/>
  </si>
  <si>
    <t>謝宇恩</t>
    <phoneticPr fontId="2" type="noConversion"/>
  </si>
  <si>
    <t>彭澤靖</t>
    <phoneticPr fontId="2" type="noConversion"/>
  </si>
  <si>
    <t>陳秉權</t>
    <phoneticPr fontId="2" type="noConversion"/>
  </si>
  <si>
    <t>陳泓佑</t>
    <phoneticPr fontId="2" type="noConversion"/>
  </si>
  <si>
    <t>李秉倩</t>
    <phoneticPr fontId="2" type="noConversion"/>
  </si>
  <si>
    <t>林銘呈</t>
    <phoneticPr fontId="2" type="noConversion"/>
  </si>
  <si>
    <t>林欣妍</t>
    <phoneticPr fontId="2" type="noConversion"/>
  </si>
  <si>
    <t>林欣妙</t>
    <phoneticPr fontId="2" type="noConversion"/>
  </si>
  <si>
    <t>陳冠廷</t>
    <phoneticPr fontId="2" type="noConversion"/>
  </si>
  <si>
    <t>陳冠羽</t>
    <phoneticPr fontId="2" type="noConversion"/>
  </si>
  <si>
    <t>潘宥呈</t>
    <phoneticPr fontId="2" type="noConversion"/>
  </si>
  <si>
    <t>陳振廷</t>
    <phoneticPr fontId="2" type="noConversion"/>
  </si>
  <si>
    <t>潘杰熙</t>
    <phoneticPr fontId="2" type="noConversion"/>
  </si>
  <si>
    <t>王廷豪</t>
    <phoneticPr fontId="2" type="noConversion"/>
  </si>
  <si>
    <t>楊詠晴</t>
    <phoneticPr fontId="2" type="noConversion"/>
  </si>
  <si>
    <t>廖苡岑</t>
    <phoneticPr fontId="2" type="noConversion"/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</si>
  <si>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</si>
  <si>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</si>
  <si>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</si>
  <si>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</si>
  <si>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</si>
  <si>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</si>
  <si>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</si>
  <si>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</si>
  <si>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</si>
  <si>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</si>
  <si>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</si>
  <si>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</si>
  <si>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</si>
  <si>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</si>
  <si>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</si>
  <si>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</si>
  <si>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</si>
  <si>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</si>
  <si>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</si>
  <si>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</si>
  <si>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</si>
  <si>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</si>
  <si>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</si>
  <si>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</si>
  <si>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</si>
  <si>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</si>
  <si>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</si>
  <si>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</si>
  <si>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</si>
  <si>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</si>
  <si>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</si>
  <si>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</si>
  <si>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</si>
  <si>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</si>
  <si>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</si>
  <si>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</si>
  <si>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</si>
  <si>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</si>
  <si>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</si>
  <si>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</si>
  <si>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</si>
  <si>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</si>
  <si>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</si>
  <si>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</si>
  <si>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</si>
  <si>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</si>
  <si>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</si>
  <si>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</si>
  <si>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</si>
  <si>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</si>
  <si>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</si>
  <si>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</si>
  <si>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</si>
  <si>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</si>
  <si>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</si>
  <si>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</si>
  <si>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</si>
  <si>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</si>
  <si>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</si>
  <si>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</si>
  <si>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</si>
  <si>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</si>
  <si>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</si>
  <si>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</si>
  <si>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</si>
  <si>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</si>
  <si>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</si>
  <si>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</si>
  <si>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</si>
  <si>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</si>
  <si>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</si>
  <si>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</si>
  <si>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</si>
  <si>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</si>
  <si>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</si>
  <si>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</si>
  <si>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</si>
  <si>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</si>
  <si>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</si>
  <si>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</si>
  <si>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</si>
  <si>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</si>
  <si>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</si>
  <si>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</si>
  <si>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</si>
  <si>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銀行收入-黃貞喜+黃圓量</t>
    <phoneticPr fontId="2" type="noConversion"/>
  </si>
  <si>
    <t>購買衛生紙$365*2</t>
    <phoneticPr fontId="2" type="noConversion"/>
  </si>
  <si>
    <t>銀行收入-顏椲珣</t>
    <phoneticPr fontId="2" type="noConversion"/>
  </si>
  <si>
    <t>銀行收入-廖楷淯</t>
    <phoneticPr fontId="2" type="noConversion"/>
  </si>
  <si>
    <t>銀行收入-葉妮霓</t>
    <phoneticPr fontId="2" type="noConversion"/>
  </si>
  <si>
    <t>銀行收入-陳詠晴+陳睿曦</t>
    <phoneticPr fontId="2" type="noConversion"/>
  </si>
  <si>
    <t>銀行收入-宋承臻+(1/6日寒訓$4000元)</t>
    <phoneticPr fontId="2" type="noConversion"/>
  </si>
  <si>
    <t>銀行收入-鄧皓元+鄧詠欣+(寒訓$6600元)</t>
    <phoneticPr fontId="2" type="noConversion"/>
  </si>
  <si>
    <t>現金收入-陳秉權(12月月費)</t>
    <phoneticPr fontId="2" type="noConversion"/>
  </si>
  <si>
    <t>銀行收入-施沛平</t>
    <phoneticPr fontId="2" type="noConversion"/>
  </si>
  <si>
    <t>莊宇騰</t>
    <phoneticPr fontId="2" type="noConversion"/>
  </si>
  <si>
    <t>蔡杰峰</t>
    <phoneticPr fontId="2" type="noConversion"/>
  </si>
  <si>
    <t>現金一批(1月月費)</t>
    <phoneticPr fontId="2" type="noConversion"/>
  </si>
  <si>
    <t>陳緯恩</t>
    <phoneticPr fontId="2" type="noConversion"/>
  </si>
  <si>
    <t>郭柏宏</t>
    <phoneticPr fontId="2" type="noConversion"/>
  </si>
  <si>
    <t>郭柏均</t>
    <phoneticPr fontId="2" type="noConversion"/>
  </si>
  <si>
    <t>學費收入</t>
    <phoneticPr fontId="2" type="noConversion"/>
  </si>
  <si>
    <t>上年度結餘311304元</t>
    <phoneticPr fontId="2" type="noConversion"/>
  </si>
  <si>
    <r>
      <t>2</t>
    </r>
    <r>
      <rPr>
        <sz val="16"/>
        <color rgb="FF000000"/>
        <rFont val="微軟正黑體"/>
        <family val="2"/>
        <charset val="136"/>
      </rPr>
      <t>月</t>
    </r>
    <r>
      <rPr>
        <sz val="16"/>
        <color indexed="8"/>
        <rFont val="Songti TC Regular"/>
        <family val="3"/>
        <charset val="136"/>
      </rPr>
      <t>+寒訓</t>
    </r>
    <phoneticPr fontId="2" type="noConversion"/>
  </si>
  <si>
    <r>
      <t>1</t>
    </r>
    <r>
      <rPr>
        <sz val="16"/>
        <color rgb="FF000000"/>
        <rFont val="微軟正黑體"/>
        <family val="2"/>
        <charset val="136"/>
      </rPr>
      <t>月</t>
    </r>
    <phoneticPr fontId="2" type="noConversion"/>
  </si>
  <si>
    <t>現金收入-彭澤靖</t>
    <phoneticPr fontId="2" type="noConversion"/>
  </si>
  <si>
    <t>林彥廷</t>
    <phoneticPr fontId="2" type="noConversion"/>
  </si>
  <si>
    <t>葉門鐶</t>
    <phoneticPr fontId="2" type="noConversion"/>
  </si>
  <si>
    <t>林均庭</t>
    <phoneticPr fontId="2" type="noConversion"/>
  </si>
  <si>
    <t>現金收入-潘杰熙(11/8.29)(12/13)計次$400*3</t>
    <phoneticPr fontId="2" type="noConversion"/>
  </si>
  <si>
    <t>現金收入-蔡昊宸(12/27)計次$400*1</t>
    <phoneticPr fontId="2" type="noConversion"/>
  </si>
  <si>
    <t>現金收入-潘杰熙(10/18)計次$400*1</t>
    <phoneticPr fontId="2" type="noConversion"/>
  </si>
  <si>
    <t>現金收入-廖苡岑(11/8.22.27)計次$400*3</t>
    <phoneticPr fontId="2" type="noConversion"/>
  </si>
  <si>
    <t>現金收入-陳亞祥+陳亞駿</t>
    <phoneticPr fontId="2" type="noConversion"/>
  </si>
  <si>
    <t>銀行收入-林群倫</t>
    <phoneticPr fontId="2" type="noConversion"/>
  </si>
  <si>
    <t>現金支出-收費帶$60*2</t>
    <phoneticPr fontId="2" type="noConversion"/>
  </si>
  <si>
    <t>現金支出-慶生蛋糕</t>
    <phoneticPr fontId="2" type="noConversion"/>
  </si>
  <si>
    <t>銀行收入-陳亞祥+陳亞駿</t>
    <phoneticPr fontId="2" type="noConversion"/>
  </si>
  <si>
    <t>現金收入-王星皓+王星諺+陳秉權</t>
    <phoneticPr fontId="2" type="noConversion"/>
  </si>
  <si>
    <t>現金收入-馮筠凱(贊助$700元)</t>
    <phoneticPr fontId="2" type="noConversion"/>
  </si>
  <si>
    <t>銀行支出-簡易醫療用品</t>
    <phoneticPr fontId="2" type="noConversion"/>
  </si>
  <si>
    <t>林詠恩</t>
    <phoneticPr fontId="2" type="noConversion"/>
  </si>
  <si>
    <t>現金一批(寒訓)</t>
    <phoneticPr fontId="2" type="noConversion"/>
  </si>
  <si>
    <t>銀行收入-楊詠晴(計次)</t>
    <phoneticPr fontId="2" type="noConversion"/>
  </si>
  <si>
    <t>不參加</t>
    <phoneticPr fontId="2" type="noConversion"/>
  </si>
  <si>
    <t xml:space="preserve">不參加 </t>
    <phoneticPr fontId="2" type="noConversion"/>
  </si>
  <si>
    <t>蔡昊宸</t>
    <phoneticPr fontId="2" type="noConversion"/>
  </si>
  <si>
    <t>銀行支出-教練薪資(1月份)含匯費$105元</t>
    <phoneticPr fontId="2" type="noConversion"/>
  </si>
  <si>
    <t>請假</t>
    <phoneticPr fontId="2" type="noConversion"/>
  </si>
  <si>
    <t>羅冠堯</t>
    <phoneticPr fontId="2" type="noConversion"/>
  </si>
  <si>
    <t>黃亭瑄</t>
    <phoneticPr fontId="2" type="noConversion"/>
  </si>
  <si>
    <t>黃亭凱</t>
    <phoneticPr fontId="2" type="noConversion"/>
  </si>
  <si>
    <t>88</t>
    <phoneticPr fontId="2" type="noConversion"/>
  </si>
  <si>
    <t>89</t>
    <phoneticPr fontId="2" type="noConversion"/>
  </si>
  <si>
    <t>2月繳</t>
    <phoneticPr fontId="2" type="noConversion"/>
  </si>
  <si>
    <t>黃子芯</t>
    <phoneticPr fontId="2" type="noConversion"/>
  </si>
  <si>
    <t>陳品睿</t>
    <phoneticPr fontId="2" type="noConversion"/>
  </si>
  <si>
    <t>現金收入-陳芊妤</t>
    <phoneticPr fontId="2" type="noConversion"/>
  </si>
  <si>
    <t>現金收入-陳品睿(12/13.20.27)計次$400*3</t>
    <phoneticPr fontId="2" type="noConversion"/>
  </si>
  <si>
    <t>現金收入-黃子芯(11/8.22.29)(12/20)計次$400*4</t>
    <phoneticPr fontId="2" type="noConversion"/>
  </si>
  <si>
    <t>現金收入-陳振廷(寒訓)</t>
    <phoneticPr fontId="2" type="noConversion"/>
  </si>
  <si>
    <t>現金收入-楊宥駿+羅冠堯(寒訓)</t>
    <phoneticPr fontId="2" type="noConversion"/>
  </si>
  <si>
    <t>現金收入-王星皓+王星彥+鄭羽彤+馮筠凱(寒訓)</t>
    <phoneticPr fontId="2" type="noConversion"/>
  </si>
  <si>
    <t>現金收入-梁逸廷+梁采甯+高浤鈞(寒訓)</t>
    <phoneticPr fontId="2" type="noConversion"/>
  </si>
  <si>
    <t>現金收入-盧易宏+羅允蔚+羅允曄+吳畇鱳(寒訓)</t>
    <phoneticPr fontId="2" type="noConversion"/>
  </si>
  <si>
    <t>現金支出-教練完春節禮盒$578*4盒</t>
    <phoneticPr fontId="2" type="noConversion"/>
  </si>
  <si>
    <t>現金支出-教練團春節禮金$2000*5位</t>
    <phoneticPr fontId="2" type="noConversion"/>
  </si>
  <si>
    <t>現金收入-林欣妍+林欣妙(寒訓)</t>
    <phoneticPr fontId="2" type="noConversion"/>
  </si>
  <si>
    <t>銀行收入-施沛平(寒訓)</t>
    <phoneticPr fontId="2" type="noConversion"/>
  </si>
  <si>
    <t>銀行收入-鄧皓元+鄧詠欣</t>
    <phoneticPr fontId="2" type="noConversion"/>
  </si>
  <si>
    <t>退隊</t>
    <phoneticPr fontId="2" type="noConversion"/>
  </si>
  <si>
    <t>現金一批(2月月費)</t>
    <phoneticPr fontId="2" type="noConversion"/>
  </si>
  <si>
    <t>銀行支出-教練薪資(2月份)含匯費$105元</t>
    <phoneticPr fontId="2" type="noConversion"/>
  </si>
  <si>
    <t>趙嘉甫</t>
    <phoneticPr fontId="2" type="noConversion"/>
  </si>
  <si>
    <t>陳勝凱</t>
    <phoneticPr fontId="2" type="noConversion"/>
  </si>
  <si>
    <t>現金收入-曾崇恩(寒訓)</t>
    <phoneticPr fontId="2" type="noConversion"/>
  </si>
  <si>
    <t>現金收入-郭承安+鄭羽彤+郭宥呈(2月月費)</t>
    <phoneticPr fontId="2" type="noConversion"/>
  </si>
  <si>
    <t>現金收入-陳子謙(12/19)(1/2.26.28.29.30)計次$400*6</t>
    <phoneticPr fontId="2" type="noConversion"/>
  </si>
  <si>
    <t>3月繳</t>
    <phoneticPr fontId="2" type="noConversion"/>
  </si>
  <si>
    <t>現金收入-唐筠熙(2/4.5.6.7.9(上下午).10(上下午))</t>
    <phoneticPr fontId="2" type="noConversion"/>
  </si>
  <si>
    <t>現金收入-唐筠熙(2月月費+會費)</t>
    <phoneticPr fontId="2" type="noConversion"/>
  </si>
  <si>
    <t>銀行收入-施沛平(2月月費+會費)</t>
    <phoneticPr fontId="2" type="noConversion"/>
  </si>
  <si>
    <t>現金收入-楊千綸+蔡享锝(2月月費+會費)</t>
    <phoneticPr fontId="2" type="noConversion"/>
  </si>
  <si>
    <t>銀行支出-招生影印單</t>
    <phoneticPr fontId="2" type="noConversion"/>
  </si>
  <si>
    <t>銀行收入-陳詠晴+陳睿熙</t>
    <phoneticPr fontId="2" type="noConversion"/>
  </si>
  <si>
    <t>銀行收入-宋承臻+(會費)</t>
    <phoneticPr fontId="2" type="noConversion"/>
  </si>
  <si>
    <t>現金收入-曾崇恩(2月月費+會費)</t>
    <phoneticPr fontId="2" type="noConversion"/>
  </si>
  <si>
    <t>現金一批</t>
    <phoneticPr fontId="2" type="noConversion"/>
  </si>
  <si>
    <t>銀行支出-教練薪資(3月份)含匯費$90元</t>
    <phoneticPr fontId="2" type="noConversion"/>
  </si>
  <si>
    <t>陳昱丞</t>
    <phoneticPr fontId="2" type="noConversion"/>
  </si>
  <si>
    <t>現金收入-高浤鈞</t>
    <phoneticPr fontId="2" type="noConversion"/>
  </si>
  <si>
    <t>銀行收入-宋承臻</t>
    <phoneticPr fontId="2" type="noConversion"/>
  </si>
  <si>
    <t>銀行收入-陳亞祥+陳亞駿(3月月費)</t>
    <phoneticPr fontId="2" type="noConversion"/>
  </si>
  <si>
    <t>銀行收入-唐筠熙</t>
    <phoneticPr fontId="2" type="noConversion"/>
  </si>
  <si>
    <t>4月繳</t>
    <phoneticPr fontId="2" type="noConversion"/>
  </si>
  <si>
    <t>吳昭賢</t>
    <phoneticPr fontId="2" type="noConversion"/>
  </si>
  <si>
    <t>邱德鵬</t>
    <phoneticPr fontId="2" type="noConversion"/>
  </si>
  <si>
    <t>鄧伊棠</t>
    <phoneticPr fontId="2" type="noConversion"/>
  </si>
  <si>
    <t>戴佩宸</t>
    <phoneticPr fontId="2" type="noConversion"/>
  </si>
  <si>
    <t>林書甫</t>
    <phoneticPr fontId="2" type="noConversion"/>
  </si>
  <si>
    <t>宋俊葦</t>
    <phoneticPr fontId="2" type="noConversion"/>
  </si>
  <si>
    <t>黃仕鈞</t>
    <phoneticPr fontId="2" type="noConversion"/>
  </si>
  <si>
    <t>4/24~25日小運會餐費</t>
    <phoneticPr fontId="2" type="noConversion"/>
  </si>
  <si>
    <t>現金收入-蔡享锝</t>
    <phoneticPr fontId="2" type="noConversion"/>
  </si>
  <si>
    <t>現金收入-李睿哲(4/6.11)計次$400*2</t>
    <phoneticPr fontId="2" type="noConversion"/>
  </si>
  <si>
    <t>李睿哲</t>
    <phoneticPr fontId="2" type="noConversion"/>
  </si>
  <si>
    <t>4/24~25小運會餐費</t>
    <phoneticPr fontId="2" type="noConversion"/>
  </si>
  <si>
    <t>現金收入-劉貞妤</t>
    <phoneticPr fontId="2" type="noConversion"/>
  </si>
  <si>
    <t>現金收入-莊博椉</t>
    <phoneticPr fontId="2" type="noConversion"/>
  </si>
  <si>
    <t>銀行支出-教練(4月份)薪資含會費$75元</t>
    <phoneticPr fontId="2" type="noConversion"/>
  </si>
  <si>
    <t>銀行支出-自由盃五男團體賽教練1名餐費</t>
    <phoneticPr fontId="2" type="noConversion"/>
  </si>
  <si>
    <t>銀行支出-自由盃五男團體賽教練1名住宿費</t>
    <phoneticPr fontId="2" type="noConversion"/>
  </si>
  <si>
    <t>銀行支出-4/30~5/1日自由盃五男團體賽教練1名交通費</t>
    <phoneticPr fontId="2" type="noConversion"/>
  </si>
  <si>
    <t>銀行支出-5/2~3日自由盃六男團體賽教練2名交通費</t>
    <phoneticPr fontId="2" type="noConversion"/>
  </si>
  <si>
    <t>銀行支出-自由盃六男團體賽教練2名餐費</t>
    <phoneticPr fontId="2" type="noConversion"/>
  </si>
  <si>
    <t>銀行支出-自由盃六男團體賽教練2名住宿費</t>
    <phoneticPr fontId="2" type="noConversion"/>
  </si>
  <si>
    <t>銀行支出-5/1~3日自由盃女團體賽教練2名交通費</t>
    <phoneticPr fontId="2" type="noConversion"/>
  </si>
  <si>
    <t>銀行支出-自由盃五女團體賽教練2名住宿費</t>
    <phoneticPr fontId="2" type="noConversion"/>
  </si>
  <si>
    <t>銀行支出-自由盃五女團體賽教練3名餐費</t>
    <phoneticPr fontId="2" type="noConversion"/>
  </si>
  <si>
    <t>銀行支出-自由盃體賽選手12名*$300元住宿補助</t>
    <phoneticPr fontId="2" type="noConversion"/>
  </si>
  <si>
    <t>5月繳</t>
    <phoneticPr fontId="2" type="noConversion"/>
  </si>
  <si>
    <t>4/30~5/3日自由盃團體賽教練4名交通費</t>
    <phoneticPr fontId="2" type="noConversion"/>
  </si>
  <si>
    <t>4/30~5/3日自由盃團體賽教練4名餐費</t>
    <phoneticPr fontId="2" type="noConversion"/>
  </si>
  <si>
    <t>4/30~5/3日自由盃團體賽教練4名住宿費</t>
    <phoneticPr fontId="2" type="noConversion"/>
  </si>
  <si>
    <t>自由盃報名費</t>
    <phoneticPr fontId="2" type="noConversion"/>
  </si>
  <si>
    <t>$300*12名選手住宿補助</t>
    <phoneticPr fontId="2" type="noConversion"/>
  </si>
  <si>
    <t>現金收入-林群倫(4月月費)</t>
    <phoneticPr fontId="2" type="noConversion"/>
  </si>
  <si>
    <t>現金收入-潘杰熙(3/7.14.21.28)計次$400*4</t>
    <phoneticPr fontId="2" type="noConversion"/>
  </si>
  <si>
    <t>現金收入-蔡昊宸(3/7.14.21.28)計次$400*4</t>
    <phoneticPr fontId="2" type="noConversion"/>
  </si>
  <si>
    <t>現金收入-黃子芯(1/3.17)計次$400*2</t>
    <phoneticPr fontId="2" type="noConversion"/>
  </si>
  <si>
    <t>現金收入-陳楚翔+唐筠熙+曾崇恩+彭澤靖</t>
    <phoneticPr fontId="2" type="noConversion"/>
  </si>
  <si>
    <t>銀行收入-黃圓量</t>
    <phoneticPr fontId="2" type="noConversion"/>
  </si>
  <si>
    <t>銀行支出-冷氣過濾棉</t>
    <phoneticPr fontId="2" type="noConversion"/>
  </si>
  <si>
    <t>銀行收入-廖楷淯+葉妮霓</t>
    <phoneticPr fontId="2" type="noConversion"/>
  </si>
  <si>
    <t>現金收入-小運會午餐退費$400元+自由盃$200元</t>
    <phoneticPr fontId="2" type="noConversion"/>
  </si>
  <si>
    <t>現金一批 (4月月費)</t>
    <phoneticPr fontId="2" type="noConversion"/>
  </si>
  <si>
    <t>畢業</t>
    <phoneticPr fontId="2" type="noConversion"/>
  </si>
  <si>
    <t>楊勝寓</t>
    <phoneticPr fontId="2" type="noConversion"/>
  </si>
  <si>
    <t>103</t>
    <phoneticPr fontId="2" type="noConversion"/>
  </si>
  <si>
    <t>陳秉寬</t>
    <phoneticPr fontId="2" type="noConversion"/>
  </si>
  <si>
    <t>蔡依萍</t>
    <phoneticPr fontId="2" type="noConversion"/>
  </si>
  <si>
    <t>現金收入-馮筠凱(4月月費+贊助$700元)</t>
    <phoneticPr fontId="2" type="noConversion"/>
  </si>
  <si>
    <t>現金收入-蔡依萍</t>
    <phoneticPr fontId="2" type="noConversion"/>
  </si>
  <si>
    <t>銀行支出-招生影印費</t>
    <phoneticPr fontId="2" type="noConversion"/>
  </si>
  <si>
    <t>銀行支出-燈管費</t>
    <phoneticPr fontId="2" type="noConversion"/>
  </si>
  <si>
    <t>現金收入-郭宥呈</t>
    <phoneticPr fontId="2" type="noConversion"/>
  </si>
  <si>
    <t>現金收入-陳秉權</t>
    <phoneticPr fontId="2" type="noConversion"/>
  </si>
  <si>
    <t>現金收入-王廷豪(4/18.25)計次$400*2</t>
    <phoneticPr fontId="2" type="noConversion"/>
  </si>
  <si>
    <t>銀行支出-教練5月份薪資(含匯費90元)</t>
    <phoneticPr fontId="2" type="noConversion"/>
  </si>
  <si>
    <t>現金支出-畢業生學士熊花束禮袋$129*6位+購物袋$3元</t>
    <phoneticPr fontId="2" type="noConversion"/>
  </si>
  <si>
    <t>現金支出-小運會選手16名*100元獎勵金</t>
    <phoneticPr fontId="2" type="noConversion"/>
  </si>
  <si>
    <t>現金支出-小運會甲組女童第一名教練團獎金</t>
    <phoneticPr fontId="2" type="noConversion"/>
  </si>
  <si>
    <t>現金支出-自由盃11歲組女童第五名教練團獎金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</si>
</sst>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#,##0&quot; &quot;;\(#,##0\)"/>
    <numFmt numFmtId="177" formatCode="#,##0&quot; &quot;"/>
    <numFmt numFmtId="178" formatCode="&quot; &quot;* #,##0&quot; &quot;;&quot;-&quot;* #,##0&quot; &quot;;&quot; &quot;* &quot;-&quot;??&quot; &quot;"/>
    <numFmt numFmtId="179" formatCode="#,##0&quot; &quot;;&quot;-&quot;#,##0&quot; &quot;"/>
    <numFmt numFmtId="180" formatCode="#,##0_ ;[Red]\-#,##0\ "/>
    <numFmt numFmtId="181" formatCode="_-* #,##0_-;\-* #,##0_-;_-* &quot;-&quot;??_-;_-@_-"/>
    <numFmt numFmtId="182" formatCode="#,##0_ "/>
  </numFmts>
  <fonts count="53">
    <font>
      <sz val="12"/>
      <color indexed="8"/>
      <name val="Songti TC Regular"/>
    </font>
    <font>
      <sz val="18"/>
      <color indexed="8"/>
      <name val="細明體"/>
      <family val="3"/>
      <charset val="136"/>
    </font>
    <font>
      <sz val="9"/>
      <name val="細明體"/>
      <family val="3"/>
      <charset val="136"/>
    </font>
    <font>
      <sz val="14"/>
      <color indexed="8"/>
      <name val="細明體"/>
      <family val="3"/>
      <charset val="136"/>
    </font>
    <font>
      <sz val="12"/>
      <color indexed="8"/>
      <name val="細明體"/>
      <family val="3"/>
      <charset val="136"/>
    </font>
    <font>
      <sz val="14"/>
      <color rgb="FFFF0000"/>
      <name val="細明體"/>
      <family val="3"/>
      <charset val="136"/>
    </font>
    <font>
      <sz val="12"/>
      <color rgb="FFFF0000"/>
      <name val="Songti TC Regular"/>
      <family val="3"/>
      <charset val="136"/>
    </font>
    <font>
      <sz val="18"/>
      <color indexed="8"/>
      <name val="Songti TC Bold"/>
      <family val="1"/>
      <charset val="136"/>
    </font>
    <font>
      <sz val="14"/>
      <color indexed="8"/>
      <name val="Songti TC Bold"/>
      <family val="1"/>
    </font>
    <font>
      <sz val="14"/>
      <color indexed="8"/>
      <name val="Songti TC Regular"/>
      <family val="3"/>
      <charset val="136"/>
    </font>
    <font>
      <sz val="16"/>
      <color indexed="8"/>
      <name val="Songti TC Regular"/>
      <family val="3"/>
      <charset val="136"/>
    </font>
    <font>
      <sz val="16"/>
      <color indexed="8"/>
      <name val="細明體"/>
      <family val="3"/>
      <charset val="136"/>
    </font>
    <font>
      <sz val="15"/>
      <color indexed="8"/>
      <name val="Songti TC Regular"/>
      <family val="3"/>
      <charset val="136"/>
    </font>
    <font>
      <sz val="16"/>
      <name val="Songti TC Regular"/>
      <family val="3"/>
      <charset val="136"/>
    </font>
    <font>
      <sz val="14"/>
      <color indexed="16"/>
      <name val="Songti TC Regular"/>
      <family val="3"/>
      <charset val="136"/>
    </font>
    <font>
      <sz val="12"/>
      <color indexed="16"/>
      <name val="Songti TC Regular"/>
      <family val="3"/>
      <charset val="136"/>
    </font>
    <font>
      <sz val="14"/>
      <name val="細明體"/>
      <family val="3"/>
      <charset val="136"/>
    </font>
    <font>
      <u/>
      <sz val="16"/>
      <color rgb="FFFF0000"/>
      <name val="Songti TC Bold"/>
      <family val="1"/>
    </font>
    <font>
      <sz val="16"/>
      <name val="Songti TC Regular"/>
      <family val="2"/>
    </font>
    <font>
      <sz val="12"/>
      <name val="Songti TC Regular"/>
      <family val="2"/>
    </font>
    <font>
      <sz val="16"/>
      <color rgb="FFFF0000"/>
      <name val="Songti TC Regular"/>
      <family val="3"/>
      <charset val="136"/>
    </font>
    <font>
      <sz val="16"/>
      <color rgb="FFFF0000"/>
      <name val="Songti TC Regular"/>
      <family val="2"/>
    </font>
    <font>
      <sz val="12"/>
      <color rgb="FFFF0000"/>
      <name val="Songti TC Regular"/>
      <family val="2"/>
    </font>
    <font>
      <u/>
      <sz val="16"/>
      <color rgb="FFFF0000"/>
      <name val="Songti TC Regular"/>
      <family val="3"/>
      <charset val="136"/>
    </font>
    <font>
      <sz val="14"/>
      <name val="Songti TC Bold"/>
      <family val="1"/>
    </font>
    <font>
      <sz val="14"/>
      <name val="Songti TC Regular"/>
      <family val="3"/>
      <charset val="136"/>
    </font>
    <font>
      <sz val="12"/>
      <color indexed="8"/>
      <name val="Songti TC Regular"/>
    </font>
    <font>
      <sz val="10"/>
      <color indexed="8"/>
      <name val="Helvetica Neue"/>
      <family val="1"/>
      <charset val="136"/>
    </font>
    <font>
      <sz val="16"/>
      <color rgb="FFFF0000"/>
      <name val="細明體"/>
      <family val="3"/>
      <charset val="136"/>
    </font>
    <font>
      <sz val="12"/>
      <name val="新細明體"/>
      <family val="1"/>
      <charset val="136"/>
    </font>
    <font>
      <sz val="16"/>
      <name val="細明體"/>
      <family val="3"/>
      <charset val="136"/>
    </font>
    <font>
      <u/>
      <sz val="16"/>
      <color theme="1"/>
      <name val="Songti TC Bold"/>
      <family val="1"/>
    </font>
    <font>
      <sz val="16"/>
      <color rgb="FF000000"/>
      <name val="微軟正黑體"/>
      <family val="2"/>
      <charset val="136"/>
    </font>
    <font>
      <sz val="14"/>
      <color rgb="FF002060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4"/>
      <color rgb="FF000000"/>
      <name val="細明體"/>
      <family val="3"/>
      <charset val="136"/>
    </font>
    <font>
      <sz val="16"/>
      <color indexed="8"/>
      <name val="標楷體"/>
      <family val="4"/>
      <charset val="136"/>
    </font>
    <font>
      <sz val="14"/>
      <color indexed="8"/>
      <name val="標楷體"/>
      <family val="4"/>
      <charset val="136"/>
    </font>
    <font>
      <sz val="18"/>
      <color indexed="8"/>
      <name val="標楷體"/>
      <family val="4"/>
      <charset val="136"/>
    </font>
    <font>
      <sz val="16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16"/>
      <color rgb="FFC00000"/>
      <name val="標楷體"/>
      <family val="4"/>
      <charset val="136"/>
    </font>
    <font>
      <sz val="16"/>
      <color theme="4" tint="-0.249977111117893"/>
      <name val="標楷體"/>
      <family val="4"/>
      <charset val="136"/>
    </font>
    <font>
      <sz val="14"/>
      <color theme="4" tint="-0.249977111117893"/>
      <name val="標楷體"/>
      <family val="4"/>
      <charset val="136"/>
    </font>
    <font>
      <sz val="9"/>
      <name val="Helvetica Neue"/>
      <family val="1"/>
      <charset val="136"/>
    </font>
    <font>
      <sz val="16"/>
      <name val="標楷體"/>
      <family val="4"/>
      <charset val="136"/>
    </font>
    <font>
      <sz val="14"/>
      <color rgb="FFC00000"/>
      <name val="標楷體"/>
      <family val="4"/>
      <charset val="136"/>
    </font>
    <font>
      <sz val="18"/>
      <color rgb="FF000000"/>
      <name val="標楷體"/>
      <family val="4"/>
      <charset val="136"/>
    </font>
    <font>
      <sz val="16"/>
      <color indexed="8"/>
      <name val="新細明體"/>
      <family val="1"/>
      <charset val="136"/>
      <scheme val="major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6"/>
      <color indexed="8"/>
      <name val="Songti TC Bold"/>
      <family val="1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24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ck">
        <color indexed="18"/>
      </right>
      <top style="thin">
        <color indexed="18"/>
      </top>
      <bottom style="thin">
        <color indexed="1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indexed="18"/>
      </left>
      <right style="thin">
        <color indexed="8"/>
      </right>
      <top style="thick">
        <color indexed="1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18"/>
      </top>
      <bottom style="thin">
        <color indexed="8"/>
      </bottom>
      <diagonal/>
    </border>
    <border>
      <left style="thin">
        <color indexed="8"/>
      </left>
      <right style="thick">
        <color indexed="18"/>
      </right>
      <top style="thick">
        <color indexed="18"/>
      </top>
      <bottom style="thin">
        <color indexed="8"/>
      </bottom>
      <diagonal/>
    </border>
    <border>
      <left style="thick">
        <color indexed="1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18"/>
      </left>
      <right style="thin">
        <color indexed="18"/>
      </right>
      <top style="thick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ck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8"/>
      </right>
      <top style="thick">
        <color indexed="18"/>
      </top>
      <bottom style="thin">
        <color indexed="18"/>
      </bottom>
      <diagonal/>
    </border>
    <border>
      <left style="thick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ck">
        <color indexed="18"/>
      </right>
      <top style="thin">
        <color indexed="8"/>
      </top>
      <bottom style="thin">
        <color indexed="18"/>
      </bottom>
      <diagonal/>
    </border>
    <border>
      <left style="thick">
        <color indexed="18"/>
      </left>
      <right style="thin">
        <color indexed="18"/>
      </right>
      <top style="thin">
        <color indexed="18"/>
      </top>
      <bottom style="thick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ck">
        <color indexed="18"/>
      </bottom>
      <diagonal/>
    </border>
    <border>
      <left style="thin">
        <color indexed="18"/>
      </left>
      <right style="thick">
        <color indexed="18"/>
      </right>
      <top style="thin">
        <color indexed="18"/>
      </top>
      <bottom style="thick">
        <color indexed="18"/>
      </bottom>
      <diagonal/>
    </border>
    <border>
      <left style="thin">
        <color indexed="8"/>
      </left>
      <right style="thin">
        <color indexed="18"/>
      </right>
      <top style="thick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8"/>
      </right>
      <top style="thin">
        <color indexed="18"/>
      </top>
      <bottom style="thin">
        <color indexed="18"/>
      </bottom>
      <diagonal/>
    </border>
    <border>
      <left style="thin">
        <color indexed="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ck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18"/>
      </right>
      <top style="thin">
        <color indexed="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8"/>
      </bottom>
      <diagonal/>
    </border>
    <border>
      <left style="thin">
        <color indexed="18"/>
      </left>
      <right style="thin">
        <color indexed="18"/>
      </right>
      <top style="thin">
        <color indexed="8"/>
      </top>
      <bottom style="thick">
        <color indexed="18"/>
      </bottom>
      <diagonal/>
    </border>
    <border>
      <left style="thin">
        <color indexed="18"/>
      </left>
      <right style="thick">
        <color indexed="18"/>
      </right>
      <top style="thick">
        <color indexed="18"/>
      </top>
      <bottom style="thin">
        <color indexed="18"/>
      </bottom>
      <diagonal/>
    </border>
    <border>
      <left style="thick">
        <color indexed="18"/>
      </left>
      <right style="thin">
        <color indexed="17"/>
      </right>
      <top style="thick">
        <color indexed="18"/>
      </top>
      <bottom style="thin">
        <color indexed="18"/>
      </bottom>
      <diagonal/>
    </border>
    <border>
      <left style="thin">
        <color indexed="17"/>
      </left>
      <right style="thin">
        <color indexed="18"/>
      </right>
      <top style="thick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7"/>
      </right>
      <top style="thick">
        <color indexed="18"/>
      </top>
      <bottom style="thin">
        <color indexed="18"/>
      </bottom>
      <diagonal/>
    </border>
    <border>
      <left style="thin">
        <color indexed="17"/>
      </left>
      <right style="thin">
        <color indexed="17"/>
      </right>
      <top style="thick">
        <color indexed="18"/>
      </top>
      <bottom style="thin">
        <color indexed="18"/>
      </bottom>
      <diagonal/>
    </border>
    <border>
      <left style="thick">
        <color indexed="18"/>
      </left>
      <right style="thin">
        <color indexed="17"/>
      </right>
      <top style="thin">
        <color indexed="18"/>
      </top>
      <bottom style="thin">
        <color indexed="18"/>
      </bottom>
      <diagonal/>
    </border>
    <border>
      <left style="thin">
        <color indexed="17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7"/>
      </right>
      <top style="thin">
        <color indexed="18"/>
      </top>
      <bottom style="thin">
        <color indexed="18"/>
      </bottom>
      <diagonal/>
    </border>
    <border>
      <left style="thin">
        <color indexed="17"/>
      </left>
      <right style="thin">
        <color indexed="17"/>
      </right>
      <top style="thin">
        <color indexed="18"/>
      </top>
      <bottom style="thin">
        <color indexed="18"/>
      </bottom>
      <diagonal/>
    </border>
    <border>
      <left style="thin">
        <color indexed="17"/>
      </left>
      <right style="thick">
        <color indexed="18"/>
      </right>
      <top style="thin">
        <color indexed="18"/>
      </top>
      <bottom style="thin">
        <color indexed="18"/>
      </bottom>
      <diagonal/>
    </border>
    <border>
      <left/>
      <right style="thin">
        <color indexed="17"/>
      </right>
      <top style="thin">
        <color indexed="18"/>
      </top>
      <bottom style="thin">
        <color indexed="18"/>
      </bottom>
      <diagonal/>
    </border>
    <border>
      <left style="thick">
        <color indexed="18"/>
      </left>
      <right style="thin">
        <color indexed="17"/>
      </right>
      <top style="thin">
        <color indexed="18"/>
      </top>
      <bottom/>
      <diagonal/>
    </border>
    <border>
      <left style="thin">
        <color indexed="17"/>
      </left>
      <right style="thin">
        <color indexed="17"/>
      </right>
      <top style="thin">
        <color indexed="18"/>
      </top>
      <bottom/>
      <diagonal/>
    </border>
    <border>
      <left style="medium">
        <color indexed="8"/>
      </left>
      <right style="thin">
        <color indexed="17"/>
      </right>
      <top style="medium">
        <color indexed="8"/>
      </top>
      <bottom style="medium">
        <color indexed="8"/>
      </bottom>
      <diagonal/>
    </border>
    <border>
      <left style="thin">
        <color indexed="17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ck">
        <color indexed="18"/>
      </bottom>
      <diagonal/>
    </border>
    <border>
      <left/>
      <right style="thin">
        <color indexed="17"/>
      </right>
      <top style="thin">
        <color indexed="17"/>
      </top>
      <bottom style="thick">
        <color indexed="18"/>
      </bottom>
      <diagonal/>
    </border>
    <border>
      <left style="thick">
        <color indexed="18"/>
      </left>
      <right style="thick">
        <color indexed="18"/>
      </right>
      <top style="thick">
        <color indexed="18"/>
      </top>
      <bottom style="thin">
        <color indexed="8"/>
      </bottom>
      <diagonal/>
    </border>
    <border>
      <left style="thick">
        <color indexed="18"/>
      </left>
      <right style="thick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 style="thin">
        <color indexed="17"/>
      </right>
      <top style="thick">
        <color indexed="1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18"/>
      </top>
      <bottom/>
      <diagonal/>
    </border>
    <border>
      <left style="thin">
        <color indexed="8"/>
      </left>
      <right style="thick">
        <color indexed="18"/>
      </right>
      <top/>
      <bottom style="thin">
        <color indexed="8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indexed="8"/>
      </right>
      <top style="thick">
        <color indexed="18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ck">
        <color indexed="18"/>
      </left>
      <right style="thick">
        <color indexed="1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ck">
        <color auto="1"/>
      </bottom>
      <diagonal/>
    </border>
    <border>
      <left style="thin">
        <color indexed="8"/>
      </left>
      <right style="thin">
        <color indexed="8"/>
      </right>
      <top/>
      <bottom style="thick">
        <color indexed="1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ck">
        <color indexed="1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ck">
        <color indexed="18"/>
      </right>
      <top/>
      <bottom/>
      <diagonal/>
    </border>
    <border>
      <left style="thin">
        <color indexed="8"/>
      </left>
      <right style="thin">
        <color indexed="8"/>
      </right>
      <top/>
      <bottom style="medium">
        <color auto="1"/>
      </bottom>
      <diagonal/>
    </border>
    <border>
      <left style="thin">
        <color indexed="8"/>
      </left>
      <right style="thick">
        <color indexed="18"/>
      </right>
      <top/>
      <bottom style="medium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ck">
        <color indexed="18"/>
      </right>
      <top style="thin">
        <color auto="1"/>
      </top>
      <bottom style="thin">
        <color auto="1"/>
      </bottom>
      <diagonal/>
    </border>
    <border>
      <left style="thick">
        <color indexed="18"/>
      </left>
      <right style="thin">
        <color indexed="8"/>
      </right>
      <top/>
      <bottom style="thin">
        <color indexed="8"/>
      </bottom>
      <diagonal/>
    </border>
    <border>
      <left style="thick">
        <color indexed="18"/>
      </left>
      <right style="thin">
        <color indexed="8"/>
      </right>
      <top/>
      <bottom style="thin">
        <color auto="1"/>
      </bottom>
      <diagonal/>
    </border>
    <border>
      <left style="thick">
        <color indexed="18"/>
      </left>
      <right style="thin">
        <color indexed="8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medium">
        <color auto="1"/>
      </bottom>
      <diagonal/>
    </border>
    <border>
      <left style="thick">
        <color indexed="1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7"/>
      </left>
      <right/>
      <top style="thin">
        <color indexed="17"/>
      </top>
      <bottom style="thin">
        <color auto="1"/>
      </bottom>
      <diagonal/>
    </border>
    <border>
      <left/>
      <right/>
      <top style="thin">
        <color indexed="17"/>
      </top>
      <bottom style="thin">
        <color auto="1"/>
      </bottom>
      <diagonal/>
    </border>
    <border>
      <left/>
      <right style="thin">
        <color indexed="17"/>
      </right>
      <top style="thin">
        <color indexed="17"/>
      </top>
      <bottom style="thin">
        <color auto="1"/>
      </bottom>
      <diagonal/>
    </border>
    <border>
      <left style="thin">
        <color indexed="8"/>
      </left>
      <right style="thick">
        <color indexed="18"/>
      </right>
      <top style="thin">
        <color indexed="1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theme="1"/>
      </bottom>
      <diagonal/>
    </border>
    <border>
      <left style="thin">
        <color indexed="17"/>
      </left>
      <right/>
      <top style="thin">
        <color indexed="18"/>
      </top>
      <bottom/>
      <diagonal/>
    </border>
    <border>
      <left/>
      <right style="thin">
        <color indexed="17"/>
      </right>
      <top style="thin">
        <color indexed="18"/>
      </top>
      <bottom/>
      <diagonal/>
    </border>
    <border>
      <left style="thin">
        <color indexed="17"/>
      </left>
      <right style="thick">
        <color indexed="18"/>
      </right>
      <top style="thin">
        <color indexed="1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Dot">
        <color indexed="64"/>
      </bottom>
      <diagonal/>
    </border>
    <border>
      <left style="thin">
        <color auto="1"/>
      </left>
      <right style="thin">
        <color auto="1"/>
      </right>
      <top style="mediumDashDotDot">
        <color indexed="64"/>
      </top>
      <bottom style="thin">
        <color auto="1"/>
      </bottom>
      <diagonal/>
    </border>
    <border>
      <left style="thick">
        <color indexed="1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18"/>
      </left>
      <right style="thick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dashDot">
        <color indexed="64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ashDot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ck">
        <color indexed="18"/>
      </top>
      <bottom style="thin">
        <color indexed="64"/>
      </bottom>
      <diagonal/>
    </border>
    <border>
      <left style="dashDot">
        <color indexed="64"/>
      </left>
      <right style="thin">
        <color auto="1"/>
      </right>
      <top/>
      <bottom style="dashDot">
        <color indexed="64"/>
      </bottom>
      <diagonal/>
    </border>
    <border>
      <left style="thin">
        <color indexed="8"/>
      </left>
      <right style="thick">
        <color indexed="18"/>
      </right>
      <top style="thick">
        <color indexed="18"/>
      </top>
      <bottom style="thin">
        <color indexed="64"/>
      </bottom>
      <diagonal/>
    </border>
    <border>
      <left style="thin">
        <color auto="1"/>
      </left>
      <right style="dashDot">
        <color indexed="64"/>
      </right>
      <top/>
      <bottom style="dashDot">
        <color indexed="64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rgb="FF6699FF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Dot">
        <color rgb="FF6699FF"/>
      </bottom>
      <diagonal/>
    </border>
  </borders>
  <cellStyleXfs count="4">
    <xf numFmtId="0" fontId="0" fillId="0" borderId="0" applyNumberFormat="0" applyFill="0" applyBorder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0" fontId="27" fillId="0" borderId="0" applyNumberFormat="0" applyFill="0" applyBorder="0" applyProtection="0">
      <alignment vertical="top" wrapText="1"/>
    </xf>
    <xf numFmtId="0" fontId="29" fillId="0" borderId="0">
      <alignment vertical="center"/>
    </xf>
  </cellStyleXfs>
  <cellXfs count="432">
    <xf numFmtId="0" fontId="0" fillId="0" borderId="0" xfId="0">
      <alignment vertical="center"/>
    </xf>
    <xf numFmtId="0" fontId="0" fillId="0" borderId="0" xfId="0" applyNumberFormat="1" applyFill="1">
      <alignment vertical="center"/>
    </xf>
    <xf numFmtId="0" fontId="0" fillId="0" borderId="0" xfId="0" applyFill="1">
      <alignment vertical="center"/>
    </xf>
    <xf numFmtId="0" fontId="6" fillId="0" borderId="0" xfId="0" applyNumberFormat="1" applyFont="1" applyFill="1">
      <alignment vertical="center"/>
    </xf>
    <xf numFmtId="0" fontId="0" fillId="0" borderId="0" xfId="0" applyNumberFormat="1" applyFill="1" applyBorder="1" applyAlignment="1">
      <alignment horizontal="center" vertical="center"/>
    </xf>
    <xf numFmtId="49" fontId="9" fillId="0" borderId="3" xfId="0" applyNumberFormat="1" applyFont="1" applyFill="1" applyBorder="1" applyAlignment="1">
      <alignment horizontal="center" vertical="center"/>
    </xf>
    <xf numFmtId="9" fontId="8" fillId="0" borderId="3" xfId="0" applyNumberFormat="1" applyFont="1" applyFill="1" applyBorder="1" applyAlignment="1">
      <alignment horizontal="right" vertical="center"/>
    </xf>
    <xf numFmtId="10" fontId="9" fillId="0" borderId="3" xfId="0" applyNumberFormat="1" applyFont="1" applyFill="1" applyBorder="1" applyAlignment="1">
      <alignment horizontal="right" vertical="center"/>
    </xf>
    <xf numFmtId="9" fontId="9" fillId="0" borderId="3" xfId="0" applyNumberFormat="1" applyFont="1" applyFill="1" applyBorder="1" applyAlignment="1">
      <alignment horizontal="right" vertical="center"/>
    </xf>
    <xf numFmtId="0" fontId="9" fillId="0" borderId="3" xfId="0" applyFont="1" applyFill="1" applyBorder="1" applyAlignment="1">
      <alignment horizontal="right"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0" fillId="0" borderId="0" xfId="0" applyNumberFormat="1" applyFill="1" applyBorder="1" applyAlignment="1">
      <alignment horizontal="right" vertical="center"/>
    </xf>
    <xf numFmtId="0" fontId="0" fillId="0" borderId="0" xfId="0" applyFill="1" applyBorder="1" applyAlignment="1">
      <alignment horizontal="center" vertical="center"/>
    </xf>
    <xf numFmtId="0" fontId="14" fillId="0" borderId="43" xfId="0" applyFont="1" applyFill="1" applyBorder="1" applyAlignment="1">
      <alignment horizontal="center" vertical="center"/>
    </xf>
    <xf numFmtId="49" fontId="0" fillId="0" borderId="6" xfId="0" applyNumberFormat="1" applyFill="1" applyBorder="1">
      <alignment vertical="center"/>
    </xf>
    <xf numFmtId="49" fontId="0" fillId="0" borderId="7" xfId="0" applyNumberFormat="1" applyFill="1" applyBorder="1" applyAlignment="1">
      <alignment horizontal="center" vertical="center"/>
    </xf>
    <xf numFmtId="49" fontId="15" fillId="0" borderId="44" xfId="0" applyNumberFormat="1" applyFont="1" applyFill="1" applyBorder="1" applyAlignment="1">
      <alignment horizontal="center" vertical="center"/>
    </xf>
    <xf numFmtId="0" fontId="0" fillId="0" borderId="9" xfId="0" applyNumberFormat="1" applyFill="1" applyBorder="1">
      <alignment vertical="center"/>
    </xf>
    <xf numFmtId="176" fontId="0" fillId="0" borderId="10" xfId="0" applyNumberFormat="1" applyFill="1" applyBorder="1">
      <alignment vertical="center"/>
    </xf>
    <xf numFmtId="176" fontId="15" fillId="0" borderId="45" xfId="0" applyNumberFormat="1" applyFont="1" applyFill="1" applyBorder="1">
      <alignment vertical="center"/>
    </xf>
    <xf numFmtId="0" fontId="0" fillId="0" borderId="46" xfId="0" applyFill="1" applyBorder="1">
      <alignment vertical="center"/>
    </xf>
    <xf numFmtId="176" fontId="0" fillId="0" borderId="46" xfId="0" applyNumberFormat="1" applyFill="1" applyBorder="1">
      <alignment vertical="center"/>
    </xf>
    <xf numFmtId="176" fontId="0" fillId="0" borderId="41" xfId="0" applyNumberFormat="1" applyFill="1" applyBorder="1" applyAlignment="1">
      <alignment horizontal="center" vertical="center"/>
    </xf>
    <xf numFmtId="176" fontId="15" fillId="0" borderId="41" xfId="0" applyNumberFormat="1" applyFont="1" applyFill="1" applyBorder="1" applyAlignment="1">
      <alignment horizontal="center" vertical="center"/>
    </xf>
    <xf numFmtId="176" fontId="0" fillId="0" borderId="47" xfId="0" applyNumberFormat="1" applyFill="1" applyBorder="1">
      <alignment vertical="center"/>
    </xf>
    <xf numFmtId="49" fontId="4" fillId="0" borderId="7" xfId="0" applyNumberFormat="1" applyFont="1" applyFill="1" applyBorder="1" applyAlignment="1">
      <alignment horizontal="center" vertical="center" shrinkToFit="1"/>
    </xf>
    <xf numFmtId="178" fontId="8" fillId="2" borderId="3" xfId="0" applyNumberFormat="1" applyFont="1" applyFill="1" applyBorder="1" applyAlignment="1">
      <alignment horizontal="right" vertical="center"/>
    </xf>
    <xf numFmtId="178" fontId="9" fillId="2" borderId="3" xfId="0" applyNumberFormat="1" applyFont="1" applyFill="1" applyBorder="1" applyAlignment="1">
      <alignment horizontal="right" vertical="center"/>
    </xf>
    <xf numFmtId="179" fontId="8" fillId="0" borderId="3" xfId="0" applyNumberFormat="1" applyFont="1" applyFill="1" applyBorder="1" applyAlignment="1">
      <alignment horizontal="right" vertical="center"/>
    </xf>
    <xf numFmtId="179" fontId="9" fillId="0" borderId="3" xfId="0" applyNumberFormat="1" applyFont="1" applyFill="1" applyBorder="1" applyAlignment="1">
      <alignment horizontal="right" vertical="center"/>
    </xf>
    <xf numFmtId="178" fontId="8" fillId="0" borderId="3" xfId="0" applyNumberFormat="1" applyFont="1" applyFill="1" applyBorder="1" applyAlignment="1">
      <alignment horizontal="right" vertical="center"/>
    </xf>
    <xf numFmtId="0" fontId="4" fillId="0" borderId="49" xfId="0" applyFont="1" applyFill="1" applyBorder="1" applyAlignment="1">
      <alignment horizontal="center" vertical="center"/>
    </xf>
    <xf numFmtId="49" fontId="3" fillId="0" borderId="3" xfId="0" applyNumberFormat="1" applyFont="1" applyFill="1" applyBorder="1">
      <alignment vertical="center"/>
    </xf>
    <xf numFmtId="49" fontId="3" fillId="0" borderId="3" xfId="0" applyNumberFormat="1" applyFont="1" applyFill="1" applyBorder="1" applyAlignment="1">
      <alignment horizontal="center" vertical="center"/>
    </xf>
    <xf numFmtId="49" fontId="5" fillId="0" borderId="3" xfId="0" applyNumberFormat="1" applyFon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vertical="center" shrinkToFit="1"/>
    </xf>
    <xf numFmtId="0" fontId="4" fillId="0" borderId="10" xfId="0" applyFont="1" applyFill="1" applyBorder="1" applyAlignment="1">
      <alignment horizontal="center" vertical="center"/>
    </xf>
    <xf numFmtId="49" fontId="10" fillId="0" borderId="10" xfId="0" applyNumberFormat="1" applyFont="1" applyFill="1" applyBorder="1">
      <alignment vertical="center"/>
    </xf>
    <xf numFmtId="49" fontId="10" fillId="0" borderId="7" xfId="0" applyNumberFormat="1" applyFont="1" applyFill="1" applyBorder="1">
      <alignment vertical="center"/>
    </xf>
    <xf numFmtId="49" fontId="10" fillId="0" borderId="8" xfId="0" applyNumberFormat="1" applyFont="1" applyFill="1" applyBorder="1">
      <alignment vertical="center"/>
    </xf>
    <xf numFmtId="0" fontId="10" fillId="0" borderId="10" xfId="0" applyFont="1" applyFill="1" applyBorder="1">
      <alignment vertical="center"/>
    </xf>
    <xf numFmtId="49" fontId="12" fillId="0" borderId="8" xfId="0" applyNumberFormat="1" applyFont="1" applyFill="1" applyBorder="1">
      <alignment vertical="center"/>
    </xf>
    <xf numFmtId="0" fontId="10" fillId="0" borderId="11" xfId="0" applyNumberFormat="1" applyFont="1" applyFill="1" applyBorder="1" applyAlignment="1">
      <alignment horizontal="center" vertical="center"/>
    </xf>
    <xf numFmtId="0" fontId="10" fillId="0" borderId="12" xfId="0" applyNumberFormat="1" applyFont="1" applyFill="1" applyBorder="1" applyAlignment="1">
      <alignment horizontal="center" vertical="center"/>
    </xf>
    <xf numFmtId="49" fontId="10" fillId="0" borderId="12" xfId="0" applyNumberFormat="1" applyFont="1" applyFill="1" applyBorder="1">
      <alignment vertical="center"/>
    </xf>
    <xf numFmtId="0" fontId="10" fillId="0" borderId="14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9" fontId="10" fillId="0" borderId="1" xfId="0" applyNumberFormat="1" applyFont="1" applyFill="1" applyBorder="1">
      <alignment vertical="center"/>
    </xf>
    <xf numFmtId="0" fontId="10" fillId="0" borderId="15" xfId="0" applyFont="1" applyFill="1" applyBorder="1">
      <alignment vertical="center"/>
    </xf>
    <xf numFmtId="49" fontId="0" fillId="0" borderId="1" xfId="0" applyNumberFormat="1" applyFill="1" applyBorder="1">
      <alignment vertical="center"/>
    </xf>
    <xf numFmtId="0" fontId="10" fillId="0" borderId="2" xfId="0" applyFont="1" applyFill="1" applyBorder="1">
      <alignment vertical="center"/>
    </xf>
    <xf numFmtId="0" fontId="0" fillId="0" borderId="16" xfId="0" applyFill="1" applyBorder="1">
      <alignment vertical="center"/>
    </xf>
    <xf numFmtId="0" fontId="10" fillId="0" borderId="17" xfId="0" applyFont="1" applyFill="1" applyBorder="1" applyAlignment="1">
      <alignment horizontal="center" vertical="center"/>
    </xf>
    <xf numFmtId="0" fontId="10" fillId="0" borderId="18" xfId="0" applyFont="1" applyFill="1" applyBorder="1">
      <alignment vertical="center"/>
    </xf>
    <xf numFmtId="0" fontId="10" fillId="0" borderId="16" xfId="0" applyFont="1" applyFill="1" applyBorder="1" applyAlignment="1">
      <alignment horizontal="center" vertical="center"/>
    </xf>
    <xf numFmtId="178" fontId="10" fillId="0" borderId="17" xfId="0" applyNumberFormat="1" applyFont="1" applyFill="1" applyBorder="1">
      <alignment vertical="center"/>
    </xf>
    <xf numFmtId="0" fontId="10" fillId="0" borderId="13" xfId="0" applyNumberFormat="1" applyFont="1" applyFill="1" applyBorder="1" applyAlignment="1">
      <alignment horizontal="center" vertical="center"/>
    </xf>
    <xf numFmtId="0" fontId="12" fillId="0" borderId="8" xfId="0" applyFont="1" applyFill="1" applyBorder="1">
      <alignment vertical="center"/>
    </xf>
    <xf numFmtId="0" fontId="10" fillId="0" borderId="20" xfId="0" applyFont="1" applyFill="1" applyBorder="1" applyAlignment="1">
      <alignment horizontal="center" vertical="center"/>
    </xf>
    <xf numFmtId="0" fontId="10" fillId="0" borderId="22" xfId="0" applyFont="1" applyFill="1" applyBorder="1">
      <alignment vertical="center"/>
    </xf>
    <xf numFmtId="0" fontId="10" fillId="0" borderId="23" xfId="0" applyFont="1" applyFill="1" applyBorder="1">
      <alignment vertical="center"/>
    </xf>
    <xf numFmtId="0" fontId="10" fillId="0" borderId="11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/>
    </xf>
    <xf numFmtId="0" fontId="11" fillId="0" borderId="12" xfId="0" applyFont="1" applyFill="1" applyBorder="1">
      <alignment vertical="center"/>
    </xf>
    <xf numFmtId="0" fontId="10" fillId="0" borderId="24" xfId="0" applyFont="1" applyFill="1" applyBorder="1">
      <alignment vertical="center"/>
    </xf>
    <xf numFmtId="0" fontId="0" fillId="0" borderId="25" xfId="0" applyFill="1" applyBorder="1">
      <alignment vertical="center"/>
    </xf>
    <xf numFmtId="0" fontId="3" fillId="0" borderId="4" xfId="0" applyFont="1" applyFill="1" applyBorder="1">
      <alignment vertical="center"/>
    </xf>
    <xf numFmtId="0" fontId="10" fillId="0" borderId="26" xfId="0" applyFont="1" applyFill="1" applyBorder="1">
      <alignment vertical="center"/>
    </xf>
    <xf numFmtId="0" fontId="11" fillId="0" borderId="1" xfId="0" applyFont="1" applyFill="1" applyBorder="1">
      <alignment vertical="center"/>
    </xf>
    <xf numFmtId="0" fontId="11" fillId="0" borderId="1" xfId="0" applyFont="1" applyFill="1" applyBorder="1" applyAlignment="1">
      <alignment vertical="center" shrinkToFit="1"/>
    </xf>
    <xf numFmtId="0" fontId="10" fillId="0" borderId="27" xfId="0" applyNumberFormat="1" applyFont="1" applyFill="1" applyBorder="1" applyAlignment="1">
      <alignment horizontal="center" vertical="center"/>
    </xf>
    <xf numFmtId="0" fontId="10" fillId="0" borderId="28" xfId="0" applyFont="1" applyFill="1" applyBorder="1" applyAlignment="1">
      <alignment horizontal="center" vertical="center"/>
    </xf>
    <xf numFmtId="0" fontId="10" fillId="0" borderId="31" xfId="0" applyFont="1" applyFill="1" applyBorder="1" applyAlignment="1">
      <alignment horizontal="center" vertical="center"/>
    </xf>
    <xf numFmtId="0" fontId="10" fillId="0" borderId="3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vertical="center" shrinkToFit="1"/>
    </xf>
    <xf numFmtId="0" fontId="10" fillId="0" borderId="35" xfId="0" applyFont="1" applyFill="1" applyBorder="1">
      <alignment vertical="center"/>
    </xf>
    <xf numFmtId="0" fontId="10" fillId="0" borderId="37" xfId="0" applyFont="1" applyFill="1" applyBorder="1" applyAlignment="1">
      <alignment horizontal="center" vertical="center"/>
    </xf>
    <xf numFmtId="0" fontId="3" fillId="0" borderId="3" xfId="0" applyFont="1" applyFill="1" applyBorder="1">
      <alignment vertical="center"/>
    </xf>
    <xf numFmtId="49" fontId="10" fillId="0" borderId="50" xfId="0" applyNumberFormat="1" applyFont="1" applyFill="1" applyBorder="1" applyAlignment="1">
      <alignment horizontal="center" vertical="center"/>
    </xf>
    <xf numFmtId="49" fontId="13" fillId="0" borderId="50" xfId="0" applyNumberFormat="1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3" fontId="17" fillId="0" borderId="3" xfId="0" applyNumberFormat="1" applyFont="1" applyFill="1" applyBorder="1" applyAlignment="1">
      <alignment horizontal="center" vertical="center"/>
    </xf>
    <xf numFmtId="0" fontId="10" fillId="0" borderId="52" xfId="0" applyFont="1" applyFill="1" applyBorder="1">
      <alignment vertical="center"/>
    </xf>
    <xf numFmtId="49" fontId="10" fillId="0" borderId="53" xfId="0" applyNumberFormat="1" applyFont="1" applyFill="1" applyBorder="1" applyAlignment="1">
      <alignment horizontal="center" vertical="center"/>
    </xf>
    <xf numFmtId="0" fontId="10" fillId="0" borderId="54" xfId="0" applyFont="1" applyFill="1" applyBorder="1" applyAlignment="1">
      <alignment horizontal="center" vertical="center"/>
    </xf>
    <xf numFmtId="0" fontId="10" fillId="0" borderId="55" xfId="0" applyFont="1" applyFill="1" applyBorder="1" applyAlignment="1">
      <alignment horizontal="center" vertical="center"/>
    </xf>
    <xf numFmtId="0" fontId="10" fillId="0" borderId="56" xfId="0" applyFont="1" applyFill="1" applyBorder="1" applyAlignment="1">
      <alignment horizontal="center" vertical="center"/>
    </xf>
    <xf numFmtId="0" fontId="10" fillId="0" borderId="57" xfId="0" applyFont="1" applyFill="1" applyBorder="1">
      <alignment vertical="center"/>
    </xf>
    <xf numFmtId="0" fontId="19" fillId="0" borderId="0" xfId="0" applyNumberFormat="1" applyFont="1" applyFill="1">
      <alignment vertical="center"/>
    </xf>
    <xf numFmtId="49" fontId="20" fillId="0" borderId="50" xfId="0" applyNumberFormat="1" applyFont="1" applyFill="1" applyBorder="1" applyAlignment="1">
      <alignment horizontal="center" vertical="center"/>
    </xf>
    <xf numFmtId="3" fontId="21" fillId="0" borderId="49" xfId="0" applyNumberFormat="1" applyFont="1" applyFill="1" applyBorder="1" applyAlignment="1">
      <alignment horizontal="center" vertical="center"/>
    </xf>
    <xf numFmtId="3" fontId="21" fillId="0" borderId="12" xfId="0" applyNumberFormat="1" applyFont="1" applyFill="1" applyBorder="1" applyAlignment="1">
      <alignment horizontal="center" vertical="center"/>
    </xf>
    <xf numFmtId="3" fontId="21" fillId="0" borderId="1" xfId="0" applyNumberFormat="1" applyFont="1" applyFill="1" applyBorder="1" applyAlignment="1">
      <alignment horizontal="center" vertical="center"/>
    </xf>
    <xf numFmtId="3" fontId="21" fillId="0" borderId="17" xfId="0" applyNumberFormat="1" applyFont="1" applyFill="1" applyBorder="1" applyAlignment="1">
      <alignment horizontal="center" vertical="center"/>
    </xf>
    <xf numFmtId="3" fontId="21" fillId="0" borderId="30" xfId="0" applyNumberFormat="1" applyFont="1" applyFill="1" applyBorder="1" applyAlignment="1">
      <alignment horizontal="center" vertical="center"/>
    </xf>
    <xf numFmtId="3" fontId="21" fillId="0" borderId="34" xfId="0" applyNumberFormat="1" applyFont="1" applyFill="1" applyBorder="1" applyAlignment="1">
      <alignment horizontal="center" vertical="center"/>
    </xf>
    <xf numFmtId="0" fontId="22" fillId="0" borderId="0" xfId="0" applyNumberFormat="1" applyFont="1" applyFill="1">
      <alignment vertical="center"/>
    </xf>
    <xf numFmtId="177" fontId="18" fillId="0" borderId="3" xfId="0" applyNumberFormat="1" applyFont="1" applyFill="1" applyBorder="1" applyAlignment="1">
      <alignment horizontal="center" vertical="center"/>
    </xf>
    <xf numFmtId="177" fontId="18" fillId="0" borderId="58" xfId="0" applyNumberFormat="1" applyFont="1" applyFill="1" applyBorder="1" applyAlignment="1">
      <alignment horizontal="center" vertical="center"/>
    </xf>
    <xf numFmtId="177" fontId="18" fillId="0" borderId="56" xfId="0" applyNumberFormat="1" applyFont="1" applyFill="1" applyBorder="1" applyAlignment="1">
      <alignment horizontal="center" vertical="center"/>
    </xf>
    <xf numFmtId="177" fontId="18" fillId="0" borderId="49" xfId="0" applyNumberFormat="1" applyFont="1" applyFill="1" applyBorder="1" applyAlignment="1">
      <alignment horizontal="center" vertical="center"/>
    </xf>
    <xf numFmtId="177" fontId="18" fillId="0" borderId="12" xfId="0" applyNumberFormat="1" applyFont="1" applyFill="1" applyBorder="1" applyAlignment="1">
      <alignment horizontal="center" vertical="center"/>
    </xf>
    <xf numFmtId="177" fontId="18" fillId="0" borderId="1" xfId="0" applyNumberFormat="1" applyFont="1" applyFill="1" applyBorder="1" applyAlignment="1">
      <alignment horizontal="center" vertical="center"/>
    </xf>
    <xf numFmtId="177" fontId="18" fillId="0" borderId="17" xfId="0" applyNumberFormat="1" applyFont="1" applyFill="1" applyBorder="1" applyAlignment="1">
      <alignment horizontal="center" vertical="center"/>
    </xf>
    <xf numFmtId="177" fontId="18" fillId="0" borderId="19" xfId="0" applyNumberFormat="1" applyFont="1" applyFill="1" applyBorder="1" applyAlignment="1">
      <alignment horizontal="center" vertical="center"/>
    </xf>
    <xf numFmtId="177" fontId="18" fillId="0" borderId="21" xfId="0" applyNumberFormat="1" applyFont="1" applyFill="1" applyBorder="1" applyAlignment="1">
      <alignment horizontal="center" vertical="center"/>
    </xf>
    <xf numFmtId="177" fontId="18" fillId="0" borderId="29" xfId="0" applyNumberFormat="1" applyFont="1" applyFill="1" applyBorder="1" applyAlignment="1">
      <alignment horizontal="center" vertical="center"/>
    </xf>
    <xf numFmtId="177" fontId="18" fillId="0" borderId="33" xfId="0" applyNumberFormat="1" applyFont="1" applyFill="1" applyBorder="1" applyAlignment="1">
      <alignment horizontal="center" vertical="center"/>
    </xf>
    <xf numFmtId="177" fontId="18" fillId="0" borderId="36" xfId="0" applyNumberFormat="1" applyFont="1" applyFill="1" applyBorder="1" applyAlignment="1">
      <alignment horizontal="center" vertical="center"/>
    </xf>
    <xf numFmtId="3" fontId="17" fillId="0" borderId="56" xfId="0" applyNumberFormat="1" applyFont="1" applyFill="1" applyBorder="1" applyAlignment="1">
      <alignment horizontal="center" vertical="center"/>
    </xf>
    <xf numFmtId="3" fontId="20" fillId="0" borderId="13" xfId="0" applyNumberFormat="1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3" fontId="17" fillId="0" borderId="1" xfId="0" applyNumberFormat="1" applyFont="1" applyFill="1" applyBorder="1" applyAlignment="1">
      <alignment horizontal="center" vertical="center"/>
    </xf>
    <xf numFmtId="3" fontId="20" fillId="0" borderId="17" xfId="0" applyNumberFormat="1" applyFont="1" applyFill="1" applyBorder="1" applyAlignment="1">
      <alignment horizontal="center" vertical="center"/>
    </xf>
    <xf numFmtId="3" fontId="17" fillId="0" borderId="17" xfId="0" applyNumberFormat="1" applyFont="1" applyFill="1" applyBorder="1" applyAlignment="1">
      <alignment horizontal="center" vertical="center"/>
    </xf>
    <xf numFmtId="3" fontId="17" fillId="0" borderId="12" xfId="0" applyNumberFormat="1" applyFont="1" applyFill="1" applyBorder="1" applyAlignment="1">
      <alignment horizontal="center" vertical="center"/>
    </xf>
    <xf numFmtId="3" fontId="17" fillId="0" borderId="28" xfId="0" applyNumberFormat="1" applyFont="1" applyFill="1" applyBorder="1" applyAlignment="1">
      <alignment horizontal="center" vertical="center"/>
    </xf>
    <xf numFmtId="3" fontId="17" fillId="0" borderId="34" xfId="0" applyNumberFormat="1" applyFont="1" applyFill="1" applyBorder="1" applyAlignment="1">
      <alignment horizontal="center" vertical="center"/>
    </xf>
    <xf numFmtId="0" fontId="10" fillId="0" borderId="59" xfId="0" applyFont="1" applyFill="1" applyBorder="1">
      <alignment vertical="center"/>
    </xf>
    <xf numFmtId="176" fontId="0" fillId="0" borderId="60" xfId="0" applyNumberFormat="1" applyFill="1" applyBorder="1">
      <alignment vertical="center"/>
    </xf>
    <xf numFmtId="176" fontId="0" fillId="0" borderId="48" xfId="0" applyNumberFormat="1" applyFill="1" applyBorder="1">
      <alignment vertical="center"/>
    </xf>
    <xf numFmtId="176" fontId="0" fillId="0" borderId="49" xfId="0" applyNumberFormat="1" applyFill="1" applyBorder="1">
      <alignment vertical="center"/>
    </xf>
    <xf numFmtId="180" fontId="0" fillId="0" borderId="3" xfId="0" applyNumberFormat="1" applyFill="1" applyBorder="1">
      <alignment vertical="center"/>
    </xf>
    <xf numFmtId="0" fontId="4" fillId="0" borderId="56" xfId="0" applyNumberFormat="1" applyFont="1" applyFill="1" applyBorder="1" applyAlignment="1">
      <alignment horizontal="center" vertical="center"/>
    </xf>
    <xf numFmtId="176" fontId="15" fillId="0" borderId="61" xfId="0" applyNumberFormat="1" applyFont="1" applyFill="1" applyBorder="1">
      <alignment vertical="center"/>
    </xf>
    <xf numFmtId="0" fontId="4" fillId="0" borderId="62" xfId="0" applyFont="1" applyFill="1" applyBorder="1" applyAlignment="1">
      <alignment horizontal="center" vertical="center"/>
    </xf>
    <xf numFmtId="176" fontId="0" fillId="0" borderId="63" xfId="0" applyNumberFormat="1" applyFill="1" applyBorder="1">
      <alignment vertical="center"/>
    </xf>
    <xf numFmtId="180" fontId="0" fillId="0" borderId="63" xfId="0" applyNumberFormat="1" applyFill="1" applyBorder="1">
      <alignment vertical="center"/>
    </xf>
    <xf numFmtId="0" fontId="4" fillId="0" borderId="64" xfId="0" applyFont="1" applyFill="1" applyBorder="1" applyAlignment="1">
      <alignment horizontal="center" vertical="center"/>
    </xf>
    <xf numFmtId="176" fontId="0" fillId="0" borderId="64" xfId="0" applyNumberFormat="1" applyFill="1" applyBorder="1">
      <alignment vertical="center"/>
    </xf>
    <xf numFmtId="180" fontId="0" fillId="0" borderId="64" xfId="0" applyNumberFormat="1" applyFill="1" applyBorder="1">
      <alignment vertical="center"/>
    </xf>
    <xf numFmtId="176" fontId="0" fillId="0" borderId="65" xfId="0" applyNumberFormat="1" applyFill="1" applyBorder="1">
      <alignment vertical="center"/>
    </xf>
    <xf numFmtId="3" fontId="17" fillId="0" borderId="49" xfId="0" applyNumberFormat="1" applyFont="1" applyFill="1" applyBorder="1" applyAlignment="1">
      <alignment horizontal="center" vertical="center"/>
    </xf>
    <xf numFmtId="177" fontId="18" fillId="0" borderId="67" xfId="0" applyNumberFormat="1" applyFont="1" applyFill="1" applyBorder="1" applyAlignment="1">
      <alignment horizontal="center" vertical="center"/>
    </xf>
    <xf numFmtId="3" fontId="21" fillId="0" borderId="67" xfId="0" applyNumberFormat="1" applyFont="1" applyFill="1" applyBorder="1" applyAlignment="1">
      <alignment horizontal="center" vertical="center"/>
    </xf>
    <xf numFmtId="3" fontId="17" fillId="0" borderId="67" xfId="0" applyNumberFormat="1" applyFont="1" applyFill="1" applyBorder="1" applyAlignment="1">
      <alignment horizontal="center" vertical="center"/>
    </xf>
    <xf numFmtId="177" fontId="18" fillId="0" borderId="69" xfId="0" applyNumberFormat="1" applyFont="1" applyFill="1" applyBorder="1" applyAlignment="1">
      <alignment horizontal="center" vertical="center"/>
    </xf>
    <xf numFmtId="3" fontId="21" fillId="0" borderId="69" xfId="0" applyNumberFormat="1" applyFont="1" applyFill="1" applyBorder="1" applyAlignment="1">
      <alignment horizontal="center" vertical="center"/>
    </xf>
    <xf numFmtId="49" fontId="10" fillId="0" borderId="70" xfId="0" applyNumberFormat="1" applyFont="1" applyFill="1" applyBorder="1">
      <alignment vertical="center"/>
    </xf>
    <xf numFmtId="177" fontId="18" fillId="0" borderId="64" xfId="0" applyNumberFormat="1" applyFont="1" applyFill="1" applyBorder="1" applyAlignment="1">
      <alignment horizontal="center" vertical="center"/>
    </xf>
    <xf numFmtId="3" fontId="21" fillId="0" borderId="64" xfId="0" applyNumberFormat="1" applyFont="1" applyFill="1" applyBorder="1" applyAlignment="1">
      <alignment horizontal="center" vertical="center"/>
    </xf>
    <xf numFmtId="3" fontId="17" fillId="0" borderId="64" xfId="0" applyNumberFormat="1" applyFont="1" applyFill="1" applyBorder="1" applyAlignment="1">
      <alignment horizontal="center" vertical="center"/>
    </xf>
    <xf numFmtId="49" fontId="10" fillId="0" borderId="66" xfId="0" applyNumberFormat="1" applyFont="1" applyFill="1" applyBorder="1">
      <alignment vertical="center"/>
    </xf>
    <xf numFmtId="0" fontId="10" fillId="0" borderId="71" xfId="0" applyFont="1" applyFill="1" applyBorder="1">
      <alignment vertical="center"/>
    </xf>
    <xf numFmtId="177" fontId="18" fillId="0" borderId="72" xfId="0" applyNumberFormat="1" applyFont="1" applyFill="1" applyBorder="1" applyAlignment="1">
      <alignment horizontal="center" vertical="center"/>
    </xf>
    <xf numFmtId="3" fontId="21" fillId="0" borderId="72" xfId="0" applyNumberFormat="1" applyFont="1" applyFill="1" applyBorder="1" applyAlignment="1">
      <alignment horizontal="center" vertical="center"/>
    </xf>
    <xf numFmtId="0" fontId="10" fillId="0" borderId="74" xfId="0" applyNumberFormat="1" applyFont="1" applyFill="1" applyBorder="1" applyAlignment="1">
      <alignment horizontal="center" vertical="center"/>
    </xf>
    <xf numFmtId="0" fontId="10" fillId="0" borderId="49" xfId="0" applyNumberFormat="1" applyFont="1" applyFill="1" applyBorder="1" applyAlignment="1">
      <alignment horizontal="center" vertical="center"/>
    </xf>
    <xf numFmtId="0" fontId="10" fillId="0" borderId="51" xfId="0" applyFont="1" applyFill="1" applyBorder="1">
      <alignment vertical="center"/>
    </xf>
    <xf numFmtId="49" fontId="10" fillId="0" borderId="49" xfId="0" applyNumberFormat="1" applyFont="1" applyFill="1" applyBorder="1">
      <alignment vertical="center"/>
    </xf>
    <xf numFmtId="49" fontId="10" fillId="0" borderId="69" xfId="0" applyNumberFormat="1" applyFont="1" applyFill="1" applyBorder="1">
      <alignment vertical="center"/>
    </xf>
    <xf numFmtId="3" fontId="23" fillId="0" borderId="69" xfId="0" applyNumberFormat="1" applyFont="1" applyFill="1" applyBorder="1" applyAlignment="1">
      <alignment horizontal="center" vertical="center"/>
    </xf>
    <xf numFmtId="0" fontId="10" fillId="0" borderId="75" xfId="0" applyNumberFormat="1" applyFont="1" applyFill="1" applyBorder="1" applyAlignment="1">
      <alignment horizontal="center" vertical="center"/>
    </xf>
    <xf numFmtId="0" fontId="10" fillId="0" borderId="65" xfId="0" applyNumberFormat="1" applyFont="1" applyFill="1" applyBorder="1" applyAlignment="1">
      <alignment horizontal="center" vertical="center"/>
    </xf>
    <xf numFmtId="49" fontId="10" fillId="0" borderId="64" xfId="0" applyNumberFormat="1" applyFont="1" applyFill="1" applyBorder="1">
      <alignment vertical="center"/>
    </xf>
    <xf numFmtId="3" fontId="23" fillId="0" borderId="64" xfId="0" applyNumberFormat="1" applyFont="1" applyFill="1" applyBorder="1" applyAlignment="1">
      <alignment horizontal="center" vertical="center"/>
    </xf>
    <xf numFmtId="0" fontId="10" fillId="0" borderId="76" xfId="0" applyNumberFormat="1" applyFont="1" applyFill="1" applyBorder="1" applyAlignment="1">
      <alignment horizontal="center" vertical="center"/>
    </xf>
    <xf numFmtId="0" fontId="10" fillId="0" borderId="77" xfId="0" applyNumberFormat="1" applyFont="1" applyFill="1" applyBorder="1" applyAlignment="1">
      <alignment horizontal="center" vertical="center"/>
    </xf>
    <xf numFmtId="0" fontId="10" fillId="0" borderId="68" xfId="0" applyFont="1" applyFill="1" applyBorder="1">
      <alignment vertical="center"/>
    </xf>
    <xf numFmtId="0" fontId="10" fillId="0" borderId="78" xfId="0" applyNumberFormat="1" applyFont="1" applyFill="1" applyBorder="1" applyAlignment="1">
      <alignment horizontal="center" vertical="center"/>
    </xf>
    <xf numFmtId="0" fontId="10" fillId="0" borderId="64" xfId="0" applyNumberFormat="1" applyFont="1" applyFill="1" applyBorder="1" applyAlignment="1">
      <alignment horizontal="center" vertical="center"/>
    </xf>
    <xf numFmtId="0" fontId="10" fillId="0" borderId="66" xfId="0" applyFont="1" applyFill="1" applyBorder="1">
      <alignment vertical="center"/>
    </xf>
    <xf numFmtId="3" fontId="17" fillId="0" borderId="72" xfId="0" applyNumberFormat="1" applyFont="1" applyFill="1" applyBorder="1" applyAlignment="1">
      <alignment horizontal="center" vertical="center"/>
    </xf>
    <xf numFmtId="49" fontId="10" fillId="0" borderId="72" xfId="0" applyNumberFormat="1" applyFont="1" applyFill="1" applyBorder="1">
      <alignment vertical="center"/>
    </xf>
    <xf numFmtId="0" fontId="10" fillId="0" borderId="73" xfId="0" applyFont="1" applyFill="1" applyBorder="1">
      <alignment vertical="center"/>
    </xf>
    <xf numFmtId="49" fontId="0" fillId="0" borderId="7" xfId="0" applyNumberFormat="1" applyFill="1" applyBorder="1" applyAlignment="1">
      <alignment horizontal="center" vertical="center" shrinkToFit="1"/>
    </xf>
    <xf numFmtId="179" fontId="24" fillId="0" borderId="3" xfId="0" applyNumberFormat="1" applyFont="1" applyFill="1" applyBorder="1" applyAlignment="1">
      <alignment horizontal="right" vertical="center"/>
    </xf>
    <xf numFmtId="9" fontId="25" fillId="0" borderId="3" xfId="0" applyNumberFormat="1" applyFont="1" applyFill="1" applyBorder="1" applyAlignment="1">
      <alignment horizontal="right" vertical="center"/>
    </xf>
    <xf numFmtId="178" fontId="25" fillId="2" borderId="3" xfId="0" applyNumberFormat="1" applyFont="1" applyFill="1" applyBorder="1" applyAlignment="1">
      <alignment horizontal="right" vertical="center"/>
    </xf>
    <xf numFmtId="0" fontId="10" fillId="0" borderId="52" xfId="0" applyFont="1" applyFill="1" applyBorder="1" applyAlignment="1">
      <alignment vertical="center" wrapText="1" shrinkToFit="1"/>
    </xf>
    <xf numFmtId="49" fontId="3" fillId="0" borderId="79" xfId="0" applyNumberFormat="1" applyFont="1" applyFill="1" applyBorder="1">
      <alignment vertical="center"/>
    </xf>
    <xf numFmtId="182" fontId="28" fillId="0" borderId="3" xfId="0" applyNumberFormat="1" applyFont="1" applyFill="1" applyBorder="1" applyAlignment="1">
      <alignment horizontal="right" vertical="center"/>
    </xf>
    <xf numFmtId="176" fontId="3" fillId="3" borderId="56" xfId="0" applyNumberFormat="1" applyFont="1" applyFill="1" applyBorder="1" applyAlignment="1">
      <alignment horizontal="right" vertical="center"/>
    </xf>
    <xf numFmtId="0" fontId="3" fillId="0" borderId="0" xfId="0" applyNumberFormat="1" applyFont="1" applyFill="1">
      <alignment vertical="center"/>
    </xf>
    <xf numFmtId="0" fontId="3" fillId="0" borderId="79" xfId="0" applyFont="1" applyFill="1" applyBorder="1">
      <alignment vertical="center"/>
    </xf>
    <xf numFmtId="181" fontId="3" fillId="0" borderId="0" xfId="1" applyNumberFormat="1" applyFont="1" applyFill="1">
      <alignment vertical="center"/>
    </xf>
    <xf numFmtId="49" fontId="5" fillId="0" borderId="3" xfId="0" applyNumberFormat="1" applyFont="1" applyFill="1" applyBorder="1">
      <alignment vertical="center"/>
    </xf>
    <xf numFmtId="49" fontId="5" fillId="0" borderId="79" xfId="0" applyNumberFormat="1" applyFont="1" applyFill="1" applyBorder="1">
      <alignment vertical="center"/>
    </xf>
    <xf numFmtId="0" fontId="3" fillId="0" borderId="3" xfId="0" applyNumberFormat="1" applyFont="1" applyFill="1" applyBorder="1">
      <alignment vertical="center"/>
    </xf>
    <xf numFmtId="49" fontId="16" fillId="0" borderId="3" xfId="0" applyNumberFormat="1" applyFont="1" applyFill="1" applyBorder="1">
      <alignment vertical="center"/>
    </xf>
    <xf numFmtId="176" fontId="3" fillId="0" borderId="0" xfId="0" applyNumberFormat="1" applyFont="1" applyFill="1">
      <alignment vertical="center"/>
    </xf>
    <xf numFmtId="181" fontId="3" fillId="0" borderId="0" xfId="0" applyNumberFormat="1" applyFont="1" applyFill="1">
      <alignment vertical="center"/>
    </xf>
    <xf numFmtId="49" fontId="5" fillId="0" borderId="56" xfId="0" applyNumberFormat="1" applyFont="1" applyFill="1" applyBorder="1">
      <alignment vertical="center"/>
    </xf>
    <xf numFmtId="181" fontId="3" fillId="3" borderId="0" xfId="1" applyNumberFormat="1" applyFont="1" applyFill="1">
      <alignment vertical="center"/>
    </xf>
    <xf numFmtId="0" fontId="3" fillId="0" borderId="0" xfId="0" applyFont="1" applyFill="1">
      <alignment vertical="center"/>
    </xf>
    <xf numFmtId="0" fontId="3" fillId="0" borderId="79" xfId="0" applyNumberFormat="1" applyFont="1" applyFill="1" applyBorder="1">
      <alignment vertical="center"/>
    </xf>
    <xf numFmtId="0" fontId="5" fillId="0" borderId="0" xfId="0" applyNumberFormat="1" applyFont="1" applyFill="1">
      <alignment vertical="center"/>
    </xf>
    <xf numFmtId="0" fontId="3" fillId="0" borderId="0" xfId="0" applyNumberFormat="1" applyFont="1" applyFill="1" applyAlignment="1">
      <alignment horizontal="center" vertical="center"/>
    </xf>
    <xf numFmtId="0" fontId="10" fillId="0" borderId="83" xfId="0" applyFont="1" applyFill="1" applyBorder="1">
      <alignment vertical="center"/>
    </xf>
    <xf numFmtId="49" fontId="12" fillId="0" borderId="51" xfId="0" applyNumberFormat="1" applyFont="1" applyFill="1" applyBorder="1">
      <alignment vertical="center"/>
    </xf>
    <xf numFmtId="49" fontId="10" fillId="0" borderId="84" xfId="0" applyNumberFormat="1" applyFont="1" applyFill="1" applyBorder="1" applyAlignment="1">
      <alignment vertical="center" shrinkToFit="1"/>
    </xf>
    <xf numFmtId="3" fontId="21" fillId="0" borderId="84" xfId="0" applyNumberFormat="1" applyFont="1" applyFill="1" applyBorder="1" applyAlignment="1">
      <alignment horizontal="center" vertical="center"/>
    </xf>
    <xf numFmtId="3" fontId="17" fillId="0" borderId="84" xfId="0" applyNumberFormat="1" applyFont="1" applyFill="1" applyBorder="1" applyAlignment="1">
      <alignment horizontal="center" vertical="center"/>
    </xf>
    <xf numFmtId="0" fontId="10" fillId="0" borderId="84" xfId="0" applyFont="1" applyFill="1" applyBorder="1">
      <alignment vertical="center"/>
    </xf>
    <xf numFmtId="49" fontId="32" fillId="0" borderId="84" xfId="0" applyNumberFormat="1" applyFont="1" applyFill="1" applyBorder="1" applyAlignment="1">
      <alignment vertical="center" shrinkToFit="1"/>
    </xf>
    <xf numFmtId="49" fontId="3" fillId="0" borderId="84" xfId="0" applyNumberFormat="1" applyFont="1" applyFill="1" applyBorder="1">
      <alignment vertical="center"/>
    </xf>
    <xf numFmtId="177" fontId="18" fillId="0" borderId="85" xfId="0" applyNumberFormat="1" applyFont="1" applyFill="1" applyBorder="1" applyAlignment="1">
      <alignment horizontal="center" vertical="center"/>
    </xf>
    <xf numFmtId="177" fontId="18" fillId="0" borderId="86" xfId="0" applyNumberFormat="1" applyFont="1" applyFill="1" applyBorder="1" applyAlignment="1">
      <alignment horizontal="center" vertical="center"/>
    </xf>
    <xf numFmtId="177" fontId="18" fillId="0" borderId="87" xfId="0" applyNumberFormat="1" applyFont="1" applyFill="1" applyBorder="1" applyAlignment="1">
      <alignment horizontal="center" vertical="center"/>
    </xf>
    <xf numFmtId="49" fontId="10" fillId="0" borderId="65" xfId="0" applyNumberFormat="1" applyFont="1" applyFill="1" applyBorder="1" applyAlignment="1">
      <alignment vertical="center" shrinkToFit="1"/>
    </xf>
    <xf numFmtId="0" fontId="10" fillId="0" borderId="84" xfId="0" applyFont="1" applyFill="1" applyBorder="1" applyAlignment="1">
      <alignment horizontal="center" vertical="center"/>
    </xf>
    <xf numFmtId="0" fontId="10" fillId="0" borderId="84" xfId="0" applyNumberFormat="1" applyFont="1" applyFill="1" applyBorder="1" applyAlignment="1">
      <alignment horizontal="center" vertical="center"/>
    </xf>
    <xf numFmtId="49" fontId="32" fillId="0" borderId="84" xfId="0" applyNumberFormat="1" applyFont="1" applyFill="1" applyBorder="1">
      <alignment vertical="center"/>
    </xf>
    <xf numFmtId="0" fontId="10" fillId="0" borderId="88" xfId="0" applyFont="1" applyFill="1" applyBorder="1" applyAlignment="1">
      <alignment horizontal="center" vertical="center"/>
    </xf>
    <xf numFmtId="49" fontId="10" fillId="0" borderId="88" xfId="0" applyNumberFormat="1" applyFont="1" applyFill="1" applyBorder="1" applyAlignment="1">
      <alignment vertical="center" shrinkToFit="1"/>
    </xf>
    <xf numFmtId="0" fontId="10" fillId="0" borderId="89" xfId="0" applyFont="1" applyFill="1" applyBorder="1" applyAlignment="1">
      <alignment horizontal="center" vertical="center"/>
    </xf>
    <xf numFmtId="0" fontId="10" fillId="0" borderId="90" xfId="0" applyFont="1" applyFill="1" applyBorder="1" applyAlignment="1">
      <alignment horizontal="center" vertical="center"/>
    </xf>
    <xf numFmtId="49" fontId="10" fillId="0" borderId="90" xfId="0" applyNumberFormat="1" applyFont="1" applyFill="1" applyBorder="1" applyAlignment="1">
      <alignment vertical="center" shrinkToFit="1"/>
    </xf>
    <xf numFmtId="3" fontId="21" fillId="0" borderId="90" xfId="0" applyNumberFormat="1" applyFont="1" applyFill="1" applyBorder="1" applyAlignment="1">
      <alignment horizontal="center" vertical="center"/>
    </xf>
    <xf numFmtId="3" fontId="17" fillId="0" borderId="90" xfId="0" applyNumberFormat="1" applyFont="1" applyFill="1" applyBorder="1" applyAlignment="1">
      <alignment horizontal="center" vertical="center"/>
    </xf>
    <xf numFmtId="49" fontId="4" fillId="0" borderId="10" xfId="0" applyNumberFormat="1" applyFont="1" applyFill="1" applyBorder="1" applyAlignment="1">
      <alignment horizontal="center" vertical="center"/>
    </xf>
    <xf numFmtId="0" fontId="10" fillId="0" borderId="91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vertical="center" shrinkToFit="1"/>
    </xf>
    <xf numFmtId="178" fontId="11" fillId="0" borderId="84" xfId="0" applyNumberFormat="1" applyFont="1" applyFill="1" applyBorder="1">
      <alignment vertical="center"/>
    </xf>
    <xf numFmtId="0" fontId="3" fillId="0" borderId="84" xfId="0" applyFont="1" applyFill="1" applyBorder="1">
      <alignment vertical="center"/>
    </xf>
    <xf numFmtId="0" fontId="3" fillId="0" borderId="84" xfId="0" applyFont="1" applyFill="1" applyBorder="1" applyAlignment="1">
      <alignment vertical="center" shrinkToFit="1"/>
    </xf>
    <xf numFmtId="178" fontId="10" fillId="0" borderId="84" xfId="0" applyNumberFormat="1" applyFont="1" applyFill="1" applyBorder="1">
      <alignment vertical="center"/>
    </xf>
    <xf numFmtId="0" fontId="10" fillId="0" borderId="5" xfId="0" applyFont="1" applyFill="1" applyBorder="1" applyAlignment="1">
      <alignment horizontal="center" vertical="center"/>
    </xf>
    <xf numFmtId="178" fontId="10" fillId="0" borderId="5" xfId="0" applyNumberFormat="1" applyFont="1" applyFill="1" applyBorder="1">
      <alignment vertical="center"/>
    </xf>
    <xf numFmtId="177" fontId="18" fillId="0" borderId="92" xfId="0" applyNumberFormat="1" applyFont="1" applyFill="1" applyBorder="1" applyAlignment="1">
      <alignment horizontal="center" vertical="center"/>
    </xf>
    <xf numFmtId="3" fontId="21" fillId="0" borderId="38" xfId="0" applyNumberFormat="1" applyFont="1" applyFill="1" applyBorder="1" applyAlignment="1">
      <alignment horizontal="center" vertical="center"/>
    </xf>
    <xf numFmtId="3" fontId="17" fillId="0" borderId="38" xfId="0" applyNumberFormat="1" applyFont="1" applyFill="1" applyBorder="1" applyAlignment="1">
      <alignment horizontal="center" vertical="center"/>
    </xf>
    <xf numFmtId="0" fontId="10" fillId="0" borderId="93" xfId="0" applyFont="1" applyFill="1" applyBorder="1">
      <alignment vertical="center"/>
    </xf>
    <xf numFmtId="177" fontId="18" fillId="0" borderId="84" xfId="0" applyNumberFormat="1" applyFont="1" applyFill="1" applyBorder="1" applyAlignment="1">
      <alignment horizontal="center" vertical="center"/>
    </xf>
    <xf numFmtId="49" fontId="21" fillId="0" borderId="84" xfId="0" applyNumberFormat="1" applyFont="1" applyFill="1" applyBorder="1" applyAlignment="1">
      <alignment horizontal="center" vertical="center"/>
    </xf>
    <xf numFmtId="0" fontId="0" fillId="0" borderId="84" xfId="0" applyNumberFormat="1" applyFill="1" applyBorder="1">
      <alignment vertical="center"/>
    </xf>
    <xf numFmtId="0" fontId="19" fillId="0" borderId="84" xfId="0" applyNumberFormat="1" applyFont="1" applyFill="1" applyBorder="1">
      <alignment vertical="center"/>
    </xf>
    <xf numFmtId="0" fontId="22" fillId="0" borderId="84" xfId="0" applyNumberFormat="1" applyFont="1" applyFill="1" applyBorder="1">
      <alignment vertical="center"/>
    </xf>
    <xf numFmtId="0" fontId="6" fillId="0" borderId="84" xfId="0" applyNumberFormat="1" applyFont="1" applyFill="1" applyBorder="1">
      <alignment vertical="center"/>
    </xf>
    <xf numFmtId="49" fontId="3" fillId="0" borderId="5" xfId="0" applyNumberFormat="1" applyFont="1" applyFill="1" applyBorder="1">
      <alignment vertical="center"/>
    </xf>
    <xf numFmtId="49" fontId="3" fillId="0" borderId="88" xfId="0" applyNumberFormat="1" applyFont="1" applyFill="1" applyBorder="1">
      <alignment vertical="center"/>
    </xf>
    <xf numFmtId="49" fontId="33" fillId="0" borderId="84" xfId="0" applyNumberFormat="1" applyFont="1" applyFill="1" applyBorder="1" applyAlignment="1">
      <alignment vertical="center" shrinkToFit="1"/>
    </xf>
    <xf numFmtId="49" fontId="5" fillId="0" borderId="88" xfId="0" applyNumberFormat="1" applyFont="1" applyFill="1" applyBorder="1">
      <alignment vertical="center"/>
    </xf>
    <xf numFmtId="49" fontId="5" fillId="0" borderId="84" xfId="0" applyNumberFormat="1" applyFont="1" applyFill="1" applyBorder="1">
      <alignment vertical="center"/>
    </xf>
    <xf numFmtId="176" fontId="3" fillId="0" borderId="56" xfId="0" applyNumberFormat="1" applyFont="1" applyFill="1" applyBorder="1" applyAlignment="1">
      <alignment horizontal="center" vertical="center"/>
    </xf>
    <xf numFmtId="176" fontId="3" fillId="0" borderId="84" xfId="0" applyNumberFormat="1" applyFont="1" applyFill="1" applyBorder="1" applyAlignment="1">
      <alignment horizontal="center" vertical="center"/>
    </xf>
    <xf numFmtId="176" fontId="3" fillId="0" borderId="5" xfId="0" applyNumberFormat="1" applyFont="1" applyFill="1" applyBorder="1" applyAlignment="1">
      <alignment horizontal="center" vertical="center"/>
    </xf>
    <xf numFmtId="176" fontId="3" fillId="3" borderId="56" xfId="0" applyNumberFormat="1" applyFont="1" applyFill="1" applyBorder="1" applyAlignment="1">
      <alignment horizontal="center" vertical="center"/>
    </xf>
    <xf numFmtId="176" fontId="3" fillId="0" borderId="3" xfId="0" applyNumberFormat="1" applyFont="1" applyFill="1" applyBorder="1" applyAlignment="1">
      <alignment horizontal="center" vertical="center" shrinkToFit="1"/>
    </xf>
    <xf numFmtId="49" fontId="36" fillId="0" borderId="3" xfId="0" applyNumberFormat="1" applyFont="1" applyFill="1" applyBorder="1">
      <alignment vertical="center"/>
    </xf>
    <xf numFmtId="0" fontId="36" fillId="0" borderId="3" xfId="0" applyFont="1" applyFill="1" applyBorder="1">
      <alignment vertical="center"/>
    </xf>
    <xf numFmtId="49" fontId="36" fillId="0" borderId="79" xfId="0" applyNumberFormat="1" applyFont="1" applyFill="1" applyBorder="1">
      <alignment vertical="center"/>
    </xf>
    <xf numFmtId="0" fontId="36" fillId="0" borderId="79" xfId="0" applyFont="1" applyFill="1" applyBorder="1">
      <alignment vertical="center"/>
    </xf>
    <xf numFmtId="49" fontId="36" fillId="0" borderId="5" xfId="0" applyNumberFormat="1" applyFont="1" applyFill="1" applyBorder="1">
      <alignment vertical="center"/>
    </xf>
    <xf numFmtId="49" fontId="36" fillId="0" borderId="84" xfId="0" applyNumberFormat="1" applyFont="1" applyFill="1" applyBorder="1">
      <alignment vertical="center"/>
    </xf>
    <xf numFmtId="49" fontId="36" fillId="0" borderId="56" xfId="0" applyNumberFormat="1" applyFont="1" applyFill="1" applyBorder="1">
      <alignment vertical="center"/>
    </xf>
    <xf numFmtId="0" fontId="11" fillId="0" borderId="3" xfId="0" applyNumberFormat="1" applyFont="1" applyFill="1" applyBorder="1" applyAlignment="1">
      <alignment horizontal="center" vertical="center"/>
    </xf>
    <xf numFmtId="49" fontId="11" fillId="0" borderId="3" xfId="0" applyNumberFormat="1" applyFont="1" applyFill="1" applyBorder="1">
      <alignment vertical="center"/>
    </xf>
    <xf numFmtId="176" fontId="11" fillId="0" borderId="3" xfId="0" applyNumberFormat="1" applyFont="1" applyFill="1" applyBorder="1" applyAlignment="1">
      <alignment horizontal="center" vertical="center"/>
    </xf>
    <xf numFmtId="177" fontId="28" fillId="0" borderId="3" xfId="0" applyNumberFormat="1" applyFont="1" applyFill="1" applyBorder="1" applyAlignment="1">
      <alignment horizontal="center" vertical="center"/>
    </xf>
    <xf numFmtId="0" fontId="11" fillId="0" borderId="79" xfId="0" applyNumberFormat="1" applyFont="1" applyFill="1" applyBorder="1" applyAlignment="1">
      <alignment horizontal="center" vertical="center"/>
    </xf>
    <xf numFmtId="49" fontId="11" fillId="0" borderId="79" xfId="0" applyNumberFormat="1" applyFont="1" applyFill="1" applyBorder="1">
      <alignment vertical="center"/>
    </xf>
    <xf numFmtId="176" fontId="11" fillId="0" borderId="79" xfId="0" applyNumberFormat="1" applyFont="1" applyFill="1" applyBorder="1" applyAlignment="1">
      <alignment horizontal="center" vertical="center"/>
    </xf>
    <xf numFmtId="177" fontId="28" fillId="0" borderId="79" xfId="0" applyNumberFormat="1" applyFont="1" applyFill="1" applyBorder="1" applyAlignment="1">
      <alignment horizontal="center" vertical="center"/>
    </xf>
    <xf numFmtId="49" fontId="11" fillId="0" borderId="3" xfId="0" applyNumberFormat="1" applyFont="1" applyFill="1" applyBorder="1" applyAlignment="1">
      <alignment vertical="center" shrinkToFit="1"/>
    </xf>
    <xf numFmtId="0" fontId="11" fillId="0" borderId="84" xfId="0" applyNumberFormat="1" applyFont="1" applyFill="1" applyBorder="1" applyAlignment="1">
      <alignment horizontal="center" vertical="center"/>
    </xf>
    <xf numFmtId="0" fontId="11" fillId="0" borderId="5" xfId="0" applyNumberFormat="1" applyFont="1" applyFill="1" applyBorder="1" applyAlignment="1">
      <alignment horizontal="center" vertical="center"/>
    </xf>
    <xf numFmtId="176" fontId="11" fillId="0" borderId="5" xfId="0" applyNumberFormat="1" applyFont="1" applyFill="1" applyBorder="1" applyAlignment="1">
      <alignment horizontal="center" vertical="center"/>
    </xf>
    <xf numFmtId="177" fontId="28" fillId="0" borderId="84" xfId="0" applyNumberFormat="1" applyFont="1" applyFill="1" applyBorder="1" applyAlignment="1">
      <alignment horizontal="center" vertical="center"/>
    </xf>
    <xf numFmtId="0" fontId="11" fillId="0" borderId="56" xfId="0" applyNumberFormat="1" applyFont="1" applyFill="1" applyBorder="1" applyAlignment="1">
      <alignment horizontal="center" vertical="center"/>
    </xf>
    <xf numFmtId="176" fontId="11" fillId="0" borderId="84" xfId="0" applyNumberFormat="1" applyFont="1" applyFill="1" applyBorder="1" applyAlignment="1">
      <alignment horizontal="center" vertical="center"/>
    </xf>
    <xf numFmtId="177" fontId="28" fillId="0" borderId="56" xfId="0" applyNumberFormat="1" applyFont="1" applyFill="1" applyBorder="1" applyAlignment="1">
      <alignment horizontal="center" vertical="center"/>
    </xf>
    <xf numFmtId="176" fontId="11" fillId="0" borderId="56" xfId="0" applyNumberFormat="1" applyFont="1" applyFill="1" applyBorder="1" applyAlignment="1">
      <alignment horizontal="center" vertical="center"/>
    </xf>
    <xf numFmtId="49" fontId="11" fillId="0" borderId="79" xfId="0" applyNumberFormat="1" applyFont="1" applyFill="1" applyBorder="1" applyAlignment="1">
      <alignment vertical="center" shrinkToFit="1"/>
    </xf>
    <xf numFmtId="49" fontId="11" fillId="0" borderId="56" xfId="0" applyNumberFormat="1" applyFont="1" applyFill="1" applyBorder="1">
      <alignment vertical="center"/>
    </xf>
    <xf numFmtId="49" fontId="37" fillId="0" borderId="84" xfId="0" applyNumberFormat="1" applyFont="1" applyFill="1" applyBorder="1" applyAlignment="1">
      <alignment horizontal="center" vertical="center"/>
    </xf>
    <xf numFmtId="49" fontId="37" fillId="0" borderId="84" xfId="0" applyNumberFormat="1" applyFont="1" applyFill="1" applyBorder="1" applyAlignment="1">
      <alignment horizontal="center" vertical="center" shrinkToFit="1"/>
    </xf>
    <xf numFmtId="49" fontId="37" fillId="3" borderId="84" xfId="0" applyNumberFormat="1" applyFont="1" applyFill="1" applyBorder="1" applyAlignment="1">
      <alignment horizontal="center" vertical="center" shrinkToFit="1"/>
    </xf>
    <xf numFmtId="0" fontId="37" fillId="0" borderId="84" xfId="0" applyNumberFormat="1" applyFont="1" applyFill="1" applyBorder="1" applyAlignment="1">
      <alignment horizontal="center" vertical="center"/>
    </xf>
    <xf numFmtId="0" fontId="37" fillId="0" borderId="0" xfId="0" applyNumberFormat="1" applyFont="1" applyFill="1" applyBorder="1" applyAlignment="1">
      <alignment horizontal="center" vertical="center"/>
    </xf>
    <xf numFmtId="0" fontId="37" fillId="0" borderId="84" xfId="0" applyNumberFormat="1" applyFont="1" applyFill="1" applyBorder="1">
      <alignment vertical="center"/>
    </xf>
    <xf numFmtId="49" fontId="38" fillId="0" borderId="84" xfId="0" applyNumberFormat="1" applyFont="1" applyFill="1" applyBorder="1" applyAlignment="1">
      <alignment horizontal="center" vertical="center"/>
    </xf>
    <xf numFmtId="3" fontId="39" fillId="0" borderId="84" xfId="0" applyNumberFormat="1" applyFont="1" applyFill="1" applyBorder="1" applyAlignment="1">
      <alignment horizontal="center" vertical="center"/>
    </xf>
    <xf numFmtId="3" fontId="40" fillId="0" borderId="84" xfId="0" applyNumberFormat="1" applyFont="1" applyFill="1" applyBorder="1" applyAlignment="1">
      <alignment horizontal="center" vertical="center"/>
    </xf>
    <xf numFmtId="3" fontId="37" fillId="0" borderId="84" xfId="0" applyNumberFormat="1" applyFont="1" applyFill="1" applyBorder="1">
      <alignment vertical="center"/>
    </xf>
    <xf numFmtId="0" fontId="37" fillId="0" borderId="0" xfId="0" applyNumberFormat="1" applyFont="1" applyFill="1" applyBorder="1">
      <alignment vertical="center"/>
    </xf>
    <xf numFmtId="0" fontId="38" fillId="4" borderId="84" xfId="0" applyFont="1" applyFill="1" applyBorder="1" applyAlignment="1">
      <alignment horizontal="center" vertical="center"/>
    </xf>
    <xf numFmtId="3" fontId="41" fillId="0" borderId="84" xfId="0" applyNumberFormat="1" applyFont="1" applyFill="1" applyBorder="1" applyAlignment="1">
      <alignment horizontal="center" vertical="center"/>
    </xf>
    <xf numFmtId="3" fontId="42" fillId="0" borderId="84" xfId="0" applyNumberFormat="1" applyFont="1" applyFill="1" applyBorder="1" applyAlignment="1">
      <alignment horizontal="center" vertical="center"/>
    </xf>
    <xf numFmtId="3" fontId="43" fillId="0" borderId="84" xfId="0" applyNumberFormat="1" applyFont="1" applyFill="1" applyBorder="1" applyAlignment="1">
      <alignment horizontal="center" vertical="center"/>
    </xf>
    <xf numFmtId="0" fontId="38" fillId="0" borderId="84" xfId="0" applyFont="1" applyFill="1" applyBorder="1" applyAlignment="1">
      <alignment horizontal="center" vertical="center"/>
    </xf>
    <xf numFmtId="0" fontId="38" fillId="0" borderId="84" xfId="0" applyNumberFormat="1" applyFont="1" applyFill="1" applyBorder="1" applyAlignment="1">
      <alignment horizontal="center" vertical="center"/>
    </xf>
    <xf numFmtId="3" fontId="45" fillId="0" borderId="84" xfId="0" applyNumberFormat="1" applyFont="1" applyFill="1" applyBorder="1" applyAlignment="1">
      <alignment horizontal="center" vertical="center"/>
    </xf>
    <xf numFmtId="0" fontId="37" fillId="0" borderId="0" xfId="0" applyFont="1" applyFill="1" applyBorder="1">
      <alignment vertical="center"/>
    </xf>
    <xf numFmtId="3" fontId="46" fillId="0" borderId="84" xfId="0" applyNumberFormat="1" applyFont="1" applyFill="1" applyBorder="1" applyAlignment="1">
      <alignment horizontal="center" vertical="center"/>
    </xf>
    <xf numFmtId="0" fontId="47" fillId="0" borderId="84" xfId="0" applyFont="1" applyFill="1" applyBorder="1" applyAlignment="1">
      <alignment horizontal="center" vertical="center"/>
    </xf>
    <xf numFmtId="49" fontId="11" fillId="0" borderId="84" xfId="0" applyNumberFormat="1" applyFont="1" applyFill="1" applyBorder="1" applyAlignment="1">
      <alignment horizontal="center" vertical="center"/>
    </xf>
    <xf numFmtId="0" fontId="38" fillId="4" borderId="84" xfId="0" applyNumberFormat="1" applyFont="1" applyFill="1" applyBorder="1" applyAlignment="1">
      <alignment horizontal="center" vertical="center"/>
    </xf>
    <xf numFmtId="0" fontId="37" fillId="3" borderId="84" xfId="0" applyNumberFormat="1" applyFont="1" applyFill="1" applyBorder="1" applyAlignment="1">
      <alignment horizontal="center" vertical="center"/>
    </xf>
    <xf numFmtId="3" fontId="36" fillId="0" borderId="84" xfId="0" applyNumberFormat="1" applyFont="1" applyFill="1" applyBorder="1">
      <alignment vertical="center"/>
    </xf>
    <xf numFmtId="3" fontId="39" fillId="3" borderId="84" xfId="0" applyNumberFormat="1" applyFont="1" applyFill="1" applyBorder="1" applyAlignment="1">
      <alignment horizontal="center" vertical="center"/>
    </xf>
    <xf numFmtId="0" fontId="38" fillId="3" borderId="84" xfId="0" applyNumberFormat="1" applyFont="1" applyFill="1" applyBorder="1" applyAlignment="1">
      <alignment horizontal="center" vertical="center"/>
    </xf>
    <xf numFmtId="49" fontId="37" fillId="0" borderId="5" xfId="0" applyNumberFormat="1" applyFont="1" applyFill="1" applyBorder="1" applyAlignment="1">
      <alignment horizontal="center" vertical="center"/>
    </xf>
    <xf numFmtId="3" fontId="39" fillId="0" borderId="5" xfId="0" applyNumberFormat="1" applyFont="1" applyFill="1" applyBorder="1" applyAlignment="1">
      <alignment horizontal="center" vertical="center"/>
    </xf>
    <xf numFmtId="176" fontId="39" fillId="0" borderId="84" xfId="0" applyNumberFormat="1" applyFont="1" applyFill="1" applyBorder="1" applyAlignment="1">
      <alignment horizontal="center" vertical="center" shrinkToFit="1"/>
    </xf>
    <xf numFmtId="176" fontId="42" fillId="0" borderId="84" xfId="0" applyNumberFormat="1" applyFont="1" applyFill="1" applyBorder="1" applyAlignment="1">
      <alignment horizontal="center" vertical="center" shrinkToFit="1"/>
    </xf>
    <xf numFmtId="3" fontId="42" fillId="3" borderId="84" xfId="0" applyNumberFormat="1" applyFont="1" applyFill="1" applyBorder="1" applyAlignment="1">
      <alignment horizontal="center" vertical="center"/>
    </xf>
    <xf numFmtId="3" fontId="41" fillId="3" borderId="84" xfId="0" applyNumberFormat="1" applyFont="1" applyFill="1" applyBorder="1" applyAlignment="1">
      <alignment horizontal="center" vertical="center"/>
    </xf>
    <xf numFmtId="3" fontId="45" fillId="3" borderId="84" xfId="0" applyNumberFormat="1" applyFont="1" applyFill="1" applyBorder="1" applyAlignment="1">
      <alignment horizontal="center" vertical="center"/>
    </xf>
    <xf numFmtId="3" fontId="39" fillId="0" borderId="84" xfId="0" applyNumberFormat="1" applyFont="1" applyFill="1" applyBorder="1" applyAlignment="1">
      <alignment horizontal="right" vertical="center"/>
    </xf>
    <xf numFmtId="3" fontId="40" fillId="0" borderId="84" xfId="0" applyNumberFormat="1" applyFont="1" applyFill="1" applyBorder="1" applyAlignment="1">
      <alignment horizontal="right" vertical="center"/>
    </xf>
    <xf numFmtId="49" fontId="36" fillId="0" borderId="84" xfId="0" applyNumberFormat="1" applyFont="1" applyFill="1" applyBorder="1" applyAlignment="1">
      <alignment horizontal="center" vertical="center"/>
    </xf>
    <xf numFmtId="0" fontId="37" fillId="0" borderId="84" xfId="0" applyNumberFormat="1" applyFont="1" applyFill="1" applyBorder="1" applyAlignment="1">
      <alignment horizontal="right" vertical="center"/>
    </xf>
    <xf numFmtId="0" fontId="37" fillId="0" borderId="84" xfId="0" applyFont="1" applyFill="1" applyBorder="1">
      <alignment vertical="center"/>
    </xf>
    <xf numFmtId="3" fontId="37" fillId="0" borderId="84" xfId="0" applyNumberFormat="1" applyFont="1" applyFill="1" applyBorder="1" applyAlignment="1">
      <alignment horizontal="right" vertical="center" shrinkToFit="1"/>
    </xf>
    <xf numFmtId="3" fontId="40" fillId="3" borderId="84" xfId="0" applyNumberFormat="1" applyFont="1" applyFill="1" applyBorder="1" applyAlignment="1">
      <alignment horizontal="right" vertical="center"/>
    </xf>
    <xf numFmtId="0" fontId="37" fillId="0" borderId="0" xfId="0" applyNumberFormat="1" applyFont="1" applyFill="1" applyBorder="1" applyAlignment="1">
      <alignment horizontal="right" vertical="center" shrinkToFit="1"/>
    </xf>
    <xf numFmtId="0" fontId="37" fillId="3" borderId="0" xfId="0" applyNumberFormat="1" applyFont="1" applyFill="1" applyBorder="1" applyAlignment="1">
      <alignment vertical="center" shrinkToFit="1"/>
    </xf>
    <xf numFmtId="0" fontId="37" fillId="0" borderId="0" xfId="0" applyNumberFormat="1" applyFont="1" applyFill="1" applyBorder="1" applyAlignment="1">
      <alignment vertical="center" shrinkToFit="1"/>
    </xf>
    <xf numFmtId="49" fontId="11" fillId="0" borderId="0" xfId="0" applyNumberFormat="1" applyFont="1" applyFill="1" applyBorder="1" applyAlignment="1">
      <alignment horizontal="center" vertical="center"/>
    </xf>
    <xf numFmtId="38" fontId="48" fillId="0" borderId="0" xfId="0" applyNumberFormat="1" applyFont="1" applyFill="1" applyBorder="1" applyAlignment="1">
      <alignment horizontal="center" vertical="center"/>
    </xf>
    <xf numFmtId="3" fontId="37" fillId="0" borderId="0" xfId="0" applyNumberFormat="1" applyFont="1" applyFill="1" applyBorder="1" applyAlignment="1">
      <alignment vertical="center" shrinkToFit="1"/>
    </xf>
    <xf numFmtId="0" fontId="11" fillId="0" borderId="0" xfId="0" applyFont="1" applyFill="1" applyBorder="1" applyAlignment="1">
      <alignment horizontal="center" vertical="center"/>
    </xf>
    <xf numFmtId="49" fontId="11" fillId="0" borderId="84" xfId="0" applyNumberFormat="1" applyFont="1" applyFill="1" applyBorder="1">
      <alignment vertical="center"/>
    </xf>
    <xf numFmtId="0" fontId="36" fillId="0" borderId="84" xfId="0" applyFont="1" applyFill="1" applyBorder="1">
      <alignment vertical="center"/>
    </xf>
    <xf numFmtId="49" fontId="51" fillId="0" borderId="3" xfId="0" applyNumberFormat="1" applyFont="1" applyFill="1" applyBorder="1" applyAlignment="1">
      <alignment horizontal="center" vertical="center" wrapText="1"/>
    </xf>
    <xf numFmtId="49" fontId="10" fillId="2" borderId="3" xfId="0" applyNumberFormat="1" applyFont="1" applyFill="1" applyBorder="1" applyAlignment="1">
      <alignment horizontal="center" vertical="center" wrapText="1"/>
    </xf>
    <xf numFmtId="49" fontId="32" fillId="2" borderId="3" xfId="0" applyNumberFormat="1" applyFont="1" applyFill="1" applyBorder="1" applyAlignment="1">
      <alignment horizontal="center" vertical="center" wrapText="1"/>
    </xf>
    <xf numFmtId="49" fontId="11" fillId="2" borderId="3" xfId="0" applyNumberFormat="1" applyFont="1" applyFill="1" applyBorder="1" applyAlignment="1">
      <alignment horizontal="center" vertical="center" wrapText="1"/>
    </xf>
    <xf numFmtId="49" fontId="51" fillId="2" borderId="3" xfId="0" applyNumberFormat="1" applyFont="1" applyFill="1" applyBorder="1" applyAlignment="1">
      <alignment horizontal="center" vertical="center" wrapText="1"/>
    </xf>
    <xf numFmtId="49" fontId="11" fillId="0" borderId="3" xfId="0" applyNumberFormat="1" applyFont="1" applyFill="1" applyBorder="1" applyAlignment="1">
      <alignment horizontal="center" vertical="center" wrapText="1"/>
    </xf>
    <xf numFmtId="49" fontId="11" fillId="0" borderId="3" xfId="0" applyNumberFormat="1" applyFont="1" applyFill="1" applyBorder="1" applyAlignment="1">
      <alignment horizontal="center" vertical="center"/>
    </xf>
    <xf numFmtId="49" fontId="10" fillId="0" borderId="3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shrinkToFit="1"/>
    </xf>
    <xf numFmtId="176" fontId="45" fillId="0" borderId="84" xfId="0" applyNumberFormat="1" applyFont="1" applyFill="1" applyBorder="1" applyAlignment="1">
      <alignment horizontal="center" vertical="center" shrinkToFit="1"/>
    </xf>
    <xf numFmtId="0" fontId="37" fillId="3" borderId="94" xfId="0" applyNumberFormat="1" applyFont="1" applyFill="1" applyBorder="1" applyAlignment="1">
      <alignment horizontal="center" vertical="center"/>
    </xf>
    <xf numFmtId="49" fontId="37" fillId="0" borderId="94" xfId="0" applyNumberFormat="1" applyFont="1" applyFill="1" applyBorder="1" applyAlignment="1">
      <alignment horizontal="center" vertical="center"/>
    </xf>
    <xf numFmtId="49" fontId="38" fillId="0" borderId="94" xfId="0" applyNumberFormat="1" applyFont="1" applyFill="1" applyBorder="1" applyAlignment="1">
      <alignment horizontal="center" vertical="center"/>
    </xf>
    <xf numFmtId="3" fontId="39" fillId="0" borderId="94" xfId="0" applyNumberFormat="1" applyFont="1" applyFill="1" applyBorder="1" applyAlignment="1">
      <alignment horizontal="right" vertical="center"/>
    </xf>
    <xf numFmtId="3" fontId="39" fillId="0" borderId="94" xfId="0" applyNumberFormat="1" applyFont="1" applyFill="1" applyBorder="1" applyAlignment="1">
      <alignment horizontal="center" vertical="center"/>
    </xf>
    <xf numFmtId="3" fontId="36" fillId="0" borderId="94" xfId="0" applyNumberFormat="1" applyFont="1" applyFill="1" applyBorder="1">
      <alignment vertical="center"/>
    </xf>
    <xf numFmtId="182" fontId="0" fillId="0" borderId="0" xfId="0" applyNumberFormat="1" applyFill="1">
      <alignment vertical="center"/>
    </xf>
    <xf numFmtId="182" fontId="0" fillId="0" borderId="10" xfId="0" applyNumberFormat="1" applyFill="1" applyBorder="1" applyAlignment="1">
      <alignment horizontal="center" vertical="center"/>
    </xf>
    <xf numFmtId="3" fontId="41" fillId="0" borderId="94" xfId="0" applyNumberFormat="1" applyFont="1" applyFill="1" applyBorder="1" applyAlignment="1">
      <alignment horizontal="center" vertical="center"/>
    </xf>
    <xf numFmtId="0" fontId="11" fillId="0" borderId="88" xfId="0" applyNumberFormat="1" applyFont="1" applyFill="1" applyBorder="1" applyAlignment="1">
      <alignment horizontal="center" vertical="center"/>
    </xf>
    <xf numFmtId="49" fontId="11" fillId="0" borderId="5" xfId="0" applyNumberFormat="1" applyFont="1" applyFill="1" applyBorder="1" applyAlignment="1">
      <alignment vertical="center" shrinkToFit="1"/>
    </xf>
    <xf numFmtId="177" fontId="28" fillId="0" borderId="5" xfId="0" applyNumberFormat="1" applyFont="1" applyFill="1" applyBorder="1" applyAlignment="1">
      <alignment horizontal="center" vertical="center"/>
    </xf>
    <xf numFmtId="176" fontId="11" fillId="0" borderId="88" xfId="0" applyNumberFormat="1" applyFont="1" applyFill="1" applyBorder="1" applyAlignment="1">
      <alignment horizontal="center" vertical="center" shrinkToFit="1"/>
    </xf>
    <xf numFmtId="177" fontId="28" fillId="0" borderId="88" xfId="0" applyNumberFormat="1" applyFont="1" applyFill="1" applyBorder="1" applyAlignment="1">
      <alignment horizontal="center" vertical="center"/>
    </xf>
    <xf numFmtId="176" fontId="11" fillId="0" borderId="56" xfId="0" applyNumberFormat="1" applyFont="1" applyFill="1" applyBorder="1" applyAlignment="1">
      <alignment horizontal="center" vertical="center" shrinkToFit="1"/>
    </xf>
    <xf numFmtId="49" fontId="11" fillId="0" borderId="56" xfId="0" applyNumberFormat="1" applyFont="1" applyFill="1" applyBorder="1" applyAlignment="1">
      <alignment vertical="center" shrinkToFit="1"/>
    </xf>
    <xf numFmtId="176" fontId="11" fillId="0" borderId="3" xfId="0" applyNumberFormat="1" applyFont="1" applyFill="1" applyBorder="1" applyAlignment="1">
      <alignment horizontal="center" vertical="center" shrinkToFit="1"/>
    </xf>
    <xf numFmtId="49" fontId="11" fillId="0" borderId="84" xfId="0" applyNumberFormat="1" applyFont="1" applyFill="1" applyBorder="1" applyAlignment="1">
      <alignment vertical="center" shrinkToFit="1"/>
    </xf>
    <xf numFmtId="49" fontId="11" fillId="0" borderId="88" xfId="0" applyNumberFormat="1" applyFont="1" applyFill="1" applyBorder="1" applyAlignment="1">
      <alignment vertical="center" shrinkToFit="1"/>
    </xf>
    <xf numFmtId="176" fontId="11" fillId="0" borderId="88" xfId="0" applyNumberFormat="1" applyFont="1" applyFill="1" applyBorder="1" applyAlignment="1">
      <alignment horizontal="center" vertical="center"/>
    </xf>
    <xf numFmtId="176" fontId="30" fillId="0" borderId="3" xfId="0" applyNumberFormat="1" applyFont="1" applyFill="1" applyBorder="1" applyAlignment="1">
      <alignment horizontal="center" vertical="center"/>
    </xf>
    <xf numFmtId="0" fontId="11" fillId="3" borderId="3" xfId="0" applyNumberFormat="1" applyFont="1" applyFill="1" applyBorder="1" applyAlignment="1">
      <alignment horizontal="center" vertical="center"/>
    </xf>
    <xf numFmtId="49" fontId="11" fillId="3" borderId="84" xfId="0" applyNumberFormat="1" applyFont="1" applyFill="1" applyBorder="1" applyAlignment="1">
      <alignment vertical="center" shrinkToFit="1"/>
    </xf>
    <xf numFmtId="49" fontId="11" fillId="0" borderId="88" xfId="0" applyNumberFormat="1" applyFont="1" applyFill="1" applyBorder="1">
      <alignment vertical="center"/>
    </xf>
    <xf numFmtId="0" fontId="28" fillId="0" borderId="3" xfId="0" applyNumberFormat="1" applyFont="1" applyFill="1" applyBorder="1" applyAlignment="1">
      <alignment horizontal="center" vertical="center"/>
    </xf>
    <xf numFmtId="0" fontId="11" fillId="0" borderId="3" xfId="0" applyNumberFormat="1" applyFont="1" applyFill="1" applyBorder="1">
      <alignment vertical="center"/>
    </xf>
    <xf numFmtId="0" fontId="11" fillId="0" borderId="79" xfId="0" applyNumberFormat="1" applyFont="1" applyFill="1" applyBorder="1">
      <alignment vertical="center"/>
    </xf>
    <xf numFmtId="0" fontId="28" fillId="0" borderId="79" xfId="0" applyNumberFormat="1" applyFont="1" applyFill="1" applyBorder="1" applyAlignment="1">
      <alignment horizontal="center" vertical="center"/>
    </xf>
    <xf numFmtId="0" fontId="11" fillId="0" borderId="0" xfId="0" applyNumberFormat="1" applyFont="1" applyFill="1" applyAlignment="1">
      <alignment horizontal="center" vertical="center"/>
    </xf>
    <xf numFmtId="0" fontId="11" fillId="0" borderId="0" xfId="0" applyNumberFormat="1" applyFont="1" applyFill="1">
      <alignment vertical="center"/>
    </xf>
    <xf numFmtId="0" fontId="28" fillId="0" borderId="0" xfId="0" applyNumberFormat="1" applyFont="1" applyFill="1">
      <alignment vertical="center"/>
    </xf>
    <xf numFmtId="0" fontId="11" fillId="0" borderId="95" xfId="0" applyNumberFormat="1" applyFont="1" applyFill="1" applyBorder="1" applyAlignment="1">
      <alignment horizontal="center" vertical="center"/>
    </xf>
    <xf numFmtId="0" fontId="11" fillId="0" borderId="96" xfId="0" applyNumberFormat="1" applyFont="1" applyFill="1" applyBorder="1" applyAlignment="1">
      <alignment horizontal="center" vertical="center"/>
    </xf>
    <xf numFmtId="49" fontId="11" fillId="0" borderId="95" xfId="0" applyNumberFormat="1" applyFont="1" applyFill="1" applyBorder="1">
      <alignment vertical="center"/>
    </xf>
    <xf numFmtId="176" fontId="11" fillId="0" borderId="95" xfId="0" applyNumberFormat="1" applyFont="1" applyFill="1" applyBorder="1" applyAlignment="1">
      <alignment horizontal="center" vertical="center" shrinkToFit="1"/>
    </xf>
    <xf numFmtId="177" fontId="28" fillId="0" borderId="95" xfId="0" applyNumberFormat="1" applyFont="1" applyFill="1" applyBorder="1" applyAlignment="1">
      <alignment horizontal="center" vertical="center"/>
    </xf>
    <xf numFmtId="176" fontId="11" fillId="0" borderId="95" xfId="0" applyNumberFormat="1" applyFont="1" applyFill="1" applyBorder="1" applyAlignment="1">
      <alignment horizontal="center" vertical="center"/>
    </xf>
    <xf numFmtId="49" fontId="3" fillId="0" borderId="96" xfId="0" applyNumberFormat="1" applyFont="1" applyFill="1" applyBorder="1">
      <alignment vertical="center"/>
    </xf>
    <xf numFmtId="49" fontId="11" fillId="0" borderId="95" xfId="0" applyNumberFormat="1" applyFont="1" applyFill="1" applyBorder="1" applyAlignment="1">
      <alignment vertical="center" shrinkToFit="1"/>
    </xf>
    <xf numFmtId="176" fontId="11" fillId="0" borderId="96" xfId="0" applyNumberFormat="1" applyFont="1" applyFill="1" applyBorder="1" applyAlignment="1">
      <alignment horizontal="center" vertical="center"/>
    </xf>
    <xf numFmtId="177" fontId="28" fillId="0" borderId="96" xfId="0" applyNumberFormat="1" applyFont="1" applyFill="1" applyBorder="1" applyAlignment="1">
      <alignment horizontal="center" vertical="center"/>
    </xf>
    <xf numFmtId="49" fontId="36" fillId="0" borderId="96" xfId="0" applyNumberFormat="1" applyFont="1" applyFill="1" applyBorder="1">
      <alignment vertical="center"/>
    </xf>
    <xf numFmtId="0" fontId="0" fillId="0" borderId="97" xfId="0" applyNumberFormat="1" applyFill="1" applyBorder="1">
      <alignment vertical="center"/>
    </xf>
    <xf numFmtId="49" fontId="4" fillId="0" borderId="98" xfId="0" applyNumberFormat="1" applyFont="1" applyFill="1" applyBorder="1" applyAlignment="1">
      <alignment horizontal="center" vertical="center"/>
    </xf>
    <xf numFmtId="176" fontId="0" fillId="0" borderId="98" xfId="0" applyNumberFormat="1" applyFill="1" applyBorder="1">
      <alignment vertical="center"/>
    </xf>
    <xf numFmtId="176" fontId="15" fillId="0" borderId="99" xfId="0" applyNumberFormat="1" applyFont="1" applyFill="1" applyBorder="1">
      <alignment vertical="center"/>
    </xf>
    <xf numFmtId="176" fontId="0" fillId="0" borderId="100" xfId="0" applyNumberFormat="1" applyFill="1" applyBorder="1">
      <alignment vertical="center"/>
    </xf>
    <xf numFmtId="182" fontId="0" fillId="0" borderId="101" xfId="0" applyNumberFormat="1" applyFill="1" applyBorder="1">
      <alignment vertical="center"/>
    </xf>
    <xf numFmtId="49" fontId="5" fillId="0" borderId="96" xfId="0" applyNumberFormat="1" applyFont="1" applyFill="1" applyBorder="1">
      <alignment vertical="center"/>
    </xf>
    <xf numFmtId="49" fontId="5" fillId="0" borderId="95" xfId="0" applyNumberFormat="1" applyFont="1" applyFill="1" applyBorder="1">
      <alignment vertical="center"/>
    </xf>
    <xf numFmtId="49" fontId="11" fillId="0" borderId="5" xfId="0" applyNumberFormat="1" applyFont="1" applyFill="1" applyBorder="1">
      <alignment vertical="center"/>
    </xf>
    <xf numFmtId="49" fontId="11" fillId="0" borderId="96" xfId="0" applyNumberFormat="1" applyFont="1" applyFill="1" applyBorder="1" applyAlignment="1">
      <alignment vertical="center" shrinkToFit="1"/>
    </xf>
    <xf numFmtId="49" fontId="11" fillId="0" borderId="102" xfId="0" applyNumberFormat="1" applyFont="1" applyFill="1" applyBorder="1" applyAlignment="1">
      <alignment vertical="center" shrinkToFit="1"/>
    </xf>
    <xf numFmtId="49" fontId="11" fillId="0" borderId="103" xfId="0" applyNumberFormat="1" applyFont="1" applyFill="1" applyBorder="1" applyAlignment="1">
      <alignment vertical="center" shrinkToFit="1"/>
    </xf>
    <xf numFmtId="49" fontId="11" fillId="0" borderId="104" xfId="0" applyNumberFormat="1" applyFont="1" applyFill="1" applyBorder="1" applyAlignment="1">
      <alignment vertical="center" shrinkToFit="1"/>
    </xf>
    <xf numFmtId="0" fontId="10" fillId="0" borderId="104" xfId="0" applyFont="1" applyFill="1" applyBorder="1" applyAlignment="1">
      <alignment horizontal="center" vertical="center"/>
    </xf>
    <xf numFmtId="0" fontId="10" fillId="0" borderId="105" xfId="0" applyFont="1" applyFill="1" applyBorder="1" applyAlignment="1">
      <alignment horizontal="center" vertical="center"/>
    </xf>
    <xf numFmtId="49" fontId="3" fillId="0" borderId="88" xfId="0" applyNumberFormat="1" applyFont="1" applyFill="1" applyBorder="1" applyAlignment="1">
      <alignment vertical="center" shrinkToFit="1"/>
    </xf>
    <xf numFmtId="49" fontId="10" fillId="0" borderId="104" xfId="0" applyNumberFormat="1" applyFont="1" applyFill="1" applyBorder="1" applyAlignment="1">
      <alignment vertical="center" shrinkToFit="1"/>
    </xf>
    <xf numFmtId="182" fontId="28" fillId="0" borderId="88" xfId="0" applyNumberFormat="1" applyFont="1" applyFill="1" applyBorder="1" applyAlignment="1">
      <alignment horizontal="right" vertical="center"/>
    </xf>
    <xf numFmtId="3" fontId="21" fillId="0" borderId="104" xfId="0" applyNumberFormat="1" applyFont="1" applyFill="1" applyBorder="1" applyAlignment="1">
      <alignment horizontal="center" vertical="center"/>
    </xf>
    <xf numFmtId="177" fontId="18" fillId="0" borderId="104" xfId="0" applyNumberFormat="1" applyFont="1" applyFill="1" applyBorder="1" applyAlignment="1">
      <alignment horizontal="center" vertical="center"/>
    </xf>
    <xf numFmtId="3" fontId="31" fillId="0" borderId="104" xfId="0" applyNumberFormat="1" applyFont="1" applyFill="1" applyBorder="1" applyAlignment="1">
      <alignment horizontal="center" vertical="center"/>
    </xf>
    <xf numFmtId="0" fontId="10" fillId="0" borderId="106" xfId="0" applyFont="1" applyFill="1" applyBorder="1">
      <alignment vertical="center"/>
    </xf>
    <xf numFmtId="3" fontId="17" fillId="0" borderId="104" xfId="0" applyNumberFormat="1" applyFont="1" applyFill="1" applyBorder="1" applyAlignment="1">
      <alignment horizontal="center" vertical="center"/>
    </xf>
    <xf numFmtId="0" fontId="10" fillId="0" borderId="108" xfId="0" applyFont="1" applyFill="1" applyBorder="1" applyAlignment="1">
      <alignment horizontal="center" vertical="center"/>
    </xf>
    <xf numFmtId="0" fontId="10" fillId="0" borderId="107" xfId="0" applyFont="1" applyFill="1" applyBorder="1" applyAlignment="1">
      <alignment horizontal="center" vertical="center"/>
    </xf>
    <xf numFmtId="0" fontId="10" fillId="0" borderId="109" xfId="0" applyFont="1" applyFill="1" applyBorder="1" applyAlignment="1">
      <alignment horizontal="center" vertical="center"/>
    </xf>
    <xf numFmtId="182" fontId="30" fillId="0" borderId="109" xfId="0" applyNumberFormat="1" applyFont="1" applyFill="1" applyBorder="1" applyAlignment="1">
      <alignment horizontal="right" vertical="center"/>
    </xf>
    <xf numFmtId="182" fontId="30" fillId="0" borderId="110" xfId="0" applyNumberFormat="1" applyFont="1" applyFill="1" applyBorder="1" applyAlignment="1">
      <alignment horizontal="right" vertical="center"/>
    </xf>
    <xf numFmtId="0" fontId="10" fillId="0" borderId="113" xfId="0" applyFont="1" applyFill="1" applyBorder="1">
      <alignment vertical="center"/>
    </xf>
    <xf numFmtId="49" fontId="20" fillId="0" borderId="114" xfId="0" applyNumberFormat="1" applyFont="1" applyFill="1" applyBorder="1" applyAlignment="1">
      <alignment horizontal="center" vertical="center"/>
    </xf>
    <xf numFmtId="0" fontId="10" fillId="0" borderId="117" xfId="0" applyFont="1" applyFill="1" applyBorder="1">
      <alignment vertical="center"/>
    </xf>
    <xf numFmtId="49" fontId="10" fillId="0" borderId="116" xfId="0" applyNumberFormat="1" applyFont="1" applyFill="1" applyBorder="1" applyAlignment="1">
      <alignment horizontal="center" vertical="center"/>
    </xf>
    <xf numFmtId="182" fontId="28" fillId="0" borderId="88" xfId="0" applyNumberFormat="1" applyFont="1" applyFill="1" applyBorder="1" applyAlignment="1">
      <alignment horizontal="center" vertical="center"/>
    </xf>
    <xf numFmtId="3" fontId="28" fillId="0" borderId="111" xfId="0" applyNumberFormat="1" applyFont="1" applyFill="1" applyBorder="1" applyAlignment="1">
      <alignment horizontal="center" vertical="center"/>
    </xf>
    <xf numFmtId="3" fontId="28" fillId="0" borderId="115" xfId="0" applyNumberFormat="1" applyFont="1" applyFill="1" applyBorder="1" applyAlignment="1">
      <alignment horizontal="center" vertical="center"/>
    </xf>
    <xf numFmtId="3" fontId="28" fillId="0" borderId="118" xfId="0" applyNumberFormat="1" applyFont="1" applyFill="1" applyBorder="1" applyAlignment="1">
      <alignment horizontal="center" vertical="center"/>
    </xf>
    <xf numFmtId="3" fontId="28" fillId="0" borderId="112" xfId="0" applyNumberFormat="1" applyFont="1" applyFill="1" applyBorder="1" applyAlignment="1">
      <alignment horizontal="center" vertical="center"/>
    </xf>
    <xf numFmtId="182" fontId="28" fillId="0" borderId="3" xfId="0" applyNumberFormat="1" applyFont="1" applyFill="1" applyBorder="1" applyAlignment="1">
      <alignment horizontal="center" vertical="center"/>
    </xf>
    <xf numFmtId="49" fontId="11" fillId="0" borderId="109" xfId="0" applyNumberFormat="1" applyFont="1" applyFill="1" applyBorder="1" applyAlignment="1">
      <alignment vertical="center" shrinkToFit="1"/>
    </xf>
    <xf numFmtId="181" fontId="3" fillId="0" borderId="0" xfId="1" applyNumberFormat="1" applyFont="1" applyFill="1" applyBorder="1">
      <alignment vertical="center"/>
    </xf>
    <xf numFmtId="0" fontId="11" fillId="0" borderId="119" xfId="0" applyNumberFormat="1" applyFont="1" applyFill="1" applyBorder="1" applyAlignment="1">
      <alignment horizontal="center" vertical="center"/>
    </xf>
    <xf numFmtId="176" fontId="11" fillId="0" borderId="120" xfId="0" applyNumberFormat="1" applyFont="1" applyFill="1" applyBorder="1" applyAlignment="1">
      <alignment horizontal="center" vertical="center"/>
    </xf>
    <xf numFmtId="0" fontId="11" fillId="0" borderId="104" xfId="0" applyNumberFormat="1" applyFont="1" applyFill="1" applyBorder="1" applyAlignment="1">
      <alignment horizontal="center" vertical="center"/>
    </xf>
    <xf numFmtId="49" fontId="11" fillId="0" borderId="121" xfId="0" applyNumberFormat="1" applyFont="1" applyFill="1" applyBorder="1">
      <alignment vertical="center"/>
    </xf>
    <xf numFmtId="176" fontId="11" fillId="0" borderId="104" xfId="0" applyNumberFormat="1" applyFont="1" applyFill="1" applyBorder="1" applyAlignment="1">
      <alignment horizontal="center" vertical="center"/>
    </xf>
    <xf numFmtId="49" fontId="34" fillId="0" borderId="80" xfId="0" applyNumberFormat="1" applyFont="1" applyFill="1" applyBorder="1" applyAlignment="1">
      <alignment horizontal="center" vertical="center"/>
    </xf>
    <xf numFmtId="49" fontId="3" fillId="0" borderId="81" xfId="0" applyNumberFormat="1" applyFont="1" applyFill="1" applyBorder="1" applyAlignment="1">
      <alignment horizontal="center" vertical="center"/>
    </xf>
    <xf numFmtId="49" fontId="3" fillId="0" borderId="82" xfId="0" applyNumberFormat="1" applyFont="1" applyFill="1" applyBorder="1" applyAlignment="1">
      <alignment horizontal="center" vertical="center"/>
    </xf>
    <xf numFmtId="49" fontId="7" fillId="0" borderId="3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49" fontId="9" fillId="0" borderId="42" xfId="0" applyNumberFormat="1" applyFont="1" applyFill="1" applyBorder="1" applyAlignment="1">
      <alignment horizontal="center" vertical="center"/>
    </xf>
    <xf numFmtId="0" fontId="9" fillId="0" borderId="42" xfId="0" applyFont="1" applyFill="1" applyBorder="1" applyAlignment="1">
      <alignment horizontal="center" vertical="center"/>
    </xf>
    <xf numFmtId="0" fontId="0" fillId="0" borderId="42" xfId="0" applyFill="1" applyBorder="1">
      <alignment vertical="center"/>
    </xf>
    <xf numFmtId="49" fontId="9" fillId="0" borderId="39" xfId="0" applyNumberFormat="1" applyFont="1" applyFill="1" applyBorder="1" applyAlignment="1">
      <alignment horizontal="center" vertical="center"/>
    </xf>
    <xf numFmtId="0" fontId="9" fillId="0" borderId="40" xfId="0" applyFont="1" applyFill="1" applyBorder="1" applyAlignment="1">
      <alignment horizontal="center" vertical="center"/>
    </xf>
    <xf numFmtId="49" fontId="5" fillId="0" borderId="5" xfId="0" applyNumberFormat="1" applyFont="1" applyFill="1" applyBorder="1">
      <alignment vertical="center"/>
    </xf>
    <xf numFmtId="0" fontId="11" fillId="0" borderId="122" xfId="0" applyNumberFormat="1" applyFont="1" applyFill="1" applyBorder="1" applyAlignment="1">
      <alignment horizontal="center" vertical="center"/>
    </xf>
    <xf numFmtId="0" fontId="11" fillId="0" borderId="123" xfId="0" applyNumberFormat="1" applyFont="1" applyFill="1" applyBorder="1" applyAlignment="1">
      <alignment horizontal="center" vertical="center"/>
    </xf>
    <xf numFmtId="49" fontId="11" fillId="0" borderId="123" xfId="0" applyNumberFormat="1" applyFont="1" applyFill="1" applyBorder="1" applyAlignment="1">
      <alignment vertical="center" shrinkToFit="1"/>
    </xf>
    <xf numFmtId="176" fontId="11" fillId="0" borderId="123" xfId="0" applyNumberFormat="1" applyFont="1" applyFill="1" applyBorder="1" applyAlignment="1">
      <alignment horizontal="center" vertical="center"/>
    </xf>
    <xf numFmtId="177" fontId="28" fillId="0" borderId="123" xfId="0" applyNumberFormat="1" applyFont="1" applyFill="1" applyBorder="1" applyAlignment="1">
      <alignment horizontal="center" vertical="center"/>
    </xf>
    <xf numFmtId="176" fontId="3" fillId="0" borderId="122" xfId="0" applyNumberFormat="1" applyFont="1" applyFill="1" applyBorder="1" applyAlignment="1">
      <alignment horizontal="center" vertical="center"/>
    </xf>
    <xf numFmtId="49" fontId="5" fillId="0" borderId="122" xfId="0" applyNumberFormat="1" applyFont="1" applyFill="1" applyBorder="1">
      <alignment vertical="center"/>
    </xf>
  </cellXfs>
  <cellStyles count="4">
    <cellStyle name="一般" xfId="0" builtinId="0"/>
    <cellStyle name="一般 2" xfId="2" xr:uid="{00000000-0005-0000-0000-000001000000}"/>
    <cellStyle name="一般 3" xfId="3" xr:uid="{00000000-0005-0000-0000-000002000000}"/>
    <cellStyle name="千分位" xfId="1" builtinId="3"/>
  </cellStyles>
  <dxfs count="7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6699FF"/>
      <color rgb="FF00CCFF"/>
      <color rgb="FF00FFFF"/>
      <color rgb="FFECBA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pageSetUpPr fitToPage="1"/>
  </sheetPr>
  <dimension ref="A1:IV246"/>
  <sheetViews>
    <sheetView showGridLines="0" tabSelected="1" showRuler="0" zoomScale="89" zoomScaleNormal="89" zoomScaleSheetLayoutView="86" zoomScalePageLayoutView="130" workbookViewId="0">
      <pane ySplit="2" topLeftCell="A123" activePane="bottomLeft" state="frozen"/>
      <selection pane="bottomLeft" activeCell="G133" sqref="G133"/>
    </sheetView>
  </sheetViews>
  <sheetFormatPr defaultColWidth="8.81640625" defaultRowHeight="24" customHeight="1"/>
  <cols>
    <col min="1" max="1" width="5.90625" style="189" customWidth="1"/>
    <col min="2" max="2" width="7" style="189" customWidth="1"/>
    <col min="3" max="3" width="63.90625" style="175" customWidth="1"/>
    <col min="4" max="4" width="26.1796875" style="175" customWidth="1"/>
    <col min="5" max="5" width="23.6328125" style="188" customWidth="1"/>
    <col min="6" max="6" width="25.6328125" style="175" customWidth="1"/>
    <col min="7" max="7" width="34" style="175" customWidth="1"/>
    <col min="8" max="8" width="8.81640625" style="175" customWidth="1"/>
    <col min="9" max="9" width="72.1796875" style="175" customWidth="1"/>
    <col min="10" max="256" width="8.81640625" style="175" customWidth="1"/>
    <col min="257" max="16384" width="8.81640625" style="186"/>
  </cols>
  <sheetData>
    <row r="1" spans="1:7" s="175" customFormat="1" ht="34.200000000000003" customHeight="1">
      <c r="A1" s="414" t="s">
        <v>59</v>
      </c>
      <c r="B1" s="415"/>
      <c r="C1" s="415"/>
      <c r="D1" s="415"/>
      <c r="E1" s="415"/>
      <c r="F1" s="415"/>
      <c r="G1" s="416"/>
    </row>
    <row r="2" spans="1:7" s="175" customFormat="1" ht="24" customHeight="1">
      <c r="A2" s="35" t="s">
        <v>0</v>
      </c>
      <c r="B2" s="35" t="s">
        <v>1</v>
      </c>
      <c r="C2" s="35" t="s">
        <v>2</v>
      </c>
      <c r="D2" s="35" t="s">
        <v>3</v>
      </c>
      <c r="E2" s="36" t="s">
        <v>4</v>
      </c>
      <c r="F2" s="35" t="s">
        <v>5</v>
      </c>
      <c r="G2" s="35" t="s">
        <v>6</v>
      </c>
    </row>
    <row r="3" spans="1:7" s="175" customFormat="1" ht="24" customHeight="1">
      <c r="A3" s="248">
        <v>1</v>
      </c>
      <c r="B3" s="248">
        <v>3</v>
      </c>
      <c r="C3" s="249" t="s">
        <v>60</v>
      </c>
      <c r="D3" s="250"/>
      <c r="E3" s="251"/>
      <c r="F3" s="250">
        <v>311304</v>
      </c>
      <c r="G3" s="242"/>
    </row>
    <row r="4" spans="1:7" s="175" customFormat="1" ht="24" customHeight="1">
      <c r="A4" s="248">
        <v>1</v>
      </c>
      <c r="B4" s="252">
        <v>5</v>
      </c>
      <c r="C4" s="253" t="s">
        <v>254</v>
      </c>
      <c r="D4" s="254">
        <v>6400</v>
      </c>
      <c r="E4" s="255"/>
      <c r="F4" s="250">
        <v>317704</v>
      </c>
      <c r="G4" s="244"/>
    </row>
    <row r="5" spans="1:7" s="175" customFormat="1" ht="24" customHeight="1">
      <c r="A5" s="248">
        <v>1</v>
      </c>
      <c r="B5" s="248">
        <v>6</v>
      </c>
      <c r="C5" s="249" t="s">
        <v>274</v>
      </c>
      <c r="D5" s="250">
        <v>400</v>
      </c>
      <c r="E5" s="251"/>
      <c r="F5" s="250">
        <v>318104</v>
      </c>
      <c r="G5" s="242"/>
    </row>
    <row r="6" spans="1:7" s="175" customFormat="1" ht="24" customHeight="1">
      <c r="A6" s="248">
        <v>1</v>
      </c>
      <c r="B6" s="248">
        <v>6</v>
      </c>
      <c r="C6" s="249" t="s">
        <v>275</v>
      </c>
      <c r="D6" s="250">
        <v>1200</v>
      </c>
      <c r="E6" s="251"/>
      <c r="F6" s="250">
        <v>319304</v>
      </c>
      <c r="G6" s="242"/>
    </row>
    <row r="7" spans="1:7" s="175" customFormat="1" ht="24" customHeight="1">
      <c r="A7" s="248">
        <v>1</v>
      </c>
      <c r="B7" s="252">
        <v>7</v>
      </c>
      <c r="C7" s="249" t="s">
        <v>276</v>
      </c>
      <c r="D7" s="254">
        <v>4600</v>
      </c>
      <c r="E7" s="255"/>
      <c r="F7" s="250">
        <v>323904</v>
      </c>
      <c r="G7" s="244"/>
    </row>
    <row r="8" spans="1:7" s="175" customFormat="1" ht="24" customHeight="1">
      <c r="A8" s="257">
        <v>1</v>
      </c>
      <c r="B8" s="257">
        <v>7</v>
      </c>
      <c r="C8" s="315" t="s">
        <v>248</v>
      </c>
      <c r="D8" s="262">
        <v>4600</v>
      </c>
      <c r="E8" s="260"/>
      <c r="F8" s="262">
        <v>328504</v>
      </c>
      <c r="G8" s="316"/>
    </row>
    <row r="9" spans="1:7" s="175" customFormat="1" ht="24" customHeight="1">
      <c r="A9" s="257">
        <v>1</v>
      </c>
      <c r="B9" s="257">
        <v>7</v>
      </c>
      <c r="C9" s="315" t="s">
        <v>277</v>
      </c>
      <c r="D9" s="262">
        <v>3000</v>
      </c>
      <c r="E9" s="260"/>
      <c r="F9" s="262">
        <v>331504</v>
      </c>
      <c r="G9" s="316"/>
    </row>
    <row r="10" spans="1:7" s="175" customFormat="1" ht="24" customHeight="1">
      <c r="A10" s="257">
        <v>1</v>
      </c>
      <c r="B10" s="257">
        <v>6</v>
      </c>
      <c r="C10" s="315" t="s">
        <v>256</v>
      </c>
      <c r="D10" s="262">
        <v>3000</v>
      </c>
      <c r="E10" s="260"/>
      <c r="F10" s="262">
        <v>334504</v>
      </c>
      <c r="G10" s="316"/>
    </row>
    <row r="11" spans="1:7" s="175" customFormat="1" ht="24" customHeight="1">
      <c r="A11" s="248">
        <v>1</v>
      </c>
      <c r="B11" s="248">
        <v>10</v>
      </c>
      <c r="C11" s="249" t="s">
        <v>249</v>
      </c>
      <c r="D11" s="250"/>
      <c r="E11" s="251">
        <v>730</v>
      </c>
      <c r="F11" s="250">
        <v>333774</v>
      </c>
      <c r="G11" s="242"/>
    </row>
    <row r="12" spans="1:7" s="175" customFormat="1" ht="24" customHeight="1">
      <c r="A12" s="248">
        <v>1</v>
      </c>
      <c r="B12" s="252">
        <v>10</v>
      </c>
      <c r="C12" s="249" t="s">
        <v>250</v>
      </c>
      <c r="D12" s="254">
        <v>2300</v>
      </c>
      <c r="E12" s="255"/>
      <c r="F12" s="250">
        <v>336074</v>
      </c>
      <c r="G12" s="244"/>
    </row>
    <row r="13" spans="1:7" s="175" customFormat="1" ht="24" customHeight="1">
      <c r="A13" s="248">
        <v>1</v>
      </c>
      <c r="B13" s="252">
        <v>13</v>
      </c>
      <c r="C13" s="249" t="s">
        <v>251</v>
      </c>
      <c r="D13" s="254">
        <v>2400</v>
      </c>
      <c r="E13" s="255"/>
      <c r="F13" s="250">
        <v>338474</v>
      </c>
      <c r="G13" s="244"/>
    </row>
    <row r="14" spans="1:7" s="175" customFormat="1" ht="24" customHeight="1">
      <c r="A14" s="248">
        <v>1</v>
      </c>
      <c r="B14" s="252">
        <v>13</v>
      </c>
      <c r="C14" s="249" t="s">
        <v>252</v>
      </c>
      <c r="D14" s="254">
        <v>2400</v>
      </c>
      <c r="E14" s="255"/>
      <c r="F14" s="250">
        <v>340874</v>
      </c>
      <c r="G14" s="244"/>
    </row>
    <row r="15" spans="1:7" s="175" customFormat="1" ht="24" customHeight="1">
      <c r="A15" s="248">
        <v>1</v>
      </c>
      <c r="B15" s="252">
        <v>16</v>
      </c>
      <c r="C15" s="249" t="s">
        <v>253</v>
      </c>
      <c r="D15" s="254">
        <v>4800</v>
      </c>
      <c r="E15" s="255"/>
      <c r="F15" s="250">
        <v>345674</v>
      </c>
      <c r="G15" s="244"/>
    </row>
    <row r="16" spans="1:7" s="175" customFormat="1" ht="24" customHeight="1">
      <c r="A16" s="248">
        <v>1</v>
      </c>
      <c r="B16" s="252">
        <v>17</v>
      </c>
      <c r="C16" s="249" t="s">
        <v>255</v>
      </c>
      <c r="D16" s="254">
        <v>11400</v>
      </c>
      <c r="E16" s="255"/>
      <c r="F16" s="250">
        <v>357074</v>
      </c>
      <c r="G16" s="244"/>
    </row>
    <row r="17" spans="1:7" s="175" customFormat="1" ht="24" customHeight="1">
      <c r="A17" s="248">
        <v>1</v>
      </c>
      <c r="B17" s="252">
        <v>22</v>
      </c>
      <c r="C17" s="249" t="s">
        <v>257</v>
      </c>
      <c r="D17" s="254">
        <v>2400</v>
      </c>
      <c r="E17" s="255"/>
      <c r="F17" s="250">
        <v>359474</v>
      </c>
      <c r="G17" s="244"/>
    </row>
    <row r="18" spans="1:7" s="175" customFormat="1" ht="24" customHeight="1">
      <c r="A18" s="248">
        <v>1</v>
      </c>
      <c r="B18" s="248">
        <v>22</v>
      </c>
      <c r="C18" s="256" t="s">
        <v>260</v>
      </c>
      <c r="D18" s="250">
        <v>137200</v>
      </c>
      <c r="E18" s="251"/>
      <c r="F18" s="250">
        <v>496674</v>
      </c>
      <c r="G18" s="242"/>
    </row>
    <row r="19" spans="1:7" s="175" customFormat="1" ht="24" customHeight="1">
      <c r="A19" s="248">
        <v>1</v>
      </c>
      <c r="B19" s="248">
        <v>23</v>
      </c>
      <c r="C19" s="256" t="s">
        <v>268</v>
      </c>
      <c r="D19" s="250">
        <v>2400</v>
      </c>
      <c r="E19" s="251"/>
      <c r="F19" s="250">
        <v>499074</v>
      </c>
      <c r="G19" s="241"/>
    </row>
    <row r="20" spans="1:7" s="175" customFormat="1" ht="24" customHeight="1">
      <c r="A20" s="248">
        <v>1</v>
      </c>
      <c r="B20" s="248">
        <v>24</v>
      </c>
      <c r="C20" s="249" t="s">
        <v>278</v>
      </c>
      <c r="D20" s="250"/>
      <c r="E20" s="251">
        <v>120</v>
      </c>
      <c r="F20" s="250">
        <v>498954</v>
      </c>
      <c r="G20" s="241"/>
    </row>
    <row r="21" spans="1:7" s="175" customFormat="1" ht="24" customHeight="1">
      <c r="A21" s="248">
        <v>1</v>
      </c>
      <c r="B21" s="248">
        <v>24</v>
      </c>
      <c r="C21" s="249" t="s">
        <v>273</v>
      </c>
      <c r="D21" s="250">
        <v>400</v>
      </c>
      <c r="E21" s="251"/>
      <c r="F21" s="250">
        <v>499354</v>
      </c>
      <c r="G21" s="241"/>
    </row>
    <row r="22" spans="1:7" s="175" customFormat="1" ht="24" customHeight="1">
      <c r="A22" s="252">
        <v>1</v>
      </c>
      <c r="B22" s="252">
        <v>24</v>
      </c>
      <c r="C22" s="249" t="s">
        <v>272</v>
      </c>
      <c r="D22" s="254">
        <v>1200</v>
      </c>
      <c r="E22" s="255"/>
      <c r="F22" s="250">
        <v>500554</v>
      </c>
      <c r="G22" s="243"/>
    </row>
    <row r="23" spans="1:7" s="175" customFormat="1" ht="24" customHeight="1">
      <c r="A23" s="248">
        <v>1</v>
      </c>
      <c r="B23" s="248">
        <v>26</v>
      </c>
      <c r="C23" s="249" t="s">
        <v>279</v>
      </c>
      <c r="D23" s="250"/>
      <c r="E23" s="251">
        <v>1400</v>
      </c>
      <c r="F23" s="250">
        <v>499154</v>
      </c>
      <c r="G23" s="241"/>
    </row>
    <row r="24" spans="1:7" s="175" customFormat="1" ht="24" customHeight="1">
      <c r="A24" s="248">
        <v>1</v>
      </c>
      <c r="B24" s="248">
        <v>26</v>
      </c>
      <c r="C24" s="256" t="s">
        <v>280</v>
      </c>
      <c r="D24" s="250">
        <v>4000</v>
      </c>
      <c r="E24" s="251"/>
      <c r="F24" s="250">
        <v>503154</v>
      </c>
      <c r="G24" s="241"/>
    </row>
    <row r="25" spans="1:7" s="175" customFormat="1" ht="24" customHeight="1">
      <c r="A25" s="257">
        <v>1</v>
      </c>
      <c r="B25" s="258">
        <v>26</v>
      </c>
      <c r="C25" s="256" t="s">
        <v>253</v>
      </c>
      <c r="D25" s="259">
        <v>7300</v>
      </c>
      <c r="E25" s="260"/>
      <c r="F25" s="259">
        <v>510454</v>
      </c>
      <c r="G25" s="245"/>
    </row>
    <row r="26" spans="1:7" s="175" customFormat="1" ht="24" customHeight="1">
      <c r="A26" s="261">
        <v>1</v>
      </c>
      <c r="B26" s="257">
        <v>27</v>
      </c>
      <c r="C26" s="256" t="s">
        <v>248</v>
      </c>
      <c r="D26" s="262">
        <v>6600</v>
      </c>
      <c r="E26" s="263"/>
      <c r="F26" s="262">
        <v>517054</v>
      </c>
      <c r="G26" s="246"/>
    </row>
    <row r="27" spans="1:7" s="175" customFormat="1" ht="24" customHeight="1">
      <c r="A27" s="252">
        <v>1</v>
      </c>
      <c r="B27" s="252">
        <v>30</v>
      </c>
      <c r="C27" s="256" t="s">
        <v>281</v>
      </c>
      <c r="D27" s="254">
        <v>7200</v>
      </c>
      <c r="E27" s="255"/>
      <c r="F27" s="264">
        <v>524254</v>
      </c>
      <c r="G27" s="243"/>
    </row>
    <row r="28" spans="1:7" s="175" customFormat="1" ht="24" customHeight="1">
      <c r="A28" s="248">
        <v>1</v>
      </c>
      <c r="B28" s="248">
        <v>30</v>
      </c>
      <c r="C28" s="256" t="s">
        <v>282</v>
      </c>
      <c r="D28" s="250">
        <v>2900</v>
      </c>
      <c r="E28" s="251"/>
      <c r="F28" s="264">
        <v>527154</v>
      </c>
      <c r="G28" s="241"/>
    </row>
    <row r="29" spans="1:7" s="175" customFormat="1" ht="24" customHeight="1">
      <c r="A29" s="252">
        <v>1</v>
      </c>
      <c r="B29" s="252">
        <v>30</v>
      </c>
      <c r="C29" s="265" t="s">
        <v>283</v>
      </c>
      <c r="D29" s="254"/>
      <c r="E29" s="255">
        <v>294</v>
      </c>
      <c r="F29" s="264">
        <v>526860</v>
      </c>
      <c r="G29" s="243"/>
    </row>
    <row r="30" spans="1:7" s="175" customFormat="1" ht="24" customHeight="1">
      <c r="A30" s="248">
        <v>1</v>
      </c>
      <c r="B30" s="248">
        <v>30</v>
      </c>
      <c r="C30" s="256" t="s">
        <v>250</v>
      </c>
      <c r="D30" s="250">
        <v>3300</v>
      </c>
      <c r="E30" s="251"/>
      <c r="F30" s="264">
        <v>530160</v>
      </c>
      <c r="G30" s="241"/>
    </row>
    <row r="31" spans="1:7" s="175" customFormat="1" ht="24" customHeight="1">
      <c r="A31" s="248">
        <v>1</v>
      </c>
      <c r="B31" s="248">
        <v>31</v>
      </c>
      <c r="C31" s="256" t="s">
        <v>251</v>
      </c>
      <c r="D31" s="250">
        <v>4000</v>
      </c>
      <c r="E31" s="251"/>
      <c r="F31" s="264">
        <v>534160</v>
      </c>
      <c r="G31" s="241"/>
    </row>
    <row r="32" spans="1:7" s="175" customFormat="1" ht="24" customHeight="1">
      <c r="A32" s="248">
        <v>2</v>
      </c>
      <c r="B32" s="248">
        <v>2</v>
      </c>
      <c r="C32" s="256" t="s">
        <v>286</v>
      </c>
      <c r="D32" s="250">
        <v>1200</v>
      </c>
      <c r="E32" s="251"/>
      <c r="F32" s="264">
        <v>535360</v>
      </c>
      <c r="G32" s="241"/>
    </row>
    <row r="33" spans="1:9" s="175" customFormat="1" ht="24" customHeight="1">
      <c r="A33" s="248">
        <v>2</v>
      </c>
      <c r="B33" s="248">
        <v>3</v>
      </c>
      <c r="C33" s="256" t="s">
        <v>252</v>
      </c>
      <c r="D33" s="250">
        <v>3300</v>
      </c>
      <c r="E33" s="251"/>
      <c r="F33" s="264">
        <v>538660</v>
      </c>
      <c r="G33" s="241"/>
    </row>
    <row r="34" spans="1:9" s="175" customFormat="1" ht="24" customHeight="1">
      <c r="A34" s="248">
        <v>2</v>
      </c>
      <c r="B34" s="248">
        <v>3</v>
      </c>
      <c r="C34" s="256" t="s">
        <v>285</v>
      </c>
      <c r="D34" s="250">
        <v>164900</v>
      </c>
      <c r="E34" s="251"/>
      <c r="F34" s="264">
        <v>703560</v>
      </c>
      <c r="G34" s="241"/>
    </row>
    <row r="35" spans="1:9" s="175" customFormat="1" ht="24" customHeight="1" thickBot="1">
      <c r="A35" s="258">
        <v>2</v>
      </c>
      <c r="B35" s="258">
        <v>3</v>
      </c>
      <c r="C35" s="365" t="s">
        <v>290</v>
      </c>
      <c r="D35" s="259"/>
      <c r="E35" s="338">
        <v>225374</v>
      </c>
      <c r="F35" s="363">
        <v>478186</v>
      </c>
      <c r="G35" s="245"/>
      <c r="I35" s="177"/>
    </row>
    <row r="36" spans="1:9" s="175" customFormat="1" ht="24" customHeight="1">
      <c r="A36" s="359">
        <v>2</v>
      </c>
      <c r="B36" s="359">
        <v>7</v>
      </c>
      <c r="C36" s="345" t="s">
        <v>307</v>
      </c>
      <c r="D36" s="366">
        <v>13200</v>
      </c>
      <c r="E36" s="367"/>
      <c r="F36" s="264">
        <v>491386</v>
      </c>
      <c r="G36" s="368"/>
      <c r="I36" s="177"/>
    </row>
    <row r="37" spans="1:9" s="175" customFormat="1" ht="24" customHeight="1">
      <c r="A37" s="248">
        <v>2</v>
      </c>
      <c r="B37" s="248">
        <v>7</v>
      </c>
      <c r="C37" s="256" t="s">
        <v>306</v>
      </c>
      <c r="D37" s="250">
        <v>12000</v>
      </c>
      <c r="E37" s="251"/>
      <c r="F37" s="264">
        <v>503386</v>
      </c>
      <c r="G37" s="241"/>
      <c r="I37" s="177"/>
    </row>
    <row r="38" spans="1:9" s="175" customFormat="1" ht="24" customHeight="1">
      <c r="A38" s="248">
        <v>2</v>
      </c>
      <c r="B38" s="248">
        <v>7</v>
      </c>
      <c r="C38" s="256" t="s">
        <v>305</v>
      </c>
      <c r="D38" s="250">
        <v>16000</v>
      </c>
      <c r="E38" s="251"/>
      <c r="F38" s="264">
        <v>519386</v>
      </c>
      <c r="G38" s="241"/>
      <c r="I38" s="177"/>
    </row>
    <row r="39" spans="1:9" s="175" customFormat="1" ht="24" customHeight="1">
      <c r="A39" s="248">
        <v>2</v>
      </c>
      <c r="B39" s="248">
        <v>7</v>
      </c>
      <c r="C39" s="256" t="s">
        <v>304</v>
      </c>
      <c r="D39" s="250">
        <v>6600</v>
      </c>
      <c r="E39" s="251"/>
      <c r="F39" s="264">
        <v>525986</v>
      </c>
      <c r="G39" s="241"/>
      <c r="I39" s="177"/>
    </row>
    <row r="40" spans="1:9" s="175" customFormat="1" ht="24" customHeight="1">
      <c r="A40" s="248">
        <v>2</v>
      </c>
      <c r="B40" s="248">
        <v>7</v>
      </c>
      <c r="C40" s="256" t="s">
        <v>300</v>
      </c>
      <c r="D40" s="250">
        <v>3000</v>
      </c>
      <c r="E40" s="251"/>
      <c r="F40" s="264">
        <v>528986</v>
      </c>
      <c r="G40" s="241"/>
      <c r="I40" s="177"/>
    </row>
    <row r="41" spans="1:9" s="175" customFormat="1" ht="24" customHeight="1">
      <c r="A41" s="261">
        <v>2</v>
      </c>
      <c r="B41" s="261">
        <v>7</v>
      </c>
      <c r="C41" s="266" t="s">
        <v>302</v>
      </c>
      <c r="D41" s="264">
        <v>1600</v>
      </c>
      <c r="E41" s="263"/>
      <c r="F41" s="264">
        <v>530586</v>
      </c>
      <c r="G41" s="247"/>
    </row>
    <row r="42" spans="1:9" s="175" customFormat="1" ht="24" customHeight="1">
      <c r="A42" s="248">
        <v>2</v>
      </c>
      <c r="B42" s="248">
        <v>7</v>
      </c>
      <c r="C42" s="266" t="s">
        <v>301</v>
      </c>
      <c r="D42" s="250">
        <v>1200</v>
      </c>
      <c r="E42" s="251"/>
      <c r="F42" s="264">
        <v>531786</v>
      </c>
      <c r="G42" s="241"/>
    </row>
    <row r="43" spans="1:9" s="175" customFormat="1" ht="24" customHeight="1">
      <c r="A43" s="248">
        <v>2</v>
      </c>
      <c r="B43" s="248">
        <v>9</v>
      </c>
      <c r="C43" s="266" t="s">
        <v>303</v>
      </c>
      <c r="D43" s="250">
        <v>3300</v>
      </c>
      <c r="E43" s="251"/>
      <c r="F43" s="264">
        <v>535086</v>
      </c>
      <c r="G43" s="242"/>
    </row>
    <row r="44" spans="1:9" s="175" customFormat="1" ht="24" customHeight="1">
      <c r="A44" s="248">
        <v>2</v>
      </c>
      <c r="B44" s="248">
        <v>9</v>
      </c>
      <c r="C44" s="266" t="s">
        <v>309</v>
      </c>
      <c r="D44" s="240"/>
      <c r="E44" s="251">
        <v>10000</v>
      </c>
      <c r="F44" s="264">
        <v>525086</v>
      </c>
      <c r="G44" s="79"/>
    </row>
    <row r="45" spans="1:9" s="175" customFormat="1" ht="24" customHeight="1">
      <c r="A45" s="248">
        <v>2</v>
      </c>
      <c r="B45" s="248">
        <v>9</v>
      </c>
      <c r="C45" s="266" t="s">
        <v>308</v>
      </c>
      <c r="D45" s="250"/>
      <c r="E45" s="251">
        <v>2312</v>
      </c>
      <c r="F45" s="264">
        <v>522774</v>
      </c>
      <c r="G45" s="79"/>
    </row>
    <row r="46" spans="1:9" s="175" customFormat="1" ht="24" customHeight="1">
      <c r="A46" s="248">
        <v>2</v>
      </c>
      <c r="B46" s="248">
        <v>13</v>
      </c>
      <c r="C46" s="256" t="s">
        <v>310</v>
      </c>
      <c r="D46" s="250">
        <v>8000</v>
      </c>
      <c r="E46" s="251"/>
      <c r="F46" s="264">
        <v>530774</v>
      </c>
      <c r="G46" s="79"/>
    </row>
    <row r="47" spans="1:9" s="175" customFormat="1" ht="24" customHeight="1">
      <c r="A47" s="248">
        <v>2</v>
      </c>
      <c r="B47" s="248">
        <v>23</v>
      </c>
      <c r="C47" s="249" t="s">
        <v>311</v>
      </c>
      <c r="D47" s="250">
        <v>4000</v>
      </c>
      <c r="E47" s="251"/>
      <c r="F47" s="264">
        <v>534774</v>
      </c>
      <c r="G47" s="79"/>
    </row>
    <row r="48" spans="1:9" s="175" customFormat="1" ht="24" customHeight="1">
      <c r="A48" s="252">
        <v>2</v>
      </c>
      <c r="B48" s="252">
        <v>24</v>
      </c>
      <c r="C48" s="253" t="s">
        <v>280</v>
      </c>
      <c r="D48" s="254">
        <v>1900</v>
      </c>
      <c r="E48" s="255"/>
      <c r="F48" s="264">
        <v>536674</v>
      </c>
      <c r="G48" s="176"/>
    </row>
    <row r="49" spans="1:7" s="175" customFormat="1" ht="24" customHeight="1">
      <c r="A49" s="248">
        <v>2</v>
      </c>
      <c r="B49" s="248">
        <v>24</v>
      </c>
      <c r="C49" s="249" t="s">
        <v>253</v>
      </c>
      <c r="D49" s="250">
        <v>2000</v>
      </c>
      <c r="E49" s="251"/>
      <c r="F49" s="264">
        <v>538674</v>
      </c>
      <c r="G49" s="79"/>
    </row>
    <row r="50" spans="1:7" s="175" customFormat="1" ht="24" customHeight="1">
      <c r="A50" s="248">
        <v>2</v>
      </c>
      <c r="B50" s="248">
        <v>25</v>
      </c>
      <c r="C50" s="256" t="s">
        <v>312</v>
      </c>
      <c r="D50" s="250">
        <v>2000</v>
      </c>
      <c r="E50" s="251"/>
      <c r="F50" s="264">
        <v>540674</v>
      </c>
      <c r="G50" s="79"/>
    </row>
    <row r="51" spans="1:7" s="175" customFormat="1" ht="24" customHeight="1">
      <c r="A51" s="257">
        <v>2</v>
      </c>
      <c r="B51" s="257">
        <v>25</v>
      </c>
      <c r="C51" s="337" t="s">
        <v>251</v>
      </c>
      <c r="D51" s="262">
        <v>1000</v>
      </c>
      <c r="E51" s="260"/>
      <c r="F51" s="262">
        <v>541674</v>
      </c>
      <c r="G51" s="231"/>
    </row>
    <row r="52" spans="1:7" s="175" customFormat="1" ht="24" customHeight="1">
      <c r="A52" s="336">
        <v>2</v>
      </c>
      <c r="B52" s="336">
        <v>26</v>
      </c>
      <c r="C52" s="315" t="s">
        <v>248</v>
      </c>
      <c r="D52" s="339">
        <v>1900</v>
      </c>
      <c r="E52" s="340"/>
      <c r="F52" s="264">
        <v>543574</v>
      </c>
      <c r="G52" s="197"/>
    </row>
    <row r="53" spans="1:7" s="175" customFormat="1" ht="24" customHeight="1">
      <c r="A53" s="261">
        <v>2</v>
      </c>
      <c r="B53" s="261">
        <v>26</v>
      </c>
      <c r="C53" s="249" t="s">
        <v>250</v>
      </c>
      <c r="D53" s="341">
        <v>1000</v>
      </c>
      <c r="E53" s="263"/>
      <c r="F53" s="264">
        <v>544574</v>
      </c>
      <c r="G53" s="172"/>
    </row>
    <row r="54" spans="1:7" s="175" customFormat="1" ht="24" customHeight="1">
      <c r="A54" s="261">
        <v>3</v>
      </c>
      <c r="B54" s="261">
        <v>4</v>
      </c>
      <c r="C54" s="342" t="s">
        <v>252</v>
      </c>
      <c r="D54" s="264">
        <v>1000</v>
      </c>
      <c r="E54" s="263"/>
      <c r="F54" s="264">
        <v>545574</v>
      </c>
      <c r="G54" s="34"/>
    </row>
    <row r="55" spans="1:7" s="175" customFormat="1" ht="24" customHeight="1">
      <c r="A55" s="261">
        <v>3</v>
      </c>
      <c r="B55" s="261">
        <v>4</v>
      </c>
      <c r="C55" s="266" t="s">
        <v>314</v>
      </c>
      <c r="D55" s="341">
        <v>45800</v>
      </c>
      <c r="E55" s="263"/>
      <c r="F55" s="264">
        <v>591374</v>
      </c>
      <c r="G55" s="172"/>
    </row>
    <row r="56" spans="1:7" s="175" customFormat="1" ht="24" customHeight="1" thickBot="1">
      <c r="A56" s="358">
        <v>3</v>
      </c>
      <c r="B56" s="258">
        <v>5</v>
      </c>
      <c r="C56" s="360" t="s">
        <v>315</v>
      </c>
      <c r="D56" s="361"/>
      <c r="E56" s="362">
        <v>232169</v>
      </c>
      <c r="F56" s="363">
        <v>359205</v>
      </c>
      <c r="G56" s="231"/>
    </row>
    <row r="57" spans="1:7" s="175" customFormat="1" ht="24" customHeight="1">
      <c r="A57" s="261">
        <v>3</v>
      </c>
      <c r="B57" s="359">
        <v>6</v>
      </c>
      <c r="C57" s="266" t="s">
        <v>318</v>
      </c>
      <c r="D57" s="341">
        <v>3300</v>
      </c>
      <c r="E57" s="263"/>
      <c r="F57" s="264">
        <v>362505</v>
      </c>
      <c r="G57" s="364"/>
    </row>
    <row r="58" spans="1:7" s="175" customFormat="1" ht="24" customHeight="1">
      <c r="A58" s="261">
        <v>3</v>
      </c>
      <c r="B58" s="261">
        <v>6</v>
      </c>
      <c r="C58" s="266" t="s">
        <v>319</v>
      </c>
      <c r="D58" s="341">
        <v>3000</v>
      </c>
      <c r="E58" s="263"/>
      <c r="F58" s="264">
        <v>365505</v>
      </c>
      <c r="G58" s="172"/>
    </row>
    <row r="59" spans="1:7" s="175" customFormat="1" ht="24" customHeight="1">
      <c r="A59" s="261">
        <v>3</v>
      </c>
      <c r="B59" s="261">
        <v>6</v>
      </c>
      <c r="C59" s="266" t="s">
        <v>320</v>
      </c>
      <c r="D59" s="341">
        <v>2400</v>
      </c>
      <c r="E59" s="263"/>
      <c r="F59" s="264">
        <v>367905</v>
      </c>
      <c r="G59" s="172"/>
    </row>
    <row r="60" spans="1:7" s="175" customFormat="1" ht="24" customHeight="1">
      <c r="A60" s="261">
        <v>3</v>
      </c>
      <c r="B60" s="261">
        <v>6</v>
      </c>
      <c r="C60" s="266" t="s">
        <v>312</v>
      </c>
      <c r="D60" s="341">
        <v>5500</v>
      </c>
      <c r="E60" s="263"/>
      <c r="F60" s="264">
        <v>373405</v>
      </c>
      <c r="G60" s="172"/>
    </row>
    <row r="61" spans="1:7" s="175" customFormat="1" ht="24" customHeight="1">
      <c r="A61" s="261">
        <v>3</v>
      </c>
      <c r="B61" s="261">
        <v>10</v>
      </c>
      <c r="C61" s="266" t="s">
        <v>250</v>
      </c>
      <c r="D61" s="341">
        <v>3000</v>
      </c>
      <c r="E61" s="263"/>
      <c r="F61" s="264">
        <v>376405</v>
      </c>
      <c r="G61" s="172"/>
    </row>
    <row r="62" spans="1:7" s="175" customFormat="1" ht="24" customHeight="1">
      <c r="A62" s="261">
        <v>3</v>
      </c>
      <c r="B62" s="261">
        <v>11</v>
      </c>
      <c r="C62" s="266" t="s">
        <v>322</v>
      </c>
      <c r="D62" s="341">
        <v>3200</v>
      </c>
      <c r="E62" s="263"/>
      <c r="F62" s="264">
        <v>379605</v>
      </c>
      <c r="G62" s="172"/>
    </row>
    <row r="63" spans="1:7" s="175" customFormat="1" ht="24" customHeight="1">
      <c r="A63" s="257">
        <v>3</v>
      </c>
      <c r="B63" s="258">
        <v>11</v>
      </c>
      <c r="C63" s="344" t="s">
        <v>323</v>
      </c>
      <c r="D63" s="262">
        <v>1000</v>
      </c>
      <c r="E63" s="338"/>
      <c r="F63" s="259">
        <v>380605</v>
      </c>
      <c r="G63" s="197"/>
    </row>
    <row r="64" spans="1:7" s="175" customFormat="1" ht="24" customHeight="1">
      <c r="A64" s="336">
        <v>3</v>
      </c>
      <c r="B64" s="257">
        <v>12</v>
      </c>
      <c r="C64" s="345" t="s">
        <v>324</v>
      </c>
      <c r="D64" s="346">
        <v>1000</v>
      </c>
      <c r="E64" s="260"/>
      <c r="F64" s="262">
        <v>381605</v>
      </c>
      <c r="G64" s="232"/>
    </row>
    <row r="65" spans="1:9" s="175" customFormat="1" ht="24" customHeight="1">
      <c r="A65" s="248">
        <v>3</v>
      </c>
      <c r="B65" s="248">
        <v>13</v>
      </c>
      <c r="C65" s="249" t="s">
        <v>325</v>
      </c>
      <c r="D65" s="250">
        <v>2000</v>
      </c>
      <c r="E65" s="251"/>
      <c r="F65" s="264">
        <v>383605</v>
      </c>
      <c r="G65" s="178"/>
    </row>
    <row r="66" spans="1:9" s="175" customFormat="1" ht="24" customHeight="1">
      <c r="A66" s="248">
        <v>3</v>
      </c>
      <c r="B66" s="248">
        <v>13</v>
      </c>
      <c r="C66" s="256" t="s">
        <v>326</v>
      </c>
      <c r="D66" s="347"/>
      <c r="E66" s="251">
        <v>600</v>
      </c>
      <c r="F66" s="264">
        <v>383005</v>
      </c>
      <c r="G66" s="178"/>
    </row>
    <row r="67" spans="1:9" s="175" customFormat="1" ht="24" customHeight="1">
      <c r="A67" s="248">
        <v>3</v>
      </c>
      <c r="B67" s="248">
        <v>14</v>
      </c>
      <c r="C67" s="256" t="s">
        <v>251</v>
      </c>
      <c r="D67" s="250">
        <v>3000</v>
      </c>
      <c r="E67" s="251"/>
      <c r="F67" s="264">
        <v>386005</v>
      </c>
      <c r="G67" s="34"/>
    </row>
    <row r="68" spans="1:9" s="175" customFormat="1" ht="24" customHeight="1">
      <c r="A68" s="248">
        <v>3</v>
      </c>
      <c r="B68" s="248">
        <v>15</v>
      </c>
      <c r="C68" s="256" t="s">
        <v>327</v>
      </c>
      <c r="D68" s="250">
        <v>5500</v>
      </c>
      <c r="E68" s="251"/>
      <c r="F68" s="264">
        <v>391505</v>
      </c>
      <c r="G68" s="178"/>
    </row>
    <row r="69" spans="1:9" s="175" customFormat="1" ht="24" customHeight="1">
      <c r="A69" s="248">
        <v>3</v>
      </c>
      <c r="B69" s="248">
        <v>15</v>
      </c>
      <c r="C69" s="256" t="s">
        <v>248</v>
      </c>
      <c r="D69" s="343">
        <v>5400</v>
      </c>
      <c r="E69" s="251"/>
      <c r="F69" s="264">
        <v>396905</v>
      </c>
      <c r="G69" s="34"/>
    </row>
    <row r="70" spans="1:9" s="175" customFormat="1" ht="24" customHeight="1">
      <c r="A70" s="248">
        <v>3</v>
      </c>
      <c r="B70" s="248">
        <v>15</v>
      </c>
      <c r="C70" s="256" t="s">
        <v>252</v>
      </c>
      <c r="D70" s="250">
        <v>3000</v>
      </c>
      <c r="E70" s="251"/>
      <c r="F70" s="264">
        <v>399905</v>
      </c>
      <c r="G70" s="34"/>
    </row>
    <row r="71" spans="1:9" s="175" customFormat="1" ht="24" customHeight="1">
      <c r="A71" s="252">
        <v>3</v>
      </c>
      <c r="B71" s="252">
        <v>16</v>
      </c>
      <c r="C71" s="256" t="s">
        <v>328</v>
      </c>
      <c r="D71" s="254">
        <v>3300</v>
      </c>
      <c r="E71" s="255"/>
      <c r="F71" s="264">
        <v>403205</v>
      </c>
      <c r="G71" s="172"/>
    </row>
    <row r="72" spans="1:9" s="175" customFormat="1" ht="24" customHeight="1">
      <c r="A72" s="252">
        <v>3</v>
      </c>
      <c r="B72" s="252">
        <v>19</v>
      </c>
      <c r="C72" s="265" t="s">
        <v>329</v>
      </c>
      <c r="D72" s="254">
        <v>1000</v>
      </c>
      <c r="E72" s="255"/>
      <c r="F72" s="264">
        <v>404205</v>
      </c>
      <c r="G72" s="172"/>
    </row>
    <row r="73" spans="1:9" s="175" customFormat="1" ht="24" customHeight="1">
      <c r="A73" s="252">
        <v>3</v>
      </c>
      <c r="B73" s="252">
        <v>22</v>
      </c>
      <c r="C73" s="265" t="s">
        <v>279</v>
      </c>
      <c r="D73" s="254"/>
      <c r="E73" s="255">
        <v>1400</v>
      </c>
      <c r="F73" s="264">
        <v>402805</v>
      </c>
      <c r="G73" s="172"/>
    </row>
    <row r="74" spans="1:9" s="175" customFormat="1" ht="24" customHeight="1">
      <c r="A74" s="248">
        <v>3</v>
      </c>
      <c r="B74" s="248">
        <v>29</v>
      </c>
      <c r="C74" s="256" t="s">
        <v>257</v>
      </c>
      <c r="D74" s="250">
        <v>3000</v>
      </c>
      <c r="E74" s="251"/>
      <c r="F74" s="264">
        <v>405805</v>
      </c>
      <c r="G74" s="34"/>
    </row>
    <row r="75" spans="1:9" s="175" customFormat="1" ht="24" customHeight="1">
      <c r="A75" s="248">
        <v>3</v>
      </c>
      <c r="B75" s="248">
        <v>31</v>
      </c>
      <c r="C75" s="256" t="s">
        <v>330</v>
      </c>
      <c r="D75" s="250">
        <v>162300</v>
      </c>
      <c r="E75" s="251"/>
      <c r="F75" s="264">
        <v>568105</v>
      </c>
      <c r="G75" s="178"/>
    </row>
    <row r="76" spans="1:9" s="175" customFormat="1" ht="24" customHeight="1" thickBot="1">
      <c r="A76" s="248">
        <v>4</v>
      </c>
      <c r="B76" s="248">
        <v>8</v>
      </c>
      <c r="C76" s="360" t="s">
        <v>331</v>
      </c>
      <c r="D76" s="259"/>
      <c r="E76" s="362">
        <v>197190</v>
      </c>
      <c r="F76" s="363">
        <v>370915</v>
      </c>
      <c r="G76" s="376"/>
    </row>
    <row r="77" spans="1:9" s="175" customFormat="1" ht="24" customHeight="1">
      <c r="A77" s="252">
        <v>4</v>
      </c>
      <c r="B77" s="252">
        <v>11</v>
      </c>
      <c r="C77" s="253" t="s">
        <v>333</v>
      </c>
      <c r="D77" s="366">
        <v>2500</v>
      </c>
      <c r="E77" s="340"/>
      <c r="F77" s="264">
        <v>373415</v>
      </c>
      <c r="G77" s="375"/>
      <c r="I77" s="177"/>
    </row>
    <row r="78" spans="1:9" s="175" customFormat="1" ht="24" customHeight="1">
      <c r="A78" s="252">
        <v>4</v>
      </c>
      <c r="B78" s="252">
        <v>12</v>
      </c>
      <c r="C78" s="256" t="s">
        <v>312</v>
      </c>
      <c r="D78" s="254">
        <v>5500</v>
      </c>
      <c r="E78" s="255"/>
      <c r="F78" s="264">
        <v>378915</v>
      </c>
      <c r="G78" s="179"/>
      <c r="I78" s="177"/>
    </row>
    <row r="79" spans="1:9" s="175" customFormat="1" ht="24" customHeight="1">
      <c r="A79" s="248">
        <v>4</v>
      </c>
      <c r="B79" s="248">
        <v>19</v>
      </c>
      <c r="C79" s="256" t="s">
        <v>252</v>
      </c>
      <c r="D79" s="250">
        <v>3000</v>
      </c>
      <c r="E79" s="251"/>
      <c r="F79" s="264">
        <v>381915</v>
      </c>
      <c r="G79" s="180"/>
    </row>
    <row r="80" spans="1:9" s="175" customFormat="1" ht="24" customHeight="1">
      <c r="A80" s="248">
        <v>4</v>
      </c>
      <c r="B80" s="248">
        <v>19</v>
      </c>
      <c r="C80" s="256" t="s">
        <v>248</v>
      </c>
      <c r="D80" s="250">
        <v>5300</v>
      </c>
      <c r="E80" s="251"/>
      <c r="F80" s="264">
        <v>387215</v>
      </c>
      <c r="G80" s="180"/>
    </row>
    <row r="81" spans="1:7" s="175" customFormat="1" ht="24" customHeight="1">
      <c r="A81" s="258">
        <v>4</v>
      </c>
      <c r="B81" s="258">
        <v>20</v>
      </c>
      <c r="C81" s="256" t="s">
        <v>250</v>
      </c>
      <c r="D81" s="259">
        <v>3000</v>
      </c>
      <c r="E81" s="338"/>
      <c r="F81" s="259">
        <v>390215</v>
      </c>
      <c r="G81" s="231"/>
    </row>
    <row r="82" spans="1:7" s="175" customFormat="1" ht="24" customHeight="1">
      <c r="A82" s="257">
        <v>4</v>
      </c>
      <c r="B82" s="257">
        <v>23</v>
      </c>
      <c r="C82" s="256" t="s">
        <v>335</v>
      </c>
      <c r="D82" s="262">
        <v>5400</v>
      </c>
      <c r="E82" s="260"/>
      <c r="F82" s="262">
        <v>395615</v>
      </c>
      <c r="G82" s="233"/>
    </row>
    <row r="83" spans="1:7" s="175" customFormat="1" ht="24" customHeight="1">
      <c r="A83" s="248">
        <v>4</v>
      </c>
      <c r="B83" s="248">
        <v>23</v>
      </c>
      <c r="C83" s="256" t="s">
        <v>251</v>
      </c>
      <c r="D83" s="250">
        <v>3000</v>
      </c>
      <c r="E83" s="251"/>
      <c r="F83" s="264">
        <v>398615</v>
      </c>
      <c r="G83" s="178"/>
    </row>
    <row r="84" spans="1:7" s="175" customFormat="1" ht="24" customHeight="1">
      <c r="A84" s="248">
        <v>4</v>
      </c>
      <c r="B84" s="248">
        <v>24</v>
      </c>
      <c r="C84" s="256" t="s">
        <v>336</v>
      </c>
      <c r="D84" s="250">
        <v>3000</v>
      </c>
      <c r="E84" s="251"/>
      <c r="F84" s="264">
        <v>401615</v>
      </c>
      <c r="G84" s="178"/>
    </row>
    <row r="85" spans="1:7" s="175" customFormat="1" ht="24" customHeight="1">
      <c r="A85" s="248">
        <v>4</v>
      </c>
      <c r="B85" s="248">
        <v>24</v>
      </c>
      <c r="C85" s="256" t="s">
        <v>334</v>
      </c>
      <c r="D85" s="250">
        <v>3000</v>
      </c>
      <c r="E85" s="251"/>
      <c r="F85" s="264">
        <v>404615</v>
      </c>
      <c r="G85" s="178"/>
    </row>
    <row r="86" spans="1:7" s="175" customFormat="1" ht="24" customHeight="1">
      <c r="A86" s="248">
        <v>4</v>
      </c>
      <c r="B86" s="248">
        <v>24</v>
      </c>
      <c r="C86" s="256" t="s">
        <v>257</v>
      </c>
      <c r="D86" s="250">
        <v>3000</v>
      </c>
      <c r="E86" s="251"/>
      <c r="F86" s="264">
        <v>407615</v>
      </c>
      <c r="G86" s="178"/>
    </row>
    <row r="87" spans="1:7" s="175" customFormat="1" ht="24" customHeight="1">
      <c r="A87" s="248">
        <v>4</v>
      </c>
      <c r="B87" s="248">
        <v>27</v>
      </c>
      <c r="C87" s="256" t="s">
        <v>253</v>
      </c>
      <c r="D87" s="343">
        <v>5500</v>
      </c>
      <c r="E87" s="251"/>
      <c r="F87" s="264">
        <v>413115</v>
      </c>
      <c r="G87" s="178"/>
    </row>
    <row r="88" spans="1:7" s="175" customFormat="1" ht="24" customHeight="1">
      <c r="A88" s="248">
        <v>4</v>
      </c>
      <c r="B88" s="248">
        <v>27</v>
      </c>
      <c r="C88" s="256" t="s">
        <v>279</v>
      </c>
      <c r="D88" s="250"/>
      <c r="E88" s="251">
        <v>1400</v>
      </c>
      <c r="F88" s="264">
        <v>411715</v>
      </c>
      <c r="G88" s="34"/>
    </row>
    <row r="89" spans="1:7" s="175" customFormat="1" ht="24" customHeight="1">
      <c r="A89" s="248">
        <v>4</v>
      </c>
      <c r="B89" s="248">
        <v>27</v>
      </c>
      <c r="C89" s="256" t="s">
        <v>345</v>
      </c>
      <c r="D89" s="250"/>
      <c r="E89" s="251">
        <v>2200</v>
      </c>
      <c r="F89" s="264">
        <v>409515</v>
      </c>
      <c r="G89" s="178"/>
    </row>
    <row r="90" spans="1:7" s="175" customFormat="1" ht="24" customHeight="1">
      <c r="A90" s="248">
        <v>4</v>
      </c>
      <c r="B90" s="248">
        <v>28</v>
      </c>
      <c r="C90" s="256" t="s">
        <v>330</v>
      </c>
      <c r="D90" s="250">
        <v>149700</v>
      </c>
      <c r="E90" s="251"/>
      <c r="F90" s="264">
        <v>559215</v>
      </c>
      <c r="G90" s="178"/>
    </row>
    <row r="91" spans="1:7" s="175" customFormat="1" ht="24" customHeight="1">
      <c r="A91" s="252">
        <v>4</v>
      </c>
      <c r="B91" s="252">
        <v>28</v>
      </c>
      <c r="C91" s="265" t="s">
        <v>346</v>
      </c>
      <c r="D91" s="254">
        <v>3000</v>
      </c>
      <c r="E91" s="255"/>
      <c r="F91" s="264">
        <v>562215</v>
      </c>
      <c r="G91" s="179"/>
    </row>
    <row r="92" spans="1:7" s="175" customFormat="1" ht="24" customHeight="1">
      <c r="A92" s="252">
        <v>4</v>
      </c>
      <c r="B92" s="252">
        <v>28</v>
      </c>
      <c r="C92" s="265" t="s">
        <v>347</v>
      </c>
      <c r="D92" s="254">
        <v>800</v>
      </c>
      <c r="E92" s="255"/>
      <c r="F92" s="264">
        <v>563015</v>
      </c>
      <c r="G92" s="179"/>
    </row>
    <row r="93" spans="1:7" s="175" customFormat="1" ht="24" customHeight="1">
      <c r="A93" s="248">
        <v>5</v>
      </c>
      <c r="B93" s="248">
        <v>4</v>
      </c>
      <c r="C93" s="256" t="s">
        <v>350</v>
      </c>
      <c r="D93" s="250">
        <v>2900</v>
      </c>
      <c r="E93" s="251"/>
      <c r="F93" s="264">
        <v>565915</v>
      </c>
      <c r="G93" s="34"/>
    </row>
    <row r="94" spans="1:7" s="175" customFormat="1" ht="24" customHeight="1">
      <c r="A94" s="252">
        <v>5</v>
      </c>
      <c r="B94" s="252">
        <v>4</v>
      </c>
      <c r="C94" s="265" t="s">
        <v>351</v>
      </c>
      <c r="D94" s="254">
        <v>3000</v>
      </c>
      <c r="E94" s="255"/>
      <c r="F94" s="264">
        <v>568915</v>
      </c>
      <c r="G94" s="172"/>
    </row>
    <row r="95" spans="1:7" s="175" customFormat="1" ht="24" customHeight="1" thickBot="1">
      <c r="A95" s="258">
        <v>5</v>
      </c>
      <c r="B95" s="358">
        <v>5</v>
      </c>
      <c r="C95" s="377" t="s">
        <v>352</v>
      </c>
      <c r="D95" s="363"/>
      <c r="E95" s="362">
        <v>193875</v>
      </c>
      <c r="F95" s="363">
        <v>375040</v>
      </c>
      <c r="G95" s="231"/>
    </row>
    <row r="96" spans="1:7" s="175" customFormat="1" ht="24" customHeight="1">
      <c r="A96" s="359">
        <v>5</v>
      </c>
      <c r="B96" s="336">
        <v>7</v>
      </c>
      <c r="C96" s="378" t="s">
        <v>355</v>
      </c>
      <c r="D96" s="346"/>
      <c r="E96" s="340">
        <v>1610</v>
      </c>
      <c r="F96" s="264">
        <v>373430</v>
      </c>
      <c r="G96" s="364"/>
    </row>
    <row r="97" spans="1:9" s="175" customFormat="1" ht="24" customHeight="1">
      <c r="A97" s="252">
        <v>5</v>
      </c>
      <c r="B97" s="252">
        <v>7</v>
      </c>
      <c r="C97" s="379" t="s">
        <v>353</v>
      </c>
      <c r="D97" s="254"/>
      <c r="E97" s="255">
        <v>615</v>
      </c>
      <c r="F97" s="264">
        <v>372815</v>
      </c>
      <c r="G97" s="172"/>
    </row>
    <row r="98" spans="1:9" s="175" customFormat="1" ht="24" customHeight="1">
      <c r="A98" s="248">
        <v>5</v>
      </c>
      <c r="B98" s="248">
        <v>7</v>
      </c>
      <c r="C98" s="380" t="s">
        <v>354</v>
      </c>
      <c r="D98" s="250"/>
      <c r="E98" s="251">
        <v>5478</v>
      </c>
      <c r="F98" s="264">
        <v>367337</v>
      </c>
      <c r="G98" s="181"/>
    </row>
    <row r="99" spans="1:9" s="175" customFormat="1" ht="24" customHeight="1">
      <c r="A99" s="248">
        <v>5</v>
      </c>
      <c r="B99" s="248">
        <v>7</v>
      </c>
      <c r="C99" s="380" t="s">
        <v>356</v>
      </c>
      <c r="D99" s="343"/>
      <c r="E99" s="251">
        <v>5273</v>
      </c>
      <c r="F99" s="264">
        <v>362064</v>
      </c>
      <c r="G99" s="181"/>
    </row>
    <row r="100" spans="1:9" s="175" customFormat="1" ht="24" customHeight="1">
      <c r="A100" s="248">
        <v>5</v>
      </c>
      <c r="B100" s="248">
        <v>7</v>
      </c>
      <c r="C100" s="381" t="s">
        <v>357</v>
      </c>
      <c r="D100" s="250"/>
      <c r="E100" s="251">
        <v>809</v>
      </c>
      <c r="F100" s="264">
        <v>361255</v>
      </c>
      <c r="G100" s="181"/>
    </row>
    <row r="101" spans="1:9" s="175" customFormat="1" ht="24" customHeight="1">
      <c r="A101" s="248">
        <v>5</v>
      </c>
      <c r="B101" s="248">
        <v>7</v>
      </c>
      <c r="C101" s="345" t="s">
        <v>358</v>
      </c>
      <c r="D101" s="250"/>
      <c r="E101" s="251">
        <v>2200</v>
      </c>
      <c r="F101" s="264">
        <v>359055</v>
      </c>
      <c r="G101" s="181"/>
    </row>
    <row r="102" spans="1:9" s="175" customFormat="1" ht="24" customHeight="1">
      <c r="A102" s="248">
        <v>5</v>
      </c>
      <c r="B102" s="248">
        <v>7</v>
      </c>
      <c r="C102" s="380" t="s">
        <v>359</v>
      </c>
      <c r="D102" s="250"/>
      <c r="E102" s="251">
        <v>6882</v>
      </c>
      <c r="F102" s="264">
        <v>352173</v>
      </c>
      <c r="G102" s="178"/>
    </row>
    <row r="103" spans="1:9" s="175" customFormat="1" ht="24" customHeight="1">
      <c r="A103" s="248">
        <v>5</v>
      </c>
      <c r="B103" s="248">
        <v>7</v>
      </c>
      <c r="C103" s="381" t="s">
        <v>361</v>
      </c>
      <c r="D103" s="250"/>
      <c r="E103" s="251">
        <v>2772</v>
      </c>
      <c r="F103" s="264">
        <v>349401</v>
      </c>
      <c r="G103" s="178"/>
      <c r="H103" s="182"/>
    </row>
    <row r="104" spans="1:9" s="175" customFormat="1" ht="24" customHeight="1">
      <c r="A104" s="248">
        <v>5</v>
      </c>
      <c r="B104" s="248">
        <v>7</v>
      </c>
      <c r="C104" s="345" t="s">
        <v>360</v>
      </c>
      <c r="D104" s="250"/>
      <c r="E104" s="251">
        <v>7220</v>
      </c>
      <c r="F104" s="264">
        <v>342181</v>
      </c>
      <c r="G104" s="178"/>
    </row>
    <row r="105" spans="1:9" s="175" customFormat="1" ht="24" customHeight="1">
      <c r="A105" s="248">
        <v>5</v>
      </c>
      <c r="B105" s="248">
        <v>7</v>
      </c>
      <c r="C105" s="256" t="s">
        <v>362</v>
      </c>
      <c r="D105" s="250"/>
      <c r="E105" s="251">
        <v>3600</v>
      </c>
      <c r="F105" s="264">
        <v>338581</v>
      </c>
      <c r="G105" s="178"/>
    </row>
    <row r="106" spans="1:9" s="175" customFormat="1" ht="24" customHeight="1">
      <c r="A106" s="252">
        <v>5</v>
      </c>
      <c r="B106" s="252">
        <v>7</v>
      </c>
      <c r="C106" s="265" t="s">
        <v>367</v>
      </c>
      <c r="D106" s="413"/>
      <c r="E106" s="255">
        <v>3000</v>
      </c>
      <c r="F106" s="346">
        <v>335581</v>
      </c>
      <c r="G106" s="179"/>
    </row>
    <row r="107" spans="1:9" s="175" customFormat="1" ht="24" customHeight="1">
      <c r="A107" s="257">
        <v>5</v>
      </c>
      <c r="B107" s="257">
        <v>8</v>
      </c>
      <c r="C107" s="344" t="s">
        <v>312</v>
      </c>
      <c r="D107" s="262">
        <v>5500</v>
      </c>
      <c r="E107" s="260"/>
      <c r="F107" s="262">
        <v>341081</v>
      </c>
      <c r="G107" s="197"/>
    </row>
    <row r="108" spans="1:9" s="175" customFormat="1" ht="24" customHeight="1">
      <c r="A108" s="336">
        <v>5</v>
      </c>
      <c r="B108" s="336">
        <v>8</v>
      </c>
      <c r="C108" s="379" t="s">
        <v>373</v>
      </c>
      <c r="D108" s="346">
        <v>12000</v>
      </c>
      <c r="E108" s="340"/>
      <c r="F108" s="264">
        <v>353081</v>
      </c>
      <c r="G108" s="234"/>
      <c r="I108" s="408"/>
    </row>
    <row r="109" spans="1:9" s="175" customFormat="1" ht="24" customHeight="1">
      <c r="A109" s="411">
        <v>5</v>
      </c>
      <c r="B109" s="409">
        <v>8</v>
      </c>
      <c r="C109" s="412" t="s">
        <v>377</v>
      </c>
      <c r="D109" s="410">
        <v>600</v>
      </c>
      <c r="E109" s="251"/>
      <c r="F109" s="264">
        <v>353681</v>
      </c>
      <c r="G109" s="178"/>
      <c r="H109" s="183"/>
    </row>
    <row r="110" spans="1:9" s="175" customFormat="1" ht="24" customHeight="1">
      <c r="A110" s="336">
        <v>5</v>
      </c>
      <c r="B110" s="411">
        <v>9</v>
      </c>
      <c r="C110" s="350" t="s">
        <v>369</v>
      </c>
      <c r="D110" s="413">
        <v>3000</v>
      </c>
      <c r="E110" s="251"/>
      <c r="F110" s="264">
        <v>356681</v>
      </c>
      <c r="G110" s="178"/>
      <c r="H110" s="183"/>
    </row>
    <row r="111" spans="1:9" s="175" customFormat="1" ht="24" customHeight="1">
      <c r="A111" s="248">
        <v>5</v>
      </c>
      <c r="B111" s="248">
        <v>9</v>
      </c>
      <c r="C111" s="249" t="s">
        <v>370</v>
      </c>
      <c r="D111" s="250">
        <v>1600</v>
      </c>
      <c r="E111" s="251"/>
      <c r="F111" s="264">
        <v>358281</v>
      </c>
      <c r="G111" s="178"/>
      <c r="H111" s="183"/>
    </row>
    <row r="112" spans="1:9" s="175" customFormat="1" ht="24" customHeight="1">
      <c r="A112" s="248">
        <v>5</v>
      </c>
      <c r="B112" s="248">
        <v>9</v>
      </c>
      <c r="C112" s="249" t="s">
        <v>371</v>
      </c>
      <c r="D112" s="250">
        <v>1600</v>
      </c>
      <c r="E112" s="251"/>
      <c r="F112" s="264">
        <v>359881</v>
      </c>
      <c r="G112" s="178"/>
      <c r="H112" s="183"/>
    </row>
    <row r="113" spans="1:9" s="175" customFormat="1" ht="24" customHeight="1">
      <c r="A113" s="257">
        <v>5</v>
      </c>
      <c r="B113" s="248">
        <v>9</v>
      </c>
      <c r="C113" s="249" t="s">
        <v>372</v>
      </c>
      <c r="D113" s="250">
        <v>800</v>
      </c>
      <c r="E113" s="251"/>
      <c r="F113" s="264">
        <v>360681</v>
      </c>
      <c r="G113" s="178"/>
      <c r="H113" s="183"/>
    </row>
    <row r="114" spans="1:9" s="175" customFormat="1" ht="24" customHeight="1">
      <c r="A114" s="248">
        <v>5</v>
      </c>
      <c r="B114" s="248">
        <v>11</v>
      </c>
      <c r="C114" s="249" t="s">
        <v>250</v>
      </c>
      <c r="D114" s="250">
        <v>3000</v>
      </c>
      <c r="E114" s="251"/>
      <c r="F114" s="264">
        <v>363681</v>
      </c>
      <c r="G114" s="178"/>
      <c r="H114" s="183"/>
    </row>
    <row r="115" spans="1:9" s="175" customFormat="1" ht="24" customHeight="1">
      <c r="A115" s="348">
        <v>5</v>
      </c>
      <c r="B115" s="348">
        <v>14</v>
      </c>
      <c r="C115" s="249" t="s">
        <v>374</v>
      </c>
      <c r="D115" s="250">
        <v>2900</v>
      </c>
      <c r="E115" s="251"/>
      <c r="F115" s="264">
        <v>366581</v>
      </c>
      <c r="G115" s="178"/>
      <c r="H115" s="183"/>
    </row>
    <row r="116" spans="1:9" s="175" customFormat="1" ht="24" customHeight="1">
      <c r="A116" s="248">
        <v>5</v>
      </c>
      <c r="B116" s="248">
        <v>16</v>
      </c>
      <c r="C116" s="249" t="s">
        <v>376</v>
      </c>
      <c r="D116" s="343">
        <v>6000</v>
      </c>
      <c r="E116" s="251"/>
      <c r="F116" s="264">
        <v>372581</v>
      </c>
      <c r="G116" s="178"/>
      <c r="H116" s="183"/>
    </row>
    <row r="117" spans="1:9" s="175" customFormat="1" ht="24" customHeight="1">
      <c r="A117" s="248">
        <v>5</v>
      </c>
      <c r="B117" s="248">
        <v>16</v>
      </c>
      <c r="C117" s="249" t="s">
        <v>375</v>
      </c>
      <c r="D117" s="250"/>
      <c r="E117" s="251">
        <v>490</v>
      </c>
      <c r="F117" s="264">
        <v>372091</v>
      </c>
      <c r="G117" s="178"/>
    </row>
    <row r="118" spans="1:9" s="175" customFormat="1" ht="24" customHeight="1">
      <c r="A118" s="252">
        <v>5</v>
      </c>
      <c r="B118" s="252">
        <v>19</v>
      </c>
      <c r="C118" s="253" t="s">
        <v>334</v>
      </c>
      <c r="D118" s="254">
        <v>3000</v>
      </c>
      <c r="E118" s="255"/>
      <c r="F118" s="264">
        <v>375091</v>
      </c>
      <c r="G118" s="179"/>
    </row>
    <row r="119" spans="1:9" s="175" customFormat="1" ht="24" customHeight="1">
      <c r="A119" s="252">
        <v>5</v>
      </c>
      <c r="B119" s="252">
        <v>25</v>
      </c>
      <c r="C119" s="253" t="s">
        <v>327</v>
      </c>
      <c r="D119" s="254">
        <v>5500</v>
      </c>
      <c r="E119" s="255"/>
      <c r="F119" s="264">
        <v>380591</v>
      </c>
      <c r="G119" s="179"/>
    </row>
    <row r="120" spans="1:9" s="175" customFormat="1" ht="24" customHeight="1">
      <c r="A120" s="252">
        <v>5</v>
      </c>
      <c r="B120" s="252">
        <v>26</v>
      </c>
      <c r="C120" s="253" t="s">
        <v>378</v>
      </c>
      <c r="D120" s="254">
        <v>164800</v>
      </c>
      <c r="E120" s="255"/>
      <c r="F120" s="264">
        <v>545391</v>
      </c>
      <c r="G120" s="179"/>
    </row>
    <row r="121" spans="1:9" s="175" customFormat="1" ht="24" customHeight="1">
      <c r="A121" s="252">
        <v>5</v>
      </c>
      <c r="B121" s="252">
        <v>26</v>
      </c>
      <c r="C121" s="253" t="s">
        <v>384</v>
      </c>
      <c r="D121" s="254">
        <v>3500</v>
      </c>
      <c r="E121" s="255"/>
      <c r="F121" s="264">
        <v>548891</v>
      </c>
      <c r="G121" s="179"/>
    </row>
    <row r="122" spans="1:9" s="175" customFormat="1" ht="24" customHeight="1">
      <c r="A122" s="252">
        <v>5</v>
      </c>
      <c r="B122" s="252">
        <v>26</v>
      </c>
      <c r="C122" s="253" t="s">
        <v>385</v>
      </c>
      <c r="D122" s="254">
        <v>3000</v>
      </c>
      <c r="E122" s="255"/>
      <c r="F122" s="236">
        <v>551891</v>
      </c>
      <c r="G122" s="179"/>
    </row>
    <row r="123" spans="1:9" s="175" customFormat="1" ht="24" customHeight="1">
      <c r="A123" s="252">
        <v>5</v>
      </c>
      <c r="B123" s="252">
        <v>27</v>
      </c>
      <c r="C123" s="253" t="s">
        <v>386</v>
      </c>
      <c r="D123" s="254"/>
      <c r="E123" s="255">
        <v>700</v>
      </c>
      <c r="F123" s="236">
        <v>551191</v>
      </c>
      <c r="G123" s="179"/>
    </row>
    <row r="124" spans="1:9" s="175" customFormat="1" ht="24" customHeight="1">
      <c r="A124" s="252">
        <v>5</v>
      </c>
      <c r="B124" s="252">
        <v>27</v>
      </c>
      <c r="C124" s="253" t="s">
        <v>387</v>
      </c>
      <c r="D124" s="254"/>
      <c r="E124" s="255">
        <v>400</v>
      </c>
      <c r="F124" s="236">
        <v>550791</v>
      </c>
      <c r="G124" s="179"/>
    </row>
    <row r="125" spans="1:9" s="175" customFormat="1" ht="24" customHeight="1">
      <c r="A125" s="252">
        <v>5</v>
      </c>
      <c r="B125" s="252">
        <v>27</v>
      </c>
      <c r="C125" s="253" t="s">
        <v>388</v>
      </c>
      <c r="D125" s="254">
        <v>3000</v>
      </c>
      <c r="E125" s="255"/>
      <c r="F125" s="236">
        <v>553791</v>
      </c>
      <c r="G125" s="179"/>
      <c r="I125" s="177"/>
    </row>
    <row r="126" spans="1:9" s="175" customFormat="1" ht="24" customHeight="1">
      <c r="A126" s="252">
        <v>5</v>
      </c>
      <c r="B126" s="252">
        <v>29</v>
      </c>
      <c r="C126" s="253" t="s">
        <v>389</v>
      </c>
      <c r="D126" s="254">
        <v>3000</v>
      </c>
      <c r="E126" s="255"/>
      <c r="F126" s="236">
        <v>556791</v>
      </c>
      <c r="G126" s="179"/>
    </row>
    <row r="127" spans="1:9" s="175" customFormat="1" ht="24" customHeight="1">
      <c r="A127" s="252">
        <v>5</v>
      </c>
      <c r="B127" s="252">
        <v>30</v>
      </c>
      <c r="C127" s="253" t="s">
        <v>390</v>
      </c>
      <c r="D127" s="254">
        <v>800</v>
      </c>
      <c r="E127" s="255"/>
      <c r="F127" s="236">
        <v>557591</v>
      </c>
      <c r="G127" s="179"/>
    </row>
    <row r="128" spans="1:9" s="175" customFormat="1" ht="24" customHeight="1">
      <c r="A128" s="258">
        <v>5</v>
      </c>
      <c r="B128" s="258">
        <v>30</v>
      </c>
      <c r="C128" s="344" t="s">
        <v>392</v>
      </c>
      <c r="D128" s="262"/>
      <c r="E128" s="338">
        <v>777</v>
      </c>
      <c r="F128" s="238">
        <v>556814</v>
      </c>
      <c r="G128" s="197"/>
    </row>
    <row r="129" spans="1:9" s="175" customFormat="1" ht="24" customHeight="1">
      <c r="A129" s="257">
        <v>5</v>
      </c>
      <c r="B129" s="257">
        <v>30</v>
      </c>
      <c r="C129" s="344" t="s">
        <v>393</v>
      </c>
      <c r="D129" s="264"/>
      <c r="E129" s="338">
        <v>1600</v>
      </c>
      <c r="F129" s="237">
        <v>555214</v>
      </c>
      <c r="G129" s="184"/>
      <c r="I129" s="185"/>
    </row>
    <row r="130" spans="1:9" s="175" customFormat="1" ht="24" customHeight="1">
      <c r="A130" s="252">
        <v>5</v>
      </c>
      <c r="B130" s="252">
        <v>30</v>
      </c>
      <c r="C130" s="344" t="s">
        <v>394</v>
      </c>
      <c r="D130" s="254"/>
      <c r="E130" s="255">
        <v>5000</v>
      </c>
      <c r="F130" s="236">
        <v>550214</v>
      </c>
      <c r="G130" s="179"/>
      <c r="I130" s="185"/>
    </row>
    <row r="131" spans="1:9" s="175" customFormat="1" ht="24" customHeight="1">
      <c r="A131" s="252">
        <v>5</v>
      </c>
      <c r="B131" s="252">
        <v>30</v>
      </c>
      <c r="C131" s="344" t="s">
        <v>395</v>
      </c>
      <c r="D131" s="254"/>
      <c r="E131" s="255">
        <v>4000</v>
      </c>
      <c r="F131" s="236">
        <v>546214</v>
      </c>
      <c r="G131" s="179"/>
      <c r="I131" s="185"/>
    </row>
    <row r="132" spans="1:9" s="175" customFormat="1" ht="24" customHeight="1" thickBot="1">
      <c r="A132" s="258">
        <v>6</v>
      </c>
      <c r="B132" s="426">
        <v>1</v>
      </c>
      <c r="C132" s="427" t="s">
        <v>391</v>
      </c>
      <c r="D132" s="428"/>
      <c r="E132" s="429">
        <v>216840</v>
      </c>
      <c r="F132" s="238">
        <v>329374</v>
      </c>
      <c r="G132" s="424"/>
      <c r="I132" s="185"/>
    </row>
    <row r="133" spans="1:9" s="175" customFormat="1" ht="24" customHeight="1">
      <c r="A133" s="425"/>
      <c r="B133" s="336"/>
      <c r="C133" s="350"/>
      <c r="D133" s="346"/>
      <c r="E133" s="340"/>
      <c r="F133" s="430"/>
      <c r="G133" s="431"/>
      <c r="I133" s="185"/>
    </row>
    <row r="134" spans="1:9" s="175" customFormat="1" ht="24" customHeight="1">
      <c r="A134" s="252"/>
      <c r="B134" s="252"/>
      <c r="C134" s="253"/>
      <c r="D134" s="254"/>
      <c r="E134" s="255"/>
      <c r="F134" s="236"/>
      <c r="G134" s="179"/>
      <c r="I134" s="185"/>
    </row>
    <row r="135" spans="1:9" s="175" customFormat="1" ht="24" customHeight="1">
      <c r="A135" s="252"/>
      <c r="B135" s="252"/>
      <c r="C135" s="253"/>
      <c r="D135" s="254"/>
      <c r="E135" s="255"/>
      <c r="F135" s="236"/>
      <c r="G135" s="179"/>
      <c r="I135" s="185"/>
    </row>
    <row r="136" spans="1:9" s="175" customFormat="1" ht="24" customHeight="1">
      <c r="A136" s="252"/>
      <c r="B136" s="252"/>
      <c r="C136" s="253"/>
      <c r="D136" s="254"/>
      <c r="E136" s="255"/>
      <c r="F136" s="236"/>
      <c r="G136" s="179"/>
      <c r="I136" s="185"/>
    </row>
    <row r="137" spans="1:9" s="175" customFormat="1" ht="24" customHeight="1">
      <c r="A137" s="252"/>
      <c r="B137" s="252"/>
      <c r="C137" s="253"/>
      <c r="D137" s="254"/>
      <c r="E137" s="255"/>
      <c r="F137" s="236"/>
      <c r="G137" s="179"/>
      <c r="I137" s="185"/>
    </row>
    <row r="138" spans="1:9" s="175" customFormat="1" ht="24" customHeight="1">
      <c r="A138" s="252"/>
      <c r="B138" s="252"/>
      <c r="C138" s="253"/>
      <c r="D138" s="254"/>
      <c r="E138" s="255"/>
      <c r="F138" s="236"/>
      <c r="G138" s="235"/>
      <c r="I138" s="185"/>
    </row>
    <row r="139" spans="1:9" s="175" customFormat="1" ht="24" customHeight="1">
      <c r="A139" s="257"/>
      <c r="B139" s="252"/>
      <c r="C139" s="253"/>
      <c r="D139" s="254"/>
      <c r="E139" s="255"/>
      <c r="F139" s="236"/>
      <c r="G139" s="179"/>
      <c r="I139" s="185"/>
    </row>
    <row r="140" spans="1:9" s="175" customFormat="1" ht="24" customHeight="1">
      <c r="A140" s="252"/>
      <c r="B140" s="252"/>
      <c r="C140" s="253"/>
      <c r="D140" s="254"/>
      <c r="E140" s="255"/>
      <c r="F140" s="236"/>
      <c r="G140" s="179"/>
      <c r="I140" s="185"/>
    </row>
    <row r="141" spans="1:9" s="175" customFormat="1" ht="24" customHeight="1">
      <c r="A141" s="252"/>
      <c r="B141" s="252"/>
      <c r="C141" s="253"/>
      <c r="D141" s="254"/>
      <c r="E141" s="255"/>
      <c r="F141" s="236"/>
      <c r="G141" s="179"/>
      <c r="I141" s="185"/>
    </row>
    <row r="142" spans="1:9" s="175" customFormat="1" ht="24" customHeight="1">
      <c r="A142" s="257"/>
      <c r="B142" s="257"/>
      <c r="C142" s="349"/>
      <c r="D142" s="262"/>
      <c r="E142" s="338"/>
      <c r="F142" s="237"/>
      <c r="G142" s="231"/>
    </row>
    <row r="143" spans="1:9" s="175" customFormat="1" ht="24" customHeight="1">
      <c r="A143" s="336"/>
      <c r="B143" s="336"/>
      <c r="C143" s="350"/>
      <c r="D143" s="346"/>
      <c r="E143" s="260"/>
      <c r="F143" s="236"/>
      <c r="G143" s="235"/>
      <c r="I143" s="185"/>
    </row>
    <row r="144" spans="1:9" s="175" customFormat="1" ht="24" customHeight="1">
      <c r="A144" s="252"/>
      <c r="B144" s="252"/>
      <c r="C144" s="253"/>
      <c r="D144" s="254"/>
      <c r="E144" s="255"/>
      <c r="F144" s="236"/>
      <c r="G144" s="179"/>
      <c r="I144" s="185"/>
    </row>
    <row r="145" spans="1:9" s="175" customFormat="1" ht="24" customHeight="1">
      <c r="A145" s="252"/>
      <c r="B145" s="252"/>
      <c r="C145" s="253"/>
      <c r="D145" s="254"/>
      <c r="E145" s="255"/>
      <c r="F145" s="239"/>
      <c r="G145" s="179"/>
      <c r="I145" s="185"/>
    </row>
    <row r="146" spans="1:9" s="175" customFormat="1" ht="24" customHeight="1">
      <c r="A146" s="252"/>
      <c r="B146" s="252"/>
      <c r="C146" s="253"/>
      <c r="D146" s="254"/>
      <c r="E146" s="255"/>
      <c r="F146" s="236"/>
      <c r="G146" s="179"/>
      <c r="I146" s="185"/>
    </row>
    <row r="147" spans="1:9" ht="24" customHeight="1">
      <c r="A147" s="252"/>
      <c r="B147" s="252"/>
      <c r="C147" s="253"/>
      <c r="D147" s="254"/>
      <c r="E147" s="351"/>
      <c r="F147" s="239"/>
      <c r="G147" s="180"/>
    </row>
    <row r="148" spans="1:9" ht="24" customHeight="1">
      <c r="A148" s="252"/>
      <c r="B148" s="252"/>
      <c r="C148" s="352"/>
      <c r="D148" s="254"/>
      <c r="E148" s="351"/>
      <c r="F148" s="239"/>
      <c r="G148" s="180"/>
    </row>
    <row r="149" spans="1:9" ht="24" customHeight="1">
      <c r="A149" s="252"/>
      <c r="B149" s="252"/>
      <c r="C149" s="352"/>
      <c r="D149" s="254"/>
      <c r="E149" s="351"/>
      <c r="F149" s="239"/>
      <c r="G149" s="180"/>
    </row>
    <row r="150" spans="1:9" ht="24" customHeight="1">
      <c r="A150" s="252"/>
      <c r="B150" s="252"/>
      <c r="C150" s="352"/>
      <c r="D150" s="254"/>
      <c r="E150" s="351"/>
      <c r="F150" s="239"/>
      <c r="G150" s="180"/>
    </row>
    <row r="151" spans="1:9" ht="24" customHeight="1">
      <c r="A151" s="252"/>
      <c r="B151" s="252"/>
      <c r="C151" s="353"/>
      <c r="D151" s="252"/>
      <c r="E151" s="354"/>
      <c r="F151" s="239"/>
      <c r="G151" s="180"/>
    </row>
    <row r="152" spans="1:9" ht="24" customHeight="1">
      <c r="A152" s="252"/>
      <c r="B152" s="252"/>
      <c r="C152" s="353"/>
      <c r="D152" s="252"/>
      <c r="E152" s="354"/>
      <c r="F152" s="239"/>
      <c r="G152" s="180"/>
    </row>
    <row r="153" spans="1:9" ht="24" customHeight="1">
      <c r="A153" s="252"/>
      <c r="B153" s="252"/>
      <c r="C153" s="353"/>
      <c r="D153" s="252"/>
      <c r="E153" s="354"/>
      <c r="F153" s="239"/>
      <c r="G153" s="180"/>
    </row>
    <row r="154" spans="1:9" ht="24" customHeight="1">
      <c r="A154" s="252"/>
      <c r="B154" s="252"/>
      <c r="C154" s="353"/>
      <c r="D154" s="252"/>
      <c r="E154" s="354"/>
      <c r="F154" s="239"/>
      <c r="G154" s="180"/>
    </row>
    <row r="155" spans="1:9" ht="24" customHeight="1">
      <c r="A155" s="252"/>
      <c r="B155" s="252"/>
      <c r="C155" s="353"/>
      <c r="D155" s="252"/>
      <c r="E155" s="354"/>
      <c r="F155" s="239"/>
      <c r="G155" s="180"/>
    </row>
    <row r="156" spans="1:9" ht="24" customHeight="1">
      <c r="A156" s="252"/>
      <c r="B156" s="252"/>
      <c r="C156" s="353"/>
      <c r="D156" s="252"/>
      <c r="E156" s="354"/>
      <c r="F156" s="239"/>
      <c r="G156" s="187"/>
    </row>
    <row r="157" spans="1:9" ht="25.5" customHeight="1">
      <c r="A157" s="252"/>
      <c r="B157" s="252"/>
      <c r="C157" s="353"/>
      <c r="D157" s="252"/>
      <c r="E157" s="354"/>
      <c r="F157" s="239"/>
      <c r="G157" s="187"/>
    </row>
    <row r="158" spans="1:9" ht="24" customHeight="1">
      <c r="A158" s="252"/>
      <c r="B158" s="252"/>
      <c r="C158" s="353"/>
      <c r="D158" s="252"/>
      <c r="E158" s="354"/>
      <c r="F158" s="174"/>
      <c r="G158" s="187"/>
    </row>
    <row r="159" spans="1:9" ht="24" customHeight="1">
      <c r="A159" s="252"/>
      <c r="B159" s="252"/>
      <c r="C159" s="353"/>
      <c r="D159" s="252"/>
      <c r="E159" s="354"/>
      <c r="F159" s="174"/>
    </row>
    <row r="160" spans="1:9" ht="23.25" customHeight="1">
      <c r="A160" s="252"/>
      <c r="B160" s="252"/>
      <c r="C160" s="353"/>
      <c r="D160" s="252"/>
      <c r="E160" s="354"/>
      <c r="F160" s="174"/>
      <c r="G160" s="187"/>
    </row>
    <row r="161" spans="1:7" ht="24" customHeight="1">
      <c r="A161" s="252"/>
      <c r="B161" s="252"/>
      <c r="C161" s="353"/>
      <c r="D161" s="252"/>
      <c r="E161" s="354"/>
      <c r="F161" s="174"/>
      <c r="G161" s="187"/>
    </row>
    <row r="162" spans="1:7" ht="24" customHeight="1">
      <c r="A162" s="252"/>
      <c r="B162" s="252"/>
      <c r="C162" s="353"/>
      <c r="D162" s="252"/>
      <c r="E162" s="354"/>
      <c r="F162" s="174"/>
      <c r="G162" s="174"/>
    </row>
    <row r="163" spans="1:7" ht="24" customHeight="1">
      <c r="A163" s="252"/>
      <c r="B163" s="252"/>
      <c r="C163" s="353"/>
      <c r="D163" s="252"/>
      <c r="E163" s="354"/>
      <c r="F163" s="174"/>
      <c r="G163" s="187"/>
    </row>
    <row r="164" spans="1:7" ht="24" customHeight="1">
      <c r="A164" s="252"/>
      <c r="B164" s="252"/>
      <c r="C164" s="353"/>
      <c r="D164" s="252"/>
      <c r="E164" s="354"/>
      <c r="F164" s="174"/>
      <c r="G164" s="187"/>
    </row>
    <row r="165" spans="1:7" ht="24" customHeight="1">
      <c r="A165" s="252"/>
      <c r="B165" s="252"/>
      <c r="C165" s="353"/>
      <c r="D165" s="252"/>
      <c r="E165" s="354"/>
      <c r="F165" s="174"/>
      <c r="G165" s="187"/>
    </row>
    <row r="166" spans="1:7" ht="24" customHeight="1">
      <c r="A166" s="252"/>
      <c r="B166" s="252"/>
      <c r="C166" s="353"/>
      <c r="D166" s="252"/>
      <c r="E166" s="354"/>
      <c r="F166" s="174"/>
      <c r="G166" s="187"/>
    </row>
    <row r="167" spans="1:7" ht="24" customHeight="1">
      <c r="A167" s="252"/>
      <c r="B167" s="252"/>
      <c r="C167" s="353"/>
      <c r="D167" s="252"/>
      <c r="E167" s="354"/>
      <c r="F167" s="174"/>
      <c r="G167" s="187"/>
    </row>
    <row r="168" spans="1:7" ht="24" customHeight="1">
      <c r="A168" s="252"/>
      <c r="B168" s="252"/>
      <c r="C168" s="353"/>
      <c r="D168" s="252"/>
      <c r="E168" s="354"/>
      <c r="F168" s="174"/>
      <c r="G168" s="187"/>
    </row>
    <row r="169" spans="1:7" ht="24" customHeight="1">
      <c r="A169" s="252"/>
      <c r="B169" s="252"/>
      <c r="C169" s="353"/>
      <c r="D169" s="252"/>
      <c r="E169" s="354"/>
      <c r="F169" s="174"/>
      <c r="G169" s="187"/>
    </row>
    <row r="170" spans="1:7" ht="24" customHeight="1">
      <c r="A170" s="252"/>
      <c r="B170" s="252"/>
      <c r="C170" s="353"/>
      <c r="D170" s="252"/>
      <c r="E170" s="354"/>
      <c r="F170" s="174"/>
      <c r="G170" s="187"/>
    </row>
    <row r="171" spans="1:7" ht="24" customHeight="1">
      <c r="A171" s="252"/>
      <c r="B171" s="252"/>
      <c r="C171" s="353"/>
      <c r="D171" s="252"/>
      <c r="E171" s="354"/>
      <c r="F171" s="174"/>
      <c r="G171" s="187"/>
    </row>
    <row r="172" spans="1:7" ht="24" customHeight="1">
      <c r="A172" s="252"/>
      <c r="B172" s="252"/>
      <c r="C172" s="353"/>
      <c r="D172" s="252"/>
      <c r="E172" s="354"/>
      <c r="F172" s="174"/>
      <c r="G172" s="187"/>
    </row>
    <row r="173" spans="1:7" ht="24" customHeight="1">
      <c r="A173" s="252"/>
      <c r="B173" s="252"/>
      <c r="C173" s="353"/>
      <c r="D173" s="252"/>
      <c r="E173" s="354"/>
      <c r="F173" s="174"/>
      <c r="G173" s="187"/>
    </row>
    <row r="174" spans="1:7" ht="24" customHeight="1">
      <c r="A174" s="252"/>
      <c r="B174" s="252"/>
      <c r="C174" s="353"/>
      <c r="D174" s="252"/>
      <c r="E174" s="354"/>
      <c r="F174" s="174"/>
      <c r="G174" s="187"/>
    </row>
    <row r="175" spans="1:7" ht="24" customHeight="1">
      <c r="A175" s="252"/>
      <c r="B175" s="252"/>
      <c r="C175" s="353"/>
      <c r="D175" s="252"/>
      <c r="E175" s="354"/>
      <c r="F175" s="174"/>
      <c r="G175" s="187"/>
    </row>
    <row r="176" spans="1:7" ht="24" customHeight="1">
      <c r="A176" s="252"/>
      <c r="B176" s="252"/>
      <c r="C176" s="353"/>
      <c r="D176" s="252"/>
      <c r="E176" s="354"/>
      <c r="F176" s="174"/>
      <c r="G176" s="187"/>
    </row>
    <row r="177" spans="1:7" ht="24" customHeight="1">
      <c r="A177" s="252"/>
      <c r="B177" s="252"/>
      <c r="C177" s="353"/>
      <c r="D177" s="252"/>
      <c r="E177" s="354"/>
      <c r="F177" s="174"/>
      <c r="G177" s="187"/>
    </row>
    <row r="178" spans="1:7" ht="24" customHeight="1">
      <c r="A178" s="252"/>
      <c r="B178" s="252"/>
      <c r="C178" s="353"/>
      <c r="D178" s="252"/>
      <c r="E178" s="354"/>
      <c r="F178" s="174"/>
      <c r="G178" s="187"/>
    </row>
    <row r="179" spans="1:7" ht="24" customHeight="1">
      <c r="A179" s="252"/>
      <c r="B179" s="252"/>
      <c r="C179" s="353"/>
      <c r="D179" s="252"/>
      <c r="E179" s="354"/>
      <c r="F179" s="174"/>
      <c r="G179" s="187"/>
    </row>
    <row r="180" spans="1:7" ht="24" customHeight="1">
      <c r="A180" s="252"/>
      <c r="B180" s="252"/>
      <c r="C180" s="353"/>
      <c r="D180" s="252"/>
      <c r="E180" s="354"/>
      <c r="F180" s="174"/>
      <c r="G180" s="187"/>
    </row>
    <row r="181" spans="1:7" ht="24" customHeight="1">
      <c r="A181" s="252"/>
      <c r="B181" s="252"/>
      <c r="C181" s="353"/>
      <c r="D181" s="252"/>
      <c r="E181" s="354"/>
      <c r="F181" s="174"/>
      <c r="G181" s="187"/>
    </row>
    <row r="182" spans="1:7" ht="24" customHeight="1">
      <c r="A182" s="252"/>
      <c r="B182" s="252"/>
      <c r="C182" s="353"/>
      <c r="D182" s="252"/>
      <c r="E182" s="354"/>
      <c r="F182" s="174"/>
      <c r="G182" s="187"/>
    </row>
    <row r="183" spans="1:7" ht="24" customHeight="1">
      <c r="A183" s="252"/>
      <c r="B183" s="252"/>
      <c r="C183" s="353"/>
      <c r="D183" s="252"/>
      <c r="E183" s="354"/>
      <c r="F183" s="174"/>
      <c r="G183" s="187"/>
    </row>
    <row r="184" spans="1:7" ht="24" customHeight="1">
      <c r="A184" s="252"/>
      <c r="B184" s="252"/>
      <c r="C184" s="353"/>
      <c r="D184" s="252"/>
      <c r="E184" s="354"/>
      <c r="F184" s="174"/>
      <c r="G184" s="187"/>
    </row>
    <row r="185" spans="1:7" ht="24" customHeight="1">
      <c r="A185" s="252"/>
      <c r="B185" s="252"/>
      <c r="C185" s="353"/>
      <c r="D185" s="252"/>
      <c r="E185" s="354"/>
      <c r="F185" s="174"/>
      <c r="G185" s="187"/>
    </row>
    <row r="186" spans="1:7" ht="24" customHeight="1">
      <c r="A186" s="252"/>
      <c r="B186" s="252"/>
      <c r="C186" s="353"/>
      <c r="D186" s="252"/>
      <c r="E186" s="354"/>
      <c r="F186" s="174"/>
      <c r="G186" s="187"/>
    </row>
    <row r="187" spans="1:7" ht="24" customHeight="1">
      <c r="A187" s="252"/>
      <c r="B187" s="252"/>
      <c r="C187" s="353"/>
      <c r="D187" s="252"/>
      <c r="E187" s="354"/>
      <c r="F187" s="174"/>
      <c r="G187" s="187"/>
    </row>
    <row r="188" spans="1:7" ht="24" customHeight="1">
      <c r="A188" s="252"/>
      <c r="B188" s="252"/>
      <c r="C188" s="353"/>
      <c r="D188" s="252"/>
      <c r="E188" s="354"/>
      <c r="F188" s="174"/>
      <c r="G188" s="187"/>
    </row>
    <row r="189" spans="1:7" ht="24" customHeight="1">
      <c r="A189" s="355"/>
      <c r="B189" s="355"/>
      <c r="C189" s="356"/>
      <c r="D189" s="356"/>
      <c r="E189" s="357"/>
    </row>
    <row r="190" spans="1:7" ht="24" customHeight="1">
      <c r="A190" s="355"/>
      <c r="B190" s="355"/>
      <c r="C190" s="356"/>
      <c r="D190" s="356"/>
      <c r="E190" s="357"/>
    </row>
    <row r="191" spans="1:7" ht="24" customHeight="1">
      <c r="A191" s="355"/>
      <c r="B191" s="355"/>
      <c r="C191" s="356"/>
      <c r="D191" s="356"/>
      <c r="E191" s="357"/>
    </row>
    <row r="192" spans="1:7" ht="24" customHeight="1">
      <c r="A192" s="355"/>
      <c r="B192" s="355"/>
      <c r="C192" s="356"/>
      <c r="D192" s="356"/>
      <c r="E192" s="357"/>
    </row>
    <row r="193" spans="1:5" ht="24" customHeight="1">
      <c r="A193" s="355"/>
      <c r="B193" s="355"/>
      <c r="C193" s="356"/>
      <c r="D193" s="356"/>
      <c r="E193" s="357"/>
    </row>
    <row r="194" spans="1:5" ht="24" customHeight="1">
      <c r="A194" s="355"/>
      <c r="B194" s="355"/>
      <c r="C194" s="356"/>
      <c r="D194" s="356"/>
      <c r="E194" s="357"/>
    </row>
    <row r="195" spans="1:5" ht="24" customHeight="1">
      <c r="A195" s="355"/>
      <c r="B195" s="355"/>
      <c r="C195" s="356"/>
      <c r="D195" s="356"/>
      <c r="E195" s="357"/>
    </row>
    <row r="196" spans="1:5" ht="24" customHeight="1">
      <c r="A196" s="355"/>
      <c r="B196" s="355"/>
      <c r="C196" s="356"/>
      <c r="D196" s="356"/>
      <c r="E196" s="357"/>
    </row>
    <row r="197" spans="1:5" ht="24" customHeight="1">
      <c r="A197" s="355"/>
      <c r="B197" s="355"/>
      <c r="C197" s="356"/>
      <c r="D197" s="356"/>
      <c r="E197" s="357"/>
    </row>
    <row r="198" spans="1:5" ht="24" customHeight="1">
      <c r="A198" s="355"/>
      <c r="B198" s="355"/>
      <c r="C198" s="356"/>
      <c r="D198" s="356"/>
      <c r="E198" s="357"/>
    </row>
    <row r="199" spans="1:5" ht="24" customHeight="1">
      <c r="A199" s="355"/>
      <c r="B199" s="355"/>
      <c r="C199" s="356"/>
      <c r="D199" s="356"/>
      <c r="E199" s="357"/>
    </row>
    <row r="200" spans="1:5" ht="24" customHeight="1">
      <c r="A200" s="355"/>
      <c r="B200" s="355"/>
      <c r="C200" s="356"/>
      <c r="D200" s="356"/>
      <c r="E200" s="357"/>
    </row>
    <row r="201" spans="1:5" ht="24" customHeight="1">
      <c r="A201" s="355"/>
      <c r="B201" s="355"/>
      <c r="C201" s="356"/>
      <c r="D201" s="356"/>
      <c r="E201" s="357"/>
    </row>
    <row r="202" spans="1:5" ht="24" customHeight="1">
      <c r="A202" s="355"/>
      <c r="B202" s="355"/>
      <c r="C202" s="356"/>
      <c r="D202" s="356"/>
      <c r="E202" s="357"/>
    </row>
    <row r="203" spans="1:5" ht="24" customHeight="1">
      <c r="A203" s="355"/>
      <c r="B203" s="355"/>
      <c r="C203" s="356"/>
      <c r="D203" s="356"/>
      <c r="E203" s="357"/>
    </row>
    <row r="204" spans="1:5" ht="24" customHeight="1">
      <c r="A204" s="355"/>
      <c r="B204" s="355"/>
      <c r="C204" s="356"/>
      <c r="D204" s="356"/>
      <c r="E204" s="357"/>
    </row>
    <row r="205" spans="1:5" ht="24" customHeight="1">
      <c r="A205" s="355"/>
      <c r="B205" s="355"/>
      <c r="C205" s="356"/>
      <c r="D205" s="356"/>
      <c r="E205" s="357"/>
    </row>
    <row r="206" spans="1:5" ht="24" customHeight="1">
      <c r="A206" s="355"/>
      <c r="B206" s="355"/>
      <c r="C206" s="356"/>
      <c r="D206" s="356"/>
      <c r="E206" s="357"/>
    </row>
    <row r="207" spans="1:5" ht="24" customHeight="1">
      <c r="A207" s="355"/>
      <c r="B207" s="355"/>
      <c r="C207" s="356"/>
      <c r="D207" s="356"/>
      <c r="E207" s="357"/>
    </row>
    <row r="208" spans="1:5" ht="24" customHeight="1">
      <c r="A208" s="355"/>
      <c r="B208" s="355"/>
      <c r="C208" s="356"/>
      <c r="D208" s="356"/>
      <c r="E208" s="357"/>
    </row>
    <row r="209" spans="1:5" ht="24" customHeight="1">
      <c r="A209" s="355"/>
      <c r="B209" s="355"/>
      <c r="C209" s="356"/>
      <c r="D209" s="356"/>
      <c r="E209" s="357"/>
    </row>
    <row r="210" spans="1:5" ht="24" customHeight="1">
      <c r="A210" s="355"/>
      <c r="B210" s="355"/>
      <c r="C210" s="356"/>
      <c r="D210" s="356"/>
      <c r="E210" s="357"/>
    </row>
    <row r="211" spans="1:5" ht="24" customHeight="1">
      <c r="A211" s="355"/>
      <c r="B211" s="355"/>
      <c r="C211" s="356"/>
      <c r="D211" s="356"/>
      <c r="E211" s="357"/>
    </row>
    <row r="212" spans="1:5" ht="24" customHeight="1">
      <c r="A212" s="355"/>
      <c r="B212" s="355"/>
      <c r="C212" s="356"/>
      <c r="D212" s="356"/>
      <c r="E212" s="357"/>
    </row>
    <row r="213" spans="1:5" ht="24" customHeight="1">
      <c r="A213" s="355"/>
      <c r="B213" s="355"/>
      <c r="C213" s="356"/>
      <c r="D213" s="356"/>
      <c r="E213" s="357"/>
    </row>
    <row r="214" spans="1:5" ht="24" customHeight="1">
      <c r="A214" s="355"/>
      <c r="B214" s="355"/>
      <c r="C214" s="356"/>
      <c r="D214" s="356"/>
      <c r="E214" s="357"/>
    </row>
    <row r="215" spans="1:5" ht="24" customHeight="1">
      <c r="A215" s="355"/>
      <c r="B215" s="355"/>
      <c r="C215" s="356"/>
      <c r="D215" s="356"/>
      <c r="E215" s="357"/>
    </row>
    <row r="216" spans="1:5" ht="24" customHeight="1">
      <c r="A216" s="355"/>
      <c r="B216" s="355"/>
      <c r="C216" s="356"/>
      <c r="D216" s="356"/>
      <c r="E216" s="357"/>
    </row>
    <row r="217" spans="1:5" ht="24" customHeight="1">
      <c r="A217" s="355"/>
      <c r="B217" s="355"/>
      <c r="C217" s="356"/>
      <c r="D217" s="356"/>
      <c r="E217" s="357"/>
    </row>
    <row r="218" spans="1:5" ht="24" customHeight="1">
      <c r="A218" s="355"/>
      <c r="B218" s="355"/>
      <c r="C218" s="356"/>
      <c r="D218" s="356"/>
      <c r="E218" s="357"/>
    </row>
    <row r="219" spans="1:5" ht="24" customHeight="1">
      <c r="A219" s="355"/>
      <c r="B219" s="355"/>
      <c r="C219" s="356"/>
      <c r="D219" s="356"/>
      <c r="E219" s="357"/>
    </row>
    <row r="220" spans="1:5" ht="24" customHeight="1">
      <c r="A220" s="355"/>
      <c r="B220" s="355"/>
      <c r="C220" s="356"/>
      <c r="D220" s="356"/>
      <c r="E220" s="357"/>
    </row>
    <row r="221" spans="1:5" ht="24" customHeight="1">
      <c r="A221" s="355"/>
      <c r="B221" s="355"/>
      <c r="C221" s="356"/>
      <c r="D221" s="356"/>
      <c r="E221" s="357"/>
    </row>
    <row r="222" spans="1:5" ht="24" customHeight="1">
      <c r="A222" s="355"/>
      <c r="B222" s="355"/>
      <c r="C222" s="356"/>
      <c r="D222" s="356"/>
      <c r="E222" s="357"/>
    </row>
    <row r="223" spans="1:5" ht="24" customHeight="1">
      <c r="A223" s="355"/>
      <c r="B223" s="355"/>
      <c r="C223" s="356"/>
      <c r="D223" s="356"/>
      <c r="E223" s="357"/>
    </row>
    <row r="224" spans="1:5" ht="24" customHeight="1">
      <c r="A224" s="355"/>
      <c r="B224" s="355"/>
      <c r="C224" s="356"/>
      <c r="D224" s="356"/>
      <c r="E224" s="357"/>
    </row>
    <row r="225" spans="1:5" ht="24" customHeight="1">
      <c r="A225" s="355"/>
      <c r="B225" s="355"/>
      <c r="C225" s="356"/>
      <c r="D225" s="356"/>
      <c r="E225" s="357"/>
    </row>
    <row r="226" spans="1:5" ht="24" customHeight="1">
      <c r="A226" s="355"/>
      <c r="B226" s="355"/>
      <c r="C226" s="356"/>
      <c r="D226" s="356"/>
      <c r="E226" s="357"/>
    </row>
    <row r="227" spans="1:5" ht="24" customHeight="1">
      <c r="A227" s="355"/>
      <c r="B227" s="355"/>
      <c r="C227" s="356"/>
      <c r="D227" s="356"/>
      <c r="E227" s="357"/>
    </row>
    <row r="228" spans="1:5" ht="24" customHeight="1">
      <c r="A228" s="355"/>
      <c r="B228" s="355"/>
      <c r="C228" s="356"/>
      <c r="D228" s="356"/>
      <c r="E228" s="357"/>
    </row>
    <row r="229" spans="1:5" ht="24" customHeight="1">
      <c r="A229" s="355"/>
      <c r="B229" s="355"/>
      <c r="C229" s="356"/>
      <c r="D229" s="356"/>
      <c r="E229" s="357"/>
    </row>
    <row r="230" spans="1:5" ht="24" customHeight="1">
      <c r="A230" s="355"/>
      <c r="B230" s="355"/>
      <c r="C230" s="356"/>
      <c r="D230" s="356"/>
      <c r="E230" s="357"/>
    </row>
    <row r="231" spans="1:5" ht="24" customHeight="1">
      <c r="A231" s="355"/>
      <c r="B231" s="355"/>
      <c r="C231" s="356"/>
      <c r="D231" s="356"/>
      <c r="E231" s="357"/>
    </row>
    <row r="232" spans="1:5" ht="24" customHeight="1">
      <c r="A232" s="355"/>
      <c r="B232" s="355"/>
      <c r="C232" s="356"/>
      <c r="D232" s="356"/>
      <c r="E232" s="357"/>
    </row>
    <row r="233" spans="1:5" ht="24" customHeight="1">
      <c r="A233" s="355"/>
      <c r="B233" s="355"/>
      <c r="C233" s="356"/>
      <c r="D233" s="356"/>
      <c r="E233" s="357"/>
    </row>
    <row r="234" spans="1:5" ht="24" customHeight="1">
      <c r="A234" s="355"/>
      <c r="B234" s="355"/>
      <c r="C234" s="356"/>
      <c r="D234" s="356"/>
      <c r="E234" s="357"/>
    </row>
    <row r="235" spans="1:5" ht="24" customHeight="1">
      <c r="A235" s="355"/>
      <c r="B235" s="355"/>
      <c r="C235" s="356"/>
      <c r="D235" s="356"/>
      <c r="E235" s="357"/>
    </row>
    <row r="236" spans="1:5" ht="24" customHeight="1">
      <c r="A236" s="355"/>
      <c r="B236" s="355"/>
      <c r="C236" s="356"/>
      <c r="D236" s="356"/>
      <c r="E236" s="357"/>
    </row>
    <row r="237" spans="1:5" ht="24" customHeight="1">
      <c r="A237" s="355"/>
      <c r="B237" s="355"/>
      <c r="C237" s="356"/>
      <c r="D237" s="356"/>
      <c r="E237" s="357"/>
    </row>
    <row r="238" spans="1:5" ht="24" customHeight="1">
      <c r="A238" s="355"/>
      <c r="B238" s="355"/>
      <c r="C238" s="356"/>
      <c r="D238" s="356"/>
      <c r="E238" s="357"/>
    </row>
    <row r="239" spans="1:5" ht="24" customHeight="1">
      <c r="A239" s="355"/>
      <c r="B239" s="355"/>
      <c r="C239" s="356"/>
      <c r="D239" s="356"/>
      <c r="E239" s="357"/>
    </row>
    <row r="240" spans="1:5" ht="24" customHeight="1">
      <c r="A240" s="355"/>
      <c r="B240" s="355"/>
      <c r="C240" s="356"/>
      <c r="D240" s="356"/>
      <c r="E240" s="357"/>
    </row>
    <row r="241" spans="1:5" ht="24" customHeight="1">
      <c r="A241" s="355"/>
      <c r="B241" s="355"/>
      <c r="C241" s="356"/>
      <c r="D241" s="356"/>
      <c r="E241" s="357"/>
    </row>
    <row r="242" spans="1:5" ht="24" customHeight="1">
      <c r="A242" s="355"/>
      <c r="B242" s="355"/>
      <c r="C242" s="356"/>
      <c r="D242" s="356"/>
      <c r="E242" s="357"/>
    </row>
    <row r="243" spans="1:5" ht="24" customHeight="1">
      <c r="A243" s="355"/>
      <c r="B243" s="355"/>
      <c r="C243" s="356"/>
      <c r="D243" s="356"/>
      <c r="E243" s="357"/>
    </row>
    <row r="244" spans="1:5" ht="24" customHeight="1">
      <c r="A244" s="355"/>
      <c r="B244" s="355"/>
      <c r="C244" s="356"/>
      <c r="D244" s="356"/>
      <c r="E244" s="357"/>
    </row>
    <row r="245" spans="1:5" ht="24" customHeight="1">
      <c r="A245" s="355"/>
      <c r="B245" s="355"/>
      <c r="C245" s="356"/>
      <c r="D245" s="356"/>
      <c r="E245" s="357"/>
    </row>
    <row r="246" spans="1:5" ht="24" customHeight="1">
      <c r="A246" s="355"/>
      <c r="B246" s="355"/>
      <c r="C246" s="356"/>
      <c r="D246" s="356"/>
      <c r="E246" s="357"/>
    </row>
  </sheetData>
  <mergeCells count="1">
    <mergeCell ref="A1:G1"/>
  </mergeCells>
  <phoneticPr fontId="2" type="noConversion"/>
  <conditionalFormatting sqref="D3:D152 F3:F188 G162">
    <cfRule type="cellIs" dxfId="6" priority="4" stopIfTrue="1" operator="lessThan">
      <formula>0</formula>
    </cfRule>
  </conditionalFormatting>
  <pageMargins left="0.74803149606299213" right="0.74803149606299213" top="0.98425196850393704" bottom="0.98425196850393704" header="0.51181102362204722" footer="0.51181102362204722"/>
  <pageSetup paperSize="9" scale="27" fitToHeight="0" orientation="portrait" horizontalDpi="4294967294" r:id="rId1"/>
  <headerFooter>
    <oddFooter>&amp;C&amp;"Helvetica Neue,Regular"&amp;12&amp;K000000&amp;P</oddFooter>
  </headerFooter>
  <rowBreaks count="2" manualBreakCount="2">
    <brk id="138" max="8" man="1"/>
    <brk id="158" max="16383" man="1"/>
  </rowBreaks>
  <colBreaks count="2" manualBreakCount="2">
    <brk id="1" max="1048575" man="1"/>
    <brk id="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>
    <pageSetUpPr fitToPage="1"/>
  </sheetPr>
  <dimension ref="A1:IV21"/>
  <sheetViews>
    <sheetView showGridLines="0" showRuler="0" view="pageBreakPreview" zoomScale="70" zoomScaleNormal="90" zoomScaleSheetLayoutView="70" workbookViewId="0">
      <pane ySplit="2" topLeftCell="A12" activePane="bottomLeft" state="frozen"/>
      <selection pane="bottomLeft" activeCell="F21" sqref="F21"/>
    </sheetView>
  </sheetViews>
  <sheetFormatPr defaultColWidth="8.81640625" defaultRowHeight="37.5" customHeight="1"/>
  <cols>
    <col min="1" max="1" width="17.36328125" style="4" customWidth="1"/>
    <col min="2" max="2" width="15.6328125" style="13" customWidth="1"/>
    <col min="3" max="3" width="16" style="13" customWidth="1"/>
    <col min="4" max="4" width="15.90625" style="13" customWidth="1"/>
    <col min="5" max="5" width="16.54296875" style="13" customWidth="1"/>
    <col min="6" max="6" width="17" style="13" customWidth="1"/>
    <col min="7" max="7" width="16.6328125" style="13" customWidth="1"/>
    <col min="8" max="8" width="17.6328125" style="13" customWidth="1"/>
    <col min="9" max="9" width="14.90625" style="13" customWidth="1"/>
    <col min="10" max="10" width="15.1796875" style="13" customWidth="1"/>
    <col min="11" max="11" width="15.81640625" style="13" customWidth="1"/>
    <col min="12" max="12" width="17.36328125" style="13" customWidth="1"/>
    <col min="13" max="13" width="15.08984375" style="13" customWidth="1"/>
    <col min="14" max="14" width="20.26953125" style="13" customWidth="1"/>
    <col min="15" max="15" width="40.90625" style="13" customWidth="1"/>
    <col min="16" max="256" width="8.81640625" style="4" customWidth="1"/>
    <col min="257" max="16384" width="8.81640625" style="14"/>
  </cols>
  <sheetData>
    <row r="1" spans="1:15" s="4" customFormat="1" ht="54.6" customHeight="1">
      <c r="A1" s="417" t="s">
        <v>57</v>
      </c>
      <c r="B1" s="418"/>
      <c r="C1" s="418"/>
      <c r="D1" s="418"/>
      <c r="E1" s="418"/>
      <c r="F1" s="418"/>
      <c r="G1" s="418"/>
      <c r="H1" s="418"/>
      <c r="I1" s="418"/>
      <c r="J1" s="418"/>
      <c r="K1" s="418"/>
      <c r="L1" s="418"/>
      <c r="M1" s="418"/>
      <c r="N1" s="418"/>
      <c r="O1" s="418"/>
    </row>
    <row r="2" spans="1:15" s="4" customFormat="1" ht="48" customHeight="1">
      <c r="A2" s="323" t="s">
        <v>61</v>
      </c>
      <c r="B2" s="324" t="s">
        <v>267</v>
      </c>
      <c r="C2" s="324" t="s">
        <v>266</v>
      </c>
      <c r="D2" s="324" t="s">
        <v>7</v>
      </c>
      <c r="E2" s="324" t="s">
        <v>8</v>
      </c>
      <c r="F2" s="324" t="s">
        <v>9</v>
      </c>
      <c r="G2" s="324" t="s">
        <v>10</v>
      </c>
      <c r="H2" s="324" t="s">
        <v>11</v>
      </c>
      <c r="I2" s="324" t="s">
        <v>12</v>
      </c>
      <c r="J2" s="324" t="s">
        <v>13</v>
      </c>
      <c r="K2" s="324" t="s">
        <v>14</v>
      </c>
      <c r="L2" s="324" t="s">
        <v>15</v>
      </c>
      <c r="M2" s="324" t="s">
        <v>16</v>
      </c>
      <c r="N2" s="324" t="s">
        <v>17</v>
      </c>
      <c r="O2" s="5" t="s">
        <v>18</v>
      </c>
    </row>
    <row r="3" spans="1:15" s="4" customFormat="1" ht="39.6" customHeight="1">
      <c r="A3" s="317" t="s">
        <v>264</v>
      </c>
      <c r="B3" s="32">
        <v>394100</v>
      </c>
      <c r="C3" s="32">
        <v>124900</v>
      </c>
      <c r="D3" s="32">
        <v>210300</v>
      </c>
      <c r="E3" s="32">
        <v>201600</v>
      </c>
      <c r="F3" s="32">
        <v>222300</v>
      </c>
      <c r="G3" s="32"/>
      <c r="H3" s="32"/>
      <c r="I3" s="32"/>
      <c r="J3" s="32"/>
      <c r="K3" s="32"/>
      <c r="L3" s="32"/>
      <c r="M3" s="32"/>
      <c r="N3" s="32"/>
      <c r="O3" s="6" t="e">
        <f>N3/$N$5</f>
        <v>#DIV/0!</v>
      </c>
    </row>
    <row r="4" spans="1:15" s="4" customFormat="1" ht="37.5" customHeight="1">
      <c r="A4" s="317" t="s">
        <v>19</v>
      </c>
      <c r="B4" s="32">
        <v>700</v>
      </c>
      <c r="C4" s="32">
        <v>600</v>
      </c>
      <c r="D4" s="32">
        <v>600</v>
      </c>
      <c r="E4" s="32"/>
      <c r="F4" s="32">
        <v>1300</v>
      </c>
      <c r="G4" s="32"/>
      <c r="H4" s="32"/>
      <c r="I4" s="32"/>
      <c r="J4" s="32"/>
      <c r="K4" s="32"/>
      <c r="L4" s="32"/>
      <c r="M4" s="32"/>
      <c r="N4" s="32"/>
      <c r="O4" s="6" t="e">
        <f>N4/$N$5</f>
        <v>#DIV/0!</v>
      </c>
    </row>
    <row r="5" spans="1:15" s="4" customFormat="1" ht="37.5" customHeight="1">
      <c r="A5" s="317" t="s">
        <v>20</v>
      </c>
      <c r="B5" s="32">
        <v>394800</v>
      </c>
      <c r="C5" s="32">
        <v>125500</v>
      </c>
      <c r="D5" s="32">
        <v>210900</v>
      </c>
      <c r="E5" s="32">
        <v>201600</v>
      </c>
      <c r="F5" s="32">
        <v>223600</v>
      </c>
      <c r="G5" s="32"/>
      <c r="H5" s="32"/>
      <c r="I5" s="32"/>
      <c r="J5" s="32"/>
      <c r="K5" s="32"/>
      <c r="L5" s="32"/>
      <c r="M5" s="32"/>
      <c r="N5" s="32"/>
      <c r="O5" s="6">
        <v>1</v>
      </c>
    </row>
    <row r="6" spans="1:15" s="4" customFormat="1" ht="37.5" customHeight="1">
      <c r="A6" s="318" t="s">
        <v>21</v>
      </c>
      <c r="B6" s="29">
        <v>-225374</v>
      </c>
      <c r="C6" s="29">
        <v>232169</v>
      </c>
      <c r="D6" s="29">
        <v>197190</v>
      </c>
      <c r="E6" s="29">
        <v>193875</v>
      </c>
      <c r="F6" s="29">
        <v>216840</v>
      </c>
      <c r="G6" s="29"/>
      <c r="H6" s="29"/>
      <c r="I6" s="29"/>
      <c r="J6" s="29"/>
      <c r="K6" s="29"/>
      <c r="L6" s="29"/>
      <c r="M6" s="29"/>
      <c r="N6" s="29"/>
      <c r="O6" s="7" t="e">
        <f t="shared" ref="O6:O19" si="0">N6/$N$5</f>
        <v>#DIV/0!</v>
      </c>
    </row>
    <row r="7" spans="1:15" s="4" customFormat="1" ht="37.5" customHeight="1">
      <c r="A7" s="318" t="s">
        <v>22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7" t="e">
        <f t="shared" si="0"/>
        <v>#DIV/0!</v>
      </c>
    </row>
    <row r="8" spans="1:15" s="4" customFormat="1" ht="37.5" customHeight="1">
      <c r="A8" s="318" t="s">
        <v>23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7" t="e">
        <f t="shared" si="0"/>
        <v>#DIV/0!</v>
      </c>
    </row>
    <row r="9" spans="1:15" s="4" customFormat="1" ht="37.5" customHeight="1">
      <c r="A9" s="318" t="s">
        <v>24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7" t="e">
        <f t="shared" si="0"/>
        <v>#DIV/0!</v>
      </c>
    </row>
    <row r="10" spans="1:15" s="4" customFormat="1" ht="37.5" customHeight="1">
      <c r="A10" s="318" t="s">
        <v>25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7" t="e">
        <f t="shared" si="0"/>
        <v>#DIV/0!</v>
      </c>
    </row>
    <row r="11" spans="1:15" s="4" customFormat="1" ht="37.5" customHeight="1">
      <c r="A11" s="318" t="s">
        <v>50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7" t="e">
        <f t="shared" si="0"/>
        <v>#DIV/0!</v>
      </c>
    </row>
    <row r="12" spans="1:15" s="4" customFormat="1" ht="37.5" customHeight="1">
      <c r="A12" s="319" t="s">
        <v>56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7" t="e">
        <f t="shared" si="0"/>
        <v>#DIV/0!</v>
      </c>
    </row>
    <row r="13" spans="1:15" s="4" customFormat="1" ht="37.5" customHeight="1">
      <c r="A13" s="320" t="s">
        <v>49</v>
      </c>
      <c r="B13" s="29"/>
      <c r="C13" s="29"/>
      <c r="D13" s="29"/>
      <c r="E13" s="29"/>
      <c r="F13" s="29">
        <v>13765</v>
      </c>
      <c r="G13" s="29"/>
      <c r="H13" s="29"/>
      <c r="I13" s="29"/>
      <c r="J13" s="29"/>
      <c r="K13" s="29"/>
      <c r="L13" s="29"/>
      <c r="M13" s="29"/>
      <c r="N13" s="29"/>
      <c r="O13" s="7" t="e">
        <f t="shared" si="0"/>
        <v>#DIV/0!</v>
      </c>
    </row>
    <row r="14" spans="1:15" s="4" customFormat="1" ht="37.5" customHeight="1">
      <c r="A14" s="318" t="s">
        <v>26</v>
      </c>
      <c r="B14" s="29"/>
      <c r="C14" s="29"/>
      <c r="D14" s="29"/>
      <c r="E14" s="29">
        <v>2200</v>
      </c>
      <c r="F14" s="29">
        <v>22694</v>
      </c>
      <c r="G14" s="29"/>
      <c r="H14" s="29"/>
      <c r="I14" s="29"/>
      <c r="J14" s="29"/>
      <c r="K14" s="29"/>
      <c r="L14" s="29"/>
      <c r="M14" s="29"/>
      <c r="N14" s="29"/>
      <c r="O14" s="7" t="e">
        <f t="shared" si="0"/>
        <v>#DIV/0!</v>
      </c>
    </row>
    <row r="15" spans="1:15" s="4" customFormat="1" ht="37.5" customHeight="1">
      <c r="A15" s="318" t="s">
        <v>27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7" t="e">
        <f t="shared" si="0"/>
        <v>#DIV/0!</v>
      </c>
    </row>
    <row r="16" spans="1:15" s="4" customFormat="1" ht="37.5" customHeight="1">
      <c r="A16" s="318" t="s">
        <v>28</v>
      </c>
      <c r="B16" s="29"/>
      <c r="C16" s="29"/>
      <c r="D16" s="29"/>
      <c r="E16" s="29"/>
      <c r="F16" s="29">
        <v>10600</v>
      </c>
      <c r="G16" s="29"/>
      <c r="H16" s="170"/>
      <c r="I16" s="29"/>
      <c r="J16" s="29"/>
      <c r="K16" s="29"/>
      <c r="L16" s="29"/>
      <c r="M16" s="29"/>
      <c r="N16" s="29"/>
      <c r="O16" s="7" t="e">
        <f t="shared" si="0"/>
        <v>#DIV/0!</v>
      </c>
    </row>
    <row r="17" spans="1:15" s="4" customFormat="1" ht="37.5" customHeight="1">
      <c r="A17" s="318" t="s">
        <v>29</v>
      </c>
      <c r="B17" s="29">
        <v>2544</v>
      </c>
      <c r="C17" s="29">
        <v>12312</v>
      </c>
      <c r="D17" s="29">
        <v>2000</v>
      </c>
      <c r="E17" s="29">
        <v>1400</v>
      </c>
      <c r="F17" s="29">
        <v>5367</v>
      </c>
      <c r="G17" s="29"/>
      <c r="H17" s="29"/>
      <c r="I17" s="29"/>
      <c r="J17" s="29"/>
      <c r="K17" s="29"/>
      <c r="L17" s="29"/>
      <c r="M17" s="29"/>
      <c r="N17" s="29"/>
      <c r="O17" s="7" t="e">
        <f t="shared" si="0"/>
        <v>#DIV/0!</v>
      </c>
    </row>
    <row r="18" spans="1:15" s="4" customFormat="1" ht="37.5" customHeight="1">
      <c r="A18" s="321" t="s">
        <v>30</v>
      </c>
      <c r="B18" s="28">
        <v>227918</v>
      </c>
      <c r="C18" s="28">
        <v>244481</v>
      </c>
      <c r="D18" s="28">
        <v>199190</v>
      </c>
      <c r="E18" s="28">
        <v>197475</v>
      </c>
      <c r="F18" s="28"/>
      <c r="G18" s="28"/>
      <c r="H18" s="28"/>
      <c r="I18" s="28"/>
      <c r="J18" s="28"/>
      <c r="K18" s="28"/>
      <c r="L18" s="28"/>
      <c r="M18" s="28"/>
      <c r="N18" s="28"/>
      <c r="O18" s="8" t="e">
        <f t="shared" si="0"/>
        <v>#DIV/0!</v>
      </c>
    </row>
    <row r="19" spans="1:15" s="4" customFormat="1" ht="37.5" customHeight="1">
      <c r="A19" s="322" t="s">
        <v>31</v>
      </c>
      <c r="B19" s="30">
        <v>166882</v>
      </c>
      <c r="C19" s="168">
        <v>-118981</v>
      </c>
      <c r="D19" s="168">
        <v>11710</v>
      </c>
      <c r="E19" s="168">
        <v>4125</v>
      </c>
      <c r="F19" s="168">
        <v>-45666</v>
      </c>
      <c r="G19" s="168"/>
      <c r="H19" s="168"/>
      <c r="I19" s="168"/>
      <c r="J19" s="168"/>
      <c r="K19" s="168"/>
      <c r="L19" s="168"/>
      <c r="M19" s="168"/>
      <c r="N19" s="168"/>
      <c r="O19" s="169" t="e">
        <f t="shared" si="0"/>
        <v>#DIV/0!</v>
      </c>
    </row>
    <row r="20" spans="1:15" s="4" customFormat="1" ht="49.8" customHeight="1">
      <c r="A20" s="325" t="s">
        <v>265</v>
      </c>
      <c r="B20" s="31">
        <v>478186</v>
      </c>
      <c r="C20" s="31">
        <v>359205</v>
      </c>
      <c r="D20" s="31">
        <v>370915</v>
      </c>
      <c r="E20" s="31">
        <v>375040</v>
      </c>
      <c r="F20" s="31">
        <v>329374</v>
      </c>
      <c r="G20" s="31"/>
      <c r="H20" s="31"/>
      <c r="I20" s="31"/>
      <c r="J20" s="31"/>
      <c r="K20" s="31"/>
      <c r="L20" s="31"/>
      <c r="M20" s="31"/>
      <c r="N20" s="31"/>
      <c r="O20" s="9"/>
    </row>
    <row r="21" spans="1:15" s="4" customFormat="1" ht="37.5" customHeight="1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2"/>
      <c r="L21" s="11"/>
      <c r="M21" s="11"/>
      <c r="N21" s="11"/>
      <c r="O21" s="11"/>
    </row>
  </sheetData>
  <mergeCells count="1">
    <mergeCell ref="A1:O1"/>
  </mergeCells>
  <phoneticPr fontId="2" type="noConversion"/>
  <conditionalFormatting sqref="B19:N19">
    <cfRule type="cellIs" dxfId="5" priority="1" stopIfTrue="1" operator="lessThan">
      <formula>0</formula>
    </cfRule>
  </conditionalFormatting>
  <pageMargins left="0.23622047244094491" right="0.23622047244094491" top="0.55118110236220474" bottom="0.55118110236220474" header="0.31496062992125984" footer="0.31496062992125984"/>
  <pageSetup scale="41" orientation="landscape" horizontalDpi="4294967293" r:id="rId1"/>
  <headerFooter>
    <oddFooter>&amp;LJ&amp;C 第 &amp;P 頁 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>
    <pageSetUpPr fitToPage="1"/>
  </sheetPr>
  <dimension ref="A1:IV414"/>
  <sheetViews>
    <sheetView showRuler="0" zoomScale="80" zoomScaleNormal="80" workbookViewId="0">
      <selection activeCell="F8" sqref="F8"/>
    </sheetView>
  </sheetViews>
  <sheetFormatPr defaultColWidth="8.81640625" defaultRowHeight="18.75" customHeight="1"/>
  <cols>
    <col min="1" max="2" width="4.1796875" style="1" customWidth="1"/>
    <col min="3" max="3" width="48.81640625" style="1" customWidth="1"/>
    <col min="4" max="4" width="12.453125" style="90" customWidth="1"/>
    <col min="5" max="5" width="14.1796875" style="98" customWidth="1"/>
    <col min="6" max="6" width="14.36328125" style="3" customWidth="1"/>
    <col min="7" max="7" width="87" style="1" bestFit="1" customWidth="1"/>
    <col min="8" max="256" width="8.81640625" style="1" customWidth="1"/>
    <col min="257" max="16384" width="8.81640625" style="2"/>
  </cols>
  <sheetData>
    <row r="1" spans="1:9" s="1" customFormat="1" ht="25.95" customHeight="1" thickTop="1">
      <c r="A1" s="85" t="s">
        <v>0</v>
      </c>
      <c r="B1" s="80" t="s">
        <v>1</v>
      </c>
      <c r="C1" s="80" t="s">
        <v>2</v>
      </c>
      <c r="D1" s="81" t="s">
        <v>3</v>
      </c>
      <c r="E1" s="91" t="s">
        <v>4</v>
      </c>
      <c r="F1" s="398" t="s">
        <v>17</v>
      </c>
      <c r="G1" s="400" t="s">
        <v>6</v>
      </c>
    </row>
    <row r="2" spans="1:9" s="1" customFormat="1" ht="25.5" customHeight="1">
      <c r="A2" s="393">
        <v>4</v>
      </c>
      <c r="B2" s="394">
        <v>27</v>
      </c>
      <c r="C2" s="407" t="s">
        <v>349</v>
      </c>
      <c r="D2" s="395"/>
      <c r="E2" s="402">
        <v>2200</v>
      </c>
      <c r="F2" s="403">
        <v>2200</v>
      </c>
      <c r="G2" s="399"/>
    </row>
    <row r="3" spans="1:9" s="1" customFormat="1" ht="25.5" customHeight="1">
      <c r="A3" s="392">
        <v>5</v>
      </c>
      <c r="B3" s="205">
        <v>7</v>
      </c>
      <c r="C3" s="384" t="s">
        <v>364</v>
      </c>
      <c r="D3" s="396"/>
      <c r="E3" s="404">
        <v>13765</v>
      </c>
      <c r="F3" s="405"/>
      <c r="G3" s="397"/>
      <c r="I3" s="1" t="s">
        <v>51</v>
      </c>
    </row>
    <row r="4" spans="1:9" s="1" customFormat="1" ht="25.5" customHeight="1">
      <c r="A4" s="87">
        <v>5</v>
      </c>
      <c r="B4" s="88">
        <v>7</v>
      </c>
      <c r="C4" s="384" t="s">
        <v>365</v>
      </c>
      <c r="D4" s="101"/>
      <c r="E4" s="401">
        <v>4196</v>
      </c>
      <c r="F4" s="111"/>
      <c r="G4" s="89"/>
    </row>
    <row r="5" spans="1:9" s="1" customFormat="1" ht="25.5" customHeight="1">
      <c r="A5" s="86">
        <v>5</v>
      </c>
      <c r="B5" s="82">
        <v>7</v>
      </c>
      <c r="C5" s="384" t="s">
        <v>366</v>
      </c>
      <c r="D5" s="99"/>
      <c r="E5" s="406">
        <v>14898</v>
      </c>
      <c r="F5" s="83"/>
      <c r="G5" s="84"/>
    </row>
    <row r="6" spans="1:9" s="1" customFormat="1" ht="22.2">
      <c r="A6" s="86">
        <v>5</v>
      </c>
      <c r="B6" s="82">
        <v>7</v>
      </c>
      <c r="C6" s="37" t="s">
        <v>367</v>
      </c>
      <c r="D6" s="99"/>
      <c r="E6" s="406">
        <v>3000</v>
      </c>
      <c r="F6" s="83"/>
      <c r="G6" s="171"/>
    </row>
    <row r="7" spans="1:9" s="1" customFormat="1" ht="25.5" customHeight="1">
      <c r="A7" s="86">
        <v>5</v>
      </c>
      <c r="B7" s="82">
        <v>7</v>
      </c>
      <c r="C7" s="37" t="s">
        <v>368</v>
      </c>
      <c r="D7" s="99"/>
      <c r="E7" s="406">
        <v>3600</v>
      </c>
      <c r="F7" s="83">
        <v>39459</v>
      </c>
      <c r="G7" s="145"/>
    </row>
    <row r="8" spans="1:9" s="1" customFormat="1" ht="25.5" customHeight="1">
      <c r="A8" s="383"/>
      <c r="B8" s="382"/>
      <c r="C8" s="385"/>
      <c r="D8" s="388"/>
      <c r="E8" s="387"/>
      <c r="F8" s="389"/>
      <c r="G8" s="390"/>
    </row>
    <row r="9" spans="1:9" s="1" customFormat="1" ht="25.5" customHeight="1">
      <c r="A9" s="87"/>
      <c r="B9" s="88"/>
      <c r="C9" s="384"/>
      <c r="D9" s="101"/>
      <c r="E9" s="386"/>
      <c r="F9" s="111"/>
      <c r="G9" s="89"/>
    </row>
    <row r="10" spans="1:9" s="1" customFormat="1" ht="25.5" customHeight="1">
      <c r="A10" s="87"/>
      <c r="B10" s="88"/>
      <c r="C10" s="37"/>
      <c r="D10" s="101"/>
      <c r="E10" s="173"/>
      <c r="F10" s="111"/>
      <c r="G10" s="89"/>
    </row>
    <row r="11" spans="1:9" s="1" customFormat="1" ht="25.5" customHeight="1">
      <c r="A11" s="87"/>
      <c r="B11" s="88"/>
      <c r="C11" s="37"/>
      <c r="D11" s="101"/>
      <c r="E11" s="173"/>
      <c r="F11" s="111"/>
      <c r="G11" s="89"/>
    </row>
    <row r="12" spans="1:9" s="1" customFormat="1" ht="25.5" customHeight="1">
      <c r="A12" s="87"/>
      <c r="B12" s="88"/>
      <c r="C12" s="37"/>
      <c r="D12" s="101"/>
      <c r="E12" s="173"/>
      <c r="F12" s="111"/>
      <c r="G12" s="89"/>
    </row>
    <row r="13" spans="1:9" s="1" customFormat="1" ht="25.5" customHeight="1">
      <c r="A13" s="383"/>
      <c r="B13" s="382"/>
      <c r="C13" s="385"/>
      <c r="D13" s="388"/>
      <c r="E13" s="387"/>
      <c r="F13" s="391"/>
      <c r="G13" s="390"/>
    </row>
    <row r="14" spans="1:9" s="1" customFormat="1" ht="25.5" customHeight="1">
      <c r="A14" s="87"/>
      <c r="B14" s="88"/>
      <c r="C14" s="384"/>
      <c r="D14" s="101"/>
      <c r="E14" s="386"/>
      <c r="F14" s="111"/>
      <c r="G14" s="89"/>
    </row>
    <row r="15" spans="1:9" s="1" customFormat="1" ht="25.5" customHeight="1">
      <c r="A15" s="87"/>
      <c r="B15" s="88"/>
      <c r="C15" s="37"/>
      <c r="D15" s="101"/>
      <c r="E15" s="173"/>
      <c r="F15" s="111"/>
      <c r="G15" s="89"/>
    </row>
    <row r="16" spans="1:9" s="1" customFormat="1" ht="25.5" customHeight="1">
      <c r="A16" s="87"/>
      <c r="B16" s="88"/>
      <c r="C16" s="37"/>
      <c r="D16" s="101"/>
      <c r="E16" s="173"/>
      <c r="F16" s="111"/>
      <c r="G16" s="89"/>
    </row>
    <row r="17" spans="1:7" s="1" customFormat="1" ht="25.5" customHeight="1" thickBot="1">
      <c r="A17" s="207"/>
      <c r="B17" s="208"/>
      <c r="C17" s="209"/>
      <c r="D17" s="100"/>
      <c r="E17" s="210"/>
      <c r="F17" s="211"/>
      <c r="G17" s="120"/>
    </row>
    <row r="18" spans="1:7" s="1" customFormat="1" ht="25.2" customHeight="1" thickTop="1">
      <c r="A18" s="205"/>
      <c r="B18" s="205"/>
      <c r="C18" s="206"/>
      <c r="D18" s="198"/>
      <c r="E18" s="136"/>
      <c r="F18" s="137"/>
      <c r="G18" s="190"/>
    </row>
    <row r="19" spans="1:7" s="1" customFormat="1" ht="25.2" customHeight="1">
      <c r="A19" s="202"/>
      <c r="B19" s="202"/>
      <c r="C19" s="192"/>
      <c r="D19" s="199"/>
      <c r="E19" s="193"/>
      <c r="F19" s="194"/>
      <c r="G19" s="195"/>
    </row>
    <row r="20" spans="1:7" s="1" customFormat="1" ht="25.2" customHeight="1">
      <c r="A20" s="202"/>
      <c r="B20" s="202"/>
      <c r="C20" s="196"/>
      <c r="D20" s="199"/>
      <c r="E20" s="193"/>
      <c r="F20" s="194"/>
      <c r="G20" s="195"/>
    </row>
    <row r="21" spans="1:7" s="1" customFormat="1" ht="25.2" customHeight="1">
      <c r="A21" s="202"/>
      <c r="B21" s="195"/>
      <c r="C21" s="197"/>
      <c r="D21" s="199"/>
      <c r="E21" s="193"/>
      <c r="F21" s="194"/>
      <c r="G21" s="195"/>
    </row>
    <row r="22" spans="1:7" s="1" customFormat="1" ht="25.5" customHeight="1">
      <c r="A22" s="203"/>
      <c r="B22" s="203"/>
      <c r="C22" s="204"/>
      <c r="D22" s="200"/>
      <c r="E22" s="92"/>
      <c r="F22" s="134"/>
      <c r="G22" s="191"/>
    </row>
    <row r="23" spans="1:7" s="1" customFormat="1" ht="25.5" customHeight="1">
      <c r="A23" s="154"/>
      <c r="B23" s="155"/>
      <c r="C23" s="201"/>
      <c r="D23" s="141"/>
      <c r="E23" s="142"/>
      <c r="F23" s="157"/>
      <c r="G23" s="144"/>
    </row>
    <row r="24" spans="1:7" s="1" customFormat="1" ht="25.5" customHeight="1" thickBot="1">
      <c r="A24" s="158"/>
      <c r="B24" s="159"/>
      <c r="C24" s="152"/>
      <c r="D24" s="138"/>
      <c r="E24" s="139"/>
      <c r="F24" s="153"/>
      <c r="G24" s="140"/>
    </row>
    <row r="25" spans="1:7" s="1" customFormat="1" ht="25.5" customHeight="1">
      <c r="A25" s="148"/>
      <c r="B25" s="149"/>
      <c r="C25" s="151"/>
      <c r="D25" s="102"/>
      <c r="E25" s="92"/>
      <c r="F25" s="134"/>
      <c r="G25" s="150"/>
    </row>
    <row r="26" spans="1:7" s="1" customFormat="1" ht="25.5" customHeight="1">
      <c r="A26" s="161"/>
      <c r="B26" s="162"/>
      <c r="C26" s="156"/>
      <c r="D26" s="141"/>
      <c r="E26" s="142"/>
      <c r="F26" s="143"/>
      <c r="G26" s="163"/>
    </row>
    <row r="27" spans="1:7" s="1" customFormat="1" ht="25.5" customHeight="1">
      <c r="A27" s="161"/>
      <c r="B27" s="162"/>
      <c r="C27" s="165"/>
      <c r="D27" s="146"/>
      <c r="E27" s="147"/>
      <c r="F27" s="164"/>
      <c r="G27" s="166"/>
    </row>
    <row r="28" spans="1:7" s="1" customFormat="1" ht="25.5" customHeight="1" thickBot="1">
      <c r="A28" s="161"/>
      <c r="B28" s="162"/>
      <c r="C28" s="151"/>
      <c r="D28" s="135"/>
      <c r="E28" s="136"/>
      <c r="F28" s="137"/>
      <c r="G28" s="160"/>
    </row>
    <row r="29" spans="1:7" s="1" customFormat="1" ht="25.95" customHeight="1" thickTop="1">
      <c r="A29" s="44"/>
      <c r="B29" s="45"/>
      <c r="C29" s="46"/>
      <c r="D29" s="103"/>
      <c r="E29" s="93"/>
      <c r="F29" s="112"/>
      <c r="G29" s="41"/>
    </row>
    <row r="30" spans="1:7" s="1" customFormat="1" ht="25.2" customHeight="1">
      <c r="A30" s="47"/>
      <c r="B30" s="48"/>
      <c r="C30" s="49"/>
      <c r="D30" s="104"/>
      <c r="E30" s="94"/>
      <c r="F30" s="113"/>
      <c r="G30" s="50"/>
    </row>
    <row r="31" spans="1:7" s="1" customFormat="1" ht="25.2" customHeight="1">
      <c r="A31" s="47"/>
      <c r="B31" s="48"/>
      <c r="C31" s="51"/>
      <c r="D31" s="104"/>
      <c r="E31" s="94"/>
      <c r="F31" s="114"/>
      <c r="G31" s="52"/>
    </row>
    <row r="32" spans="1:7" s="1" customFormat="1" ht="25.2" customHeight="1" thickBot="1">
      <c r="A32" s="53"/>
      <c r="B32" s="54"/>
      <c r="C32" s="54"/>
      <c r="D32" s="105"/>
      <c r="E32" s="95"/>
      <c r="F32" s="115"/>
      <c r="G32" s="55"/>
    </row>
    <row r="33" spans="1:7" s="1" customFormat="1" ht="25.2" customHeight="1" thickTop="1">
      <c r="A33" s="44"/>
      <c r="B33" s="45"/>
      <c r="C33" s="46"/>
      <c r="D33" s="103"/>
      <c r="E33" s="93"/>
      <c r="F33" s="112"/>
      <c r="G33" s="43"/>
    </row>
    <row r="34" spans="1:7" s="1" customFormat="1" ht="25.2" customHeight="1">
      <c r="A34" s="47"/>
      <c r="B34" s="48"/>
      <c r="C34" s="49"/>
      <c r="D34" s="104"/>
      <c r="E34" s="94"/>
      <c r="F34" s="113"/>
      <c r="G34" s="50"/>
    </row>
    <row r="35" spans="1:7" s="1" customFormat="1" ht="25.2" customHeight="1">
      <c r="A35" s="47"/>
      <c r="B35" s="48"/>
      <c r="C35" s="49"/>
      <c r="D35" s="104"/>
      <c r="E35" s="94"/>
      <c r="F35" s="113"/>
      <c r="G35" s="52"/>
    </row>
    <row r="36" spans="1:7" s="1" customFormat="1" ht="25.2" customHeight="1">
      <c r="A36" s="47"/>
      <c r="B36" s="48"/>
      <c r="C36" s="49"/>
      <c r="D36" s="104"/>
      <c r="E36" s="94"/>
      <c r="F36" s="114"/>
      <c r="G36" s="52"/>
    </row>
    <row r="37" spans="1:7" s="1" customFormat="1" ht="25.2" customHeight="1" thickBot="1">
      <c r="A37" s="56"/>
      <c r="B37" s="54"/>
      <c r="C37" s="57"/>
      <c r="D37" s="105"/>
      <c r="E37" s="95"/>
      <c r="F37" s="115"/>
      <c r="G37" s="55"/>
    </row>
    <row r="38" spans="1:7" s="1" customFormat="1" ht="25.95" customHeight="1" thickTop="1">
      <c r="A38" s="44"/>
      <c r="B38" s="58"/>
      <c r="C38" s="40"/>
      <c r="D38" s="106"/>
      <c r="E38" s="93"/>
      <c r="F38" s="112"/>
      <c r="G38" s="59"/>
    </row>
    <row r="39" spans="1:7" s="1" customFormat="1" ht="25.2" customHeight="1">
      <c r="A39" s="47"/>
      <c r="B39" s="60"/>
      <c r="C39" s="39"/>
      <c r="D39" s="107"/>
      <c r="E39" s="94"/>
      <c r="F39" s="113"/>
      <c r="G39" s="61"/>
    </row>
    <row r="40" spans="1:7" s="1" customFormat="1" ht="25.2" customHeight="1">
      <c r="A40" s="47"/>
      <c r="B40" s="60"/>
      <c r="C40" s="39"/>
      <c r="D40" s="107"/>
      <c r="E40" s="94"/>
      <c r="F40" s="113"/>
      <c r="G40" s="61"/>
    </row>
    <row r="41" spans="1:7" s="1" customFormat="1" ht="25.2" customHeight="1">
      <c r="A41" s="47"/>
      <c r="B41" s="60"/>
      <c r="C41" s="39"/>
      <c r="D41" s="107"/>
      <c r="E41" s="94"/>
      <c r="F41" s="113"/>
      <c r="G41" s="61"/>
    </row>
    <row r="42" spans="1:7" s="1" customFormat="1" ht="25.2" customHeight="1">
      <c r="A42" s="47"/>
      <c r="B42" s="60"/>
      <c r="C42" s="39"/>
      <c r="D42" s="107"/>
      <c r="E42" s="94"/>
      <c r="F42" s="113"/>
      <c r="G42" s="61"/>
    </row>
    <row r="43" spans="1:7" s="1" customFormat="1" ht="25.2" customHeight="1">
      <c r="A43" s="47"/>
      <c r="B43" s="48"/>
      <c r="C43" s="62"/>
      <c r="D43" s="104"/>
      <c r="E43" s="94"/>
      <c r="F43" s="113"/>
      <c r="G43" s="50"/>
    </row>
    <row r="44" spans="1:7" s="1" customFormat="1" ht="25.2" customHeight="1">
      <c r="A44" s="47"/>
      <c r="B44" s="48"/>
      <c r="C44" s="49"/>
      <c r="D44" s="104"/>
      <c r="E44" s="94"/>
      <c r="F44" s="114"/>
      <c r="G44" s="52"/>
    </row>
    <row r="45" spans="1:7" s="1" customFormat="1" ht="25.95" customHeight="1" thickBot="1">
      <c r="A45" s="56"/>
      <c r="B45" s="54"/>
      <c r="C45" s="57"/>
      <c r="D45" s="105"/>
      <c r="E45" s="95"/>
      <c r="F45" s="115"/>
      <c r="G45" s="55"/>
    </row>
    <row r="46" spans="1:7" s="1" customFormat="1" ht="25.95" customHeight="1" thickTop="1">
      <c r="A46" s="63"/>
      <c r="B46" s="64"/>
      <c r="C46" s="65"/>
      <c r="D46" s="103"/>
      <c r="E46" s="93"/>
      <c r="F46" s="112"/>
      <c r="G46" s="59"/>
    </row>
    <row r="47" spans="1:7" s="1" customFormat="1" ht="25.2" customHeight="1">
      <c r="A47" s="47"/>
      <c r="B47" s="48"/>
      <c r="C47" s="66"/>
      <c r="D47" s="104"/>
      <c r="E47" s="94"/>
      <c r="F47" s="113"/>
      <c r="G47" s="50"/>
    </row>
    <row r="48" spans="1:7" s="1" customFormat="1" ht="25.2" customHeight="1">
      <c r="A48" s="47"/>
      <c r="B48" s="60"/>
      <c r="C48" s="42"/>
      <c r="D48" s="107"/>
      <c r="E48" s="94"/>
      <c r="F48" s="113"/>
      <c r="G48" s="52"/>
    </row>
    <row r="49" spans="1:7" s="1" customFormat="1" ht="25.2" customHeight="1">
      <c r="A49" s="47"/>
      <c r="B49" s="60"/>
      <c r="C49" s="42"/>
      <c r="D49" s="107"/>
      <c r="E49" s="94"/>
      <c r="F49" s="113"/>
      <c r="G49" s="52"/>
    </row>
    <row r="50" spans="1:7" s="1" customFormat="1" ht="25.2" customHeight="1">
      <c r="A50" s="47"/>
      <c r="B50" s="60"/>
      <c r="C50" s="42"/>
      <c r="D50" s="107"/>
      <c r="E50" s="94"/>
      <c r="F50" s="113"/>
      <c r="G50" s="52"/>
    </row>
    <row r="51" spans="1:7" s="1" customFormat="1" ht="25.2" customHeight="1">
      <c r="A51" s="47"/>
      <c r="B51" s="60"/>
      <c r="C51" s="42"/>
      <c r="D51" s="107"/>
      <c r="E51" s="94"/>
      <c r="F51" s="113"/>
      <c r="G51" s="52"/>
    </row>
    <row r="52" spans="1:7" ht="25.2" customHeight="1">
      <c r="A52" s="47"/>
      <c r="B52" s="60"/>
      <c r="C52" s="42"/>
      <c r="D52" s="107"/>
      <c r="E52" s="94"/>
      <c r="F52" s="114"/>
      <c r="G52" s="52"/>
    </row>
    <row r="53" spans="1:7" ht="25.2" customHeight="1" thickBot="1">
      <c r="A53" s="56"/>
      <c r="B53" s="54"/>
      <c r="C53" s="67"/>
      <c r="D53" s="105"/>
      <c r="E53" s="95"/>
      <c r="F53" s="116"/>
      <c r="G53" s="55"/>
    </row>
    <row r="54" spans="1:7" ht="25.2" customHeight="1" thickTop="1">
      <c r="A54" s="63"/>
      <c r="B54" s="64"/>
      <c r="C54" s="68"/>
      <c r="D54" s="103"/>
      <c r="E54" s="93"/>
      <c r="F54" s="117"/>
      <c r="G54" s="69"/>
    </row>
    <row r="55" spans="1:7" ht="25.2" customHeight="1">
      <c r="A55" s="47"/>
      <c r="B55" s="48"/>
      <c r="C55" s="70"/>
      <c r="D55" s="104"/>
      <c r="E55" s="94"/>
      <c r="F55" s="114"/>
      <c r="G55" s="52"/>
    </row>
    <row r="56" spans="1:7" ht="25.2" customHeight="1">
      <c r="A56" s="47"/>
      <c r="B56" s="48"/>
      <c r="C56" s="70"/>
      <c r="D56" s="104"/>
      <c r="E56" s="94"/>
      <c r="F56" s="114"/>
      <c r="G56" s="52"/>
    </row>
    <row r="57" spans="1:7" ht="25.2" customHeight="1">
      <c r="A57" s="47"/>
      <c r="B57" s="48"/>
      <c r="C57" s="71"/>
      <c r="D57" s="104"/>
      <c r="E57" s="94"/>
      <c r="F57" s="114"/>
      <c r="G57" s="52"/>
    </row>
    <row r="58" spans="1:7" ht="25.2" customHeight="1">
      <c r="A58" s="47"/>
      <c r="B58" s="48"/>
      <c r="C58" s="70"/>
      <c r="D58" s="104"/>
      <c r="E58" s="94"/>
      <c r="F58" s="114"/>
      <c r="G58" s="52"/>
    </row>
    <row r="59" spans="1:7" ht="25.2" customHeight="1">
      <c r="A59" s="47"/>
      <c r="B59" s="48"/>
      <c r="C59" s="71"/>
      <c r="D59" s="104"/>
      <c r="E59" s="94"/>
      <c r="F59" s="114"/>
      <c r="G59" s="52"/>
    </row>
    <row r="60" spans="1:7" ht="25.2" customHeight="1">
      <c r="A60" s="47"/>
      <c r="B60" s="48"/>
      <c r="C60" s="51"/>
      <c r="D60" s="104"/>
      <c r="E60" s="94"/>
      <c r="F60" s="114"/>
      <c r="G60" s="52"/>
    </row>
    <row r="61" spans="1:7" ht="25.2" customHeight="1">
      <c r="A61" s="47"/>
      <c r="B61" s="48"/>
      <c r="C61" s="51"/>
      <c r="D61" s="104"/>
      <c r="E61" s="94"/>
      <c r="F61" s="114"/>
      <c r="G61" s="52"/>
    </row>
    <row r="62" spans="1:7" ht="26.1" customHeight="1" thickBot="1">
      <c r="A62" s="56"/>
      <c r="B62" s="54"/>
      <c r="C62" s="57"/>
      <c r="D62" s="105"/>
      <c r="E62" s="95"/>
      <c r="F62" s="115"/>
      <c r="G62" s="55"/>
    </row>
    <row r="63" spans="1:7" ht="26.1" customHeight="1" thickTop="1">
      <c r="A63" s="72"/>
      <c r="B63" s="73"/>
      <c r="C63" s="65"/>
      <c r="D63" s="108"/>
      <c r="E63" s="96"/>
      <c r="F63" s="118"/>
      <c r="G63" s="69"/>
    </row>
    <row r="64" spans="1:7" ht="26.1" customHeight="1">
      <c r="A64" s="74"/>
      <c r="B64" s="75"/>
      <c r="C64" s="76"/>
      <c r="D64" s="109"/>
      <c r="E64" s="97"/>
      <c r="F64" s="119"/>
      <c r="G64" s="77"/>
    </row>
    <row r="65" spans="1:7" ht="26.1" customHeight="1">
      <c r="A65" s="74"/>
      <c r="B65" s="75"/>
      <c r="C65" s="76"/>
      <c r="D65" s="109"/>
      <c r="E65" s="97"/>
      <c r="F65" s="119"/>
      <c r="G65" s="77"/>
    </row>
    <row r="66" spans="1:7" ht="26.1" customHeight="1">
      <c r="A66" s="78"/>
      <c r="B66" s="213"/>
      <c r="C66" s="214"/>
      <c r="D66" s="110"/>
      <c r="E66" s="97"/>
      <c r="F66" s="119"/>
      <c r="G66" s="77"/>
    </row>
    <row r="67" spans="1:7" ht="26.1" customHeight="1">
      <c r="A67" s="202"/>
      <c r="B67" s="202"/>
      <c r="C67" s="215"/>
      <c r="D67" s="110"/>
      <c r="E67" s="97"/>
      <c r="F67" s="119"/>
      <c r="G67" s="77"/>
    </row>
    <row r="68" spans="1:7" ht="26.1" customHeight="1">
      <c r="A68" s="202"/>
      <c r="B68" s="202"/>
      <c r="C68" s="215"/>
      <c r="D68" s="110"/>
      <c r="E68" s="97"/>
      <c r="F68" s="119"/>
      <c r="G68" s="77"/>
    </row>
    <row r="69" spans="1:7" ht="26.1" customHeight="1">
      <c r="A69" s="202"/>
      <c r="B69" s="202"/>
      <c r="C69" s="216"/>
      <c r="D69" s="110"/>
      <c r="E69" s="97"/>
      <c r="F69" s="119"/>
      <c r="G69" s="77"/>
    </row>
    <row r="70" spans="1:7" ht="26.1" customHeight="1">
      <c r="A70" s="202"/>
      <c r="B70" s="202"/>
      <c r="C70" s="217"/>
      <c r="D70" s="110"/>
      <c r="E70" s="97"/>
      <c r="F70" s="119"/>
      <c r="G70" s="77"/>
    </row>
    <row r="71" spans="1:7" ht="26.1" customHeight="1">
      <c r="A71" s="219"/>
      <c r="B71" s="219"/>
      <c r="C71" s="220"/>
      <c r="D71" s="221"/>
      <c r="E71" s="222"/>
      <c r="F71" s="223"/>
      <c r="G71" s="224"/>
    </row>
    <row r="72" spans="1:7" ht="26.1" customHeight="1">
      <c r="A72" s="202"/>
      <c r="B72" s="202"/>
      <c r="C72" s="218"/>
      <c r="D72" s="225"/>
      <c r="E72" s="193"/>
      <c r="F72" s="194"/>
      <c r="G72" s="195"/>
    </row>
    <row r="73" spans="1:7" ht="26.1" customHeight="1">
      <c r="A73" s="202"/>
      <c r="B73" s="202"/>
      <c r="C73" s="218"/>
      <c r="D73" s="225"/>
      <c r="E73" s="226"/>
      <c r="F73" s="194"/>
      <c r="G73" s="195"/>
    </row>
    <row r="74" spans="1:7" ht="26.1" customHeight="1">
      <c r="A74" s="227"/>
      <c r="B74" s="227"/>
      <c r="C74" s="227"/>
      <c r="D74" s="228"/>
      <c r="E74" s="229"/>
      <c r="F74" s="230"/>
      <c r="G74" s="227"/>
    </row>
    <row r="75" spans="1:7" ht="26.1" customHeight="1">
      <c r="A75" s="227"/>
      <c r="B75" s="227"/>
      <c r="C75" s="227"/>
      <c r="D75" s="228"/>
      <c r="E75" s="229"/>
      <c r="F75" s="230"/>
      <c r="G75" s="227"/>
    </row>
    <row r="76" spans="1:7" ht="26.1" customHeight="1">
      <c r="A76" s="227"/>
      <c r="B76" s="227"/>
      <c r="C76" s="227"/>
      <c r="D76" s="228"/>
      <c r="E76" s="229"/>
      <c r="F76" s="230"/>
      <c r="G76" s="227"/>
    </row>
    <row r="77" spans="1:7" ht="26.1" customHeight="1">
      <c r="A77" s="227"/>
      <c r="B77" s="227"/>
      <c r="C77" s="227"/>
      <c r="D77" s="228"/>
      <c r="E77" s="229"/>
      <c r="F77" s="230"/>
      <c r="G77" s="227"/>
    </row>
    <row r="78" spans="1:7" ht="26.1" customHeight="1">
      <c r="A78" s="227"/>
      <c r="B78" s="227"/>
      <c r="C78" s="227"/>
      <c r="D78" s="228"/>
      <c r="E78" s="229"/>
      <c r="F78" s="230"/>
      <c r="G78" s="227"/>
    </row>
    <row r="79" spans="1:7" ht="26.1" customHeight="1">
      <c r="A79" s="227"/>
      <c r="B79" s="227"/>
      <c r="C79" s="227"/>
      <c r="D79" s="228"/>
      <c r="E79" s="229"/>
      <c r="F79" s="230"/>
      <c r="G79" s="227"/>
    </row>
    <row r="80" spans="1:7" ht="26.1" customHeight="1">
      <c r="A80" s="227"/>
      <c r="B80" s="227"/>
      <c r="C80" s="227"/>
      <c r="D80" s="228"/>
      <c r="E80" s="229"/>
      <c r="F80" s="230"/>
      <c r="G80" s="227"/>
    </row>
    <row r="81" spans="1:7" ht="26.1" customHeight="1">
      <c r="A81" s="227"/>
      <c r="B81" s="227"/>
      <c r="C81" s="227"/>
      <c r="D81" s="228"/>
      <c r="E81" s="229"/>
      <c r="F81" s="230"/>
      <c r="G81" s="227"/>
    </row>
    <row r="82" spans="1:7" ht="26.1" customHeight="1">
      <c r="A82" s="227"/>
      <c r="B82" s="227"/>
      <c r="C82" s="227"/>
      <c r="D82" s="228"/>
      <c r="E82" s="229"/>
      <c r="F82" s="230"/>
      <c r="G82" s="227"/>
    </row>
    <row r="83" spans="1:7" ht="26.1" customHeight="1">
      <c r="A83" s="227"/>
      <c r="B83" s="227"/>
      <c r="C83" s="227"/>
      <c r="D83" s="228"/>
      <c r="E83" s="229"/>
      <c r="F83" s="230"/>
      <c r="G83" s="227"/>
    </row>
    <row r="84" spans="1:7" ht="26.1" customHeight="1">
      <c r="A84" s="227"/>
      <c r="B84" s="227"/>
      <c r="C84" s="227"/>
      <c r="D84" s="228"/>
      <c r="E84" s="229"/>
      <c r="F84" s="230"/>
      <c r="G84" s="227"/>
    </row>
    <row r="85" spans="1:7" ht="26.1" customHeight="1">
      <c r="A85" s="227"/>
      <c r="B85" s="227"/>
      <c r="C85" s="227"/>
      <c r="D85" s="228"/>
      <c r="E85" s="229"/>
      <c r="F85" s="230"/>
      <c r="G85" s="227"/>
    </row>
    <row r="86" spans="1:7" ht="26.1" customHeight="1">
      <c r="A86" s="227"/>
      <c r="B86" s="227"/>
      <c r="C86" s="227"/>
      <c r="D86" s="228"/>
      <c r="E86" s="229"/>
      <c r="F86" s="230"/>
      <c r="G86" s="227"/>
    </row>
    <row r="87" spans="1:7" ht="26.1" customHeight="1">
      <c r="A87" s="227"/>
      <c r="B87" s="227"/>
      <c r="C87" s="227"/>
      <c r="D87" s="228"/>
      <c r="E87" s="229"/>
      <c r="F87" s="230"/>
      <c r="G87" s="227"/>
    </row>
    <row r="88" spans="1:7" ht="26.1" customHeight="1">
      <c r="A88" s="227"/>
      <c r="B88" s="227"/>
      <c r="C88" s="227"/>
      <c r="D88" s="228"/>
      <c r="E88" s="229"/>
      <c r="F88" s="230"/>
      <c r="G88" s="227"/>
    </row>
    <row r="89" spans="1:7" ht="26.1" customHeight="1">
      <c r="A89" s="227"/>
      <c r="B89" s="227"/>
      <c r="C89" s="227"/>
      <c r="D89" s="228"/>
      <c r="E89" s="229"/>
      <c r="F89" s="230"/>
      <c r="G89" s="227"/>
    </row>
    <row r="90" spans="1:7" ht="26.1" customHeight="1">
      <c r="A90" s="227"/>
      <c r="B90" s="227"/>
      <c r="C90" s="227"/>
      <c r="D90" s="228"/>
      <c r="E90" s="229"/>
      <c r="F90" s="230"/>
      <c r="G90" s="227"/>
    </row>
    <row r="91" spans="1:7" ht="26.1" customHeight="1">
      <c r="A91" s="227"/>
      <c r="B91" s="227"/>
      <c r="C91" s="227"/>
      <c r="D91" s="228"/>
      <c r="E91" s="229"/>
      <c r="F91" s="230"/>
      <c r="G91" s="227"/>
    </row>
    <row r="92" spans="1:7" ht="26.1" customHeight="1">
      <c r="A92" s="227"/>
      <c r="B92" s="227"/>
      <c r="C92" s="227"/>
      <c r="D92" s="228"/>
      <c r="E92" s="229"/>
      <c r="F92" s="230"/>
      <c r="G92" s="227"/>
    </row>
    <row r="93" spans="1:7" ht="26.1" customHeight="1">
      <c r="A93" s="227"/>
      <c r="B93" s="227"/>
      <c r="C93" s="227"/>
      <c r="D93" s="228"/>
      <c r="E93" s="229"/>
      <c r="F93" s="230"/>
      <c r="G93" s="227"/>
    </row>
    <row r="94" spans="1:7" ht="26.1" customHeight="1">
      <c r="A94" s="227"/>
      <c r="B94" s="227"/>
      <c r="C94" s="227"/>
      <c r="D94" s="228"/>
      <c r="E94" s="229"/>
      <c r="F94" s="230"/>
      <c r="G94" s="227"/>
    </row>
    <row r="95" spans="1:7" ht="26.1" customHeight="1">
      <c r="A95" s="227"/>
      <c r="B95" s="227"/>
      <c r="C95" s="227"/>
      <c r="D95" s="228"/>
      <c r="E95" s="229"/>
      <c r="F95" s="230"/>
      <c r="G95" s="227"/>
    </row>
    <row r="96" spans="1:7" ht="26.1" customHeight="1">
      <c r="A96" s="227"/>
      <c r="B96" s="227"/>
      <c r="C96" s="227"/>
      <c r="D96" s="228"/>
      <c r="E96" s="229"/>
      <c r="F96" s="230"/>
      <c r="G96" s="227"/>
    </row>
    <row r="97" spans="1:7" ht="26.1" customHeight="1">
      <c r="A97" s="227"/>
      <c r="B97" s="227"/>
      <c r="C97" s="227"/>
      <c r="D97" s="228"/>
      <c r="E97" s="229"/>
      <c r="F97" s="230"/>
      <c r="G97" s="227"/>
    </row>
    <row r="98" spans="1:7" ht="26.1" customHeight="1">
      <c r="A98" s="227"/>
      <c r="B98" s="227"/>
      <c r="C98" s="227"/>
      <c r="D98" s="228"/>
      <c r="E98" s="229"/>
      <c r="F98" s="230"/>
      <c r="G98" s="227"/>
    </row>
    <row r="99" spans="1:7" ht="26.1" customHeight="1">
      <c r="A99" s="227"/>
      <c r="B99" s="227"/>
      <c r="C99" s="227"/>
      <c r="D99" s="228"/>
      <c r="E99" s="229"/>
      <c r="F99" s="230"/>
      <c r="G99" s="227"/>
    </row>
    <row r="100" spans="1:7" ht="26.1" customHeight="1">
      <c r="A100" s="227"/>
      <c r="B100" s="227"/>
      <c r="C100" s="227"/>
      <c r="D100" s="228"/>
      <c r="E100" s="229"/>
      <c r="F100" s="230"/>
      <c r="G100" s="227"/>
    </row>
    <row r="101" spans="1:7" ht="26.1" customHeight="1">
      <c r="A101" s="227"/>
      <c r="B101" s="227"/>
      <c r="C101" s="227"/>
      <c r="D101" s="228"/>
      <c r="E101" s="229"/>
      <c r="F101" s="230"/>
      <c r="G101" s="227"/>
    </row>
    <row r="102" spans="1:7" ht="26.1" customHeight="1">
      <c r="A102" s="227"/>
      <c r="B102" s="227"/>
      <c r="C102" s="227"/>
      <c r="D102" s="228"/>
      <c r="E102" s="229"/>
      <c r="F102" s="230"/>
      <c r="G102" s="227"/>
    </row>
    <row r="103" spans="1:7" ht="26.1" customHeight="1">
      <c r="A103" s="227"/>
      <c r="B103" s="227"/>
      <c r="C103" s="227"/>
      <c r="D103" s="228"/>
      <c r="E103" s="229"/>
      <c r="F103" s="230"/>
      <c r="G103" s="227"/>
    </row>
    <row r="104" spans="1:7" ht="26.1" customHeight="1">
      <c r="A104" s="227"/>
      <c r="B104" s="227"/>
      <c r="C104" s="227"/>
      <c r="D104" s="228"/>
      <c r="E104" s="229"/>
      <c r="F104" s="230"/>
      <c r="G104" s="227"/>
    </row>
    <row r="105" spans="1:7" ht="26.1" customHeight="1">
      <c r="A105" s="227"/>
      <c r="B105" s="227"/>
      <c r="C105" s="227"/>
      <c r="D105" s="228"/>
      <c r="E105" s="229"/>
      <c r="F105" s="230"/>
      <c r="G105" s="227"/>
    </row>
    <row r="106" spans="1:7" ht="26.1" customHeight="1">
      <c r="A106" s="227"/>
      <c r="B106" s="227"/>
      <c r="C106" s="227"/>
      <c r="D106" s="228"/>
      <c r="E106" s="229"/>
      <c r="F106" s="230"/>
      <c r="G106" s="227"/>
    </row>
    <row r="107" spans="1:7" ht="26.1" customHeight="1">
      <c r="A107" s="227"/>
      <c r="B107" s="227"/>
      <c r="C107" s="227"/>
      <c r="D107" s="228"/>
      <c r="E107" s="229"/>
      <c r="F107" s="230"/>
      <c r="G107" s="227"/>
    </row>
    <row r="108" spans="1:7" ht="26.1" customHeight="1">
      <c r="A108" s="227"/>
      <c r="B108" s="227"/>
      <c r="C108" s="227"/>
      <c r="D108" s="228"/>
      <c r="E108" s="229"/>
      <c r="F108" s="230"/>
      <c r="G108" s="227"/>
    </row>
    <row r="109" spans="1:7" ht="26.1" customHeight="1">
      <c r="A109" s="227"/>
      <c r="B109" s="227"/>
      <c r="C109" s="227"/>
      <c r="D109" s="228"/>
      <c r="E109" s="229"/>
      <c r="F109" s="230"/>
      <c r="G109" s="227"/>
    </row>
    <row r="110" spans="1:7" ht="26.1" customHeight="1">
      <c r="A110" s="227"/>
      <c r="B110" s="227"/>
      <c r="C110" s="227"/>
      <c r="D110" s="228"/>
      <c r="E110" s="229"/>
      <c r="F110" s="230"/>
      <c r="G110" s="227"/>
    </row>
    <row r="111" spans="1:7" ht="26.1" customHeight="1">
      <c r="A111" s="227"/>
      <c r="B111" s="227"/>
      <c r="C111" s="227"/>
      <c r="D111" s="228"/>
      <c r="E111" s="229"/>
      <c r="F111" s="230"/>
      <c r="G111" s="227"/>
    </row>
    <row r="112" spans="1:7" ht="26.1" customHeight="1">
      <c r="A112" s="227"/>
      <c r="B112" s="227"/>
      <c r="C112" s="227"/>
      <c r="D112" s="228"/>
      <c r="E112" s="229"/>
      <c r="F112" s="230"/>
      <c r="G112" s="227"/>
    </row>
    <row r="113" spans="1:7" ht="26.1" customHeight="1">
      <c r="A113" s="227"/>
      <c r="B113" s="227"/>
      <c r="C113" s="227"/>
      <c r="D113" s="228"/>
      <c r="E113" s="229"/>
      <c r="F113" s="230"/>
      <c r="G113" s="227"/>
    </row>
    <row r="114" spans="1:7" ht="26.1" customHeight="1">
      <c r="A114" s="227"/>
      <c r="B114" s="227"/>
      <c r="C114" s="227"/>
      <c r="D114" s="228"/>
      <c r="E114" s="229"/>
      <c r="F114" s="230"/>
      <c r="G114" s="227"/>
    </row>
    <row r="115" spans="1:7" ht="26.1" customHeight="1">
      <c r="A115" s="227"/>
      <c r="B115" s="227"/>
      <c r="C115" s="227"/>
      <c r="D115" s="228"/>
      <c r="E115" s="229"/>
      <c r="F115" s="230"/>
      <c r="G115" s="227"/>
    </row>
    <row r="116" spans="1:7" ht="26.1" customHeight="1">
      <c r="A116" s="227"/>
      <c r="B116" s="227"/>
      <c r="C116" s="227"/>
      <c r="D116" s="228"/>
      <c r="E116" s="229"/>
      <c r="F116" s="230"/>
      <c r="G116" s="227"/>
    </row>
    <row r="117" spans="1:7" ht="26.1" customHeight="1">
      <c r="A117" s="227"/>
      <c r="B117" s="227"/>
      <c r="C117" s="227"/>
      <c r="D117" s="228"/>
      <c r="E117" s="229"/>
      <c r="F117" s="230"/>
      <c r="G117" s="227"/>
    </row>
    <row r="118" spans="1:7" ht="26.1" customHeight="1">
      <c r="A118" s="227"/>
      <c r="B118" s="227"/>
      <c r="C118" s="227"/>
      <c r="D118" s="228"/>
      <c r="E118" s="229"/>
      <c r="F118" s="230"/>
      <c r="G118" s="227"/>
    </row>
    <row r="119" spans="1:7" ht="26.1" customHeight="1">
      <c r="A119" s="227"/>
      <c r="B119" s="227"/>
      <c r="C119" s="227"/>
      <c r="D119" s="228"/>
      <c r="E119" s="229"/>
      <c r="F119" s="230"/>
      <c r="G119" s="227"/>
    </row>
    <row r="120" spans="1:7" ht="26.1" customHeight="1">
      <c r="A120" s="227"/>
      <c r="B120" s="227"/>
      <c r="C120" s="227"/>
      <c r="D120" s="228"/>
      <c r="E120" s="229"/>
      <c r="F120" s="230"/>
      <c r="G120" s="227"/>
    </row>
    <row r="121" spans="1:7" ht="26.1" customHeight="1">
      <c r="A121" s="227"/>
      <c r="B121" s="227"/>
      <c r="C121" s="227"/>
      <c r="D121" s="228"/>
      <c r="E121" s="229"/>
      <c r="F121" s="230"/>
      <c r="G121" s="227"/>
    </row>
    <row r="122" spans="1:7" ht="26.1" customHeight="1">
      <c r="A122" s="227"/>
      <c r="B122" s="227"/>
      <c r="C122" s="227"/>
      <c r="D122" s="228"/>
      <c r="E122" s="229"/>
      <c r="F122" s="230"/>
      <c r="G122" s="227"/>
    </row>
    <row r="123" spans="1:7" ht="26.1" customHeight="1">
      <c r="A123" s="227"/>
      <c r="B123" s="227"/>
      <c r="C123" s="227"/>
      <c r="D123" s="228"/>
      <c r="E123" s="229"/>
      <c r="F123" s="230"/>
      <c r="G123" s="227"/>
    </row>
    <row r="124" spans="1:7" ht="26.1" customHeight="1">
      <c r="A124" s="227"/>
      <c r="B124" s="227"/>
      <c r="C124" s="227"/>
      <c r="D124" s="228"/>
      <c r="E124" s="229"/>
      <c r="F124" s="230"/>
      <c r="G124" s="227"/>
    </row>
    <row r="125" spans="1:7" ht="26.1" customHeight="1">
      <c r="A125" s="227"/>
      <c r="B125" s="227"/>
      <c r="C125" s="227"/>
      <c r="D125" s="228"/>
      <c r="E125" s="229"/>
      <c r="F125" s="230"/>
      <c r="G125" s="227"/>
    </row>
    <row r="126" spans="1:7" ht="26.1" customHeight="1">
      <c r="A126" s="227"/>
      <c r="B126" s="227"/>
      <c r="C126" s="227"/>
      <c r="D126" s="228"/>
      <c r="E126" s="229"/>
      <c r="F126" s="230"/>
      <c r="G126" s="227"/>
    </row>
    <row r="127" spans="1:7" ht="26.1" customHeight="1">
      <c r="A127" s="227"/>
      <c r="B127" s="227"/>
      <c r="C127" s="227"/>
      <c r="D127" s="228"/>
      <c r="E127" s="229"/>
      <c r="F127" s="230"/>
      <c r="G127" s="227"/>
    </row>
    <row r="128" spans="1:7" ht="26.1" customHeight="1">
      <c r="A128" s="227"/>
      <c r="B128" s="227"/>
      <c r="C128" s="227"/>
      <c r="D128" s="228"/>
      <c r="E128" s="229"/>
      <c r="F128" s="230"/>
      <c r="G128" s="227"/>
    </row>
    <row r="129" spans="1:7" ht="26.1" customHeight="1">
      <c r="A129" s="227"/>
      <c r="B129" s="227"/>
      <c r="C129" s="227"/>
      <c r="D129" s="228"/>
      <c r="E129" s="229"/>
      <c r="F129" s="230"/>
      <c r="G129" s="227"/>
    </row>
    <row r="130" spans="1:7" ht="26.1" customHeight="1">
      <c r="A130" s="227"/>
      <c r="B130" s="227"/>
      <c r="C130" s="227"/>
      <c r="D130" s="228"/>
      <c r="E130" s="229"/>
      <c r="F130" s="230"/>
      <c r="G130" s="227"/>
    </row>
    <row r="131" spans="1:7" ht="26.1" customHeight="1">
      <c r="A131" s="227"/>
      <c r="B131" s="227"/>
      <c r="C131" s="227"/>
      <c r="D131" s="228"/>
      <c r="E131" s="229"/>
      <c r="F131" s="230"/>
      <c r="G131" s="227"/>
    </row>
    <row r="132" spans="1:7" ht="26.1" customHeight="1">
      <c r="A132" s="227"/>
      <c r="B132" s="227"/>
      <c r="C132" s="227"/>
      <c r="D132" s="228"/>
      <c r="E132" s="229"/>
      <c r="F132" s="230"/>
      <c r="G132" s="227"/>
    </row>
    <row r="133" spans="1:7" ht="26.1" customHeight="1">
      <c r="A133" s="227"/>
      <c r="B133" s="227"/>
      <c r="C133" s="227"/>
      <c r="D133" s="228"/>
      <c r="E133" s="229"/>
      <c r="F133" s="230"/>
      <c r="G133" s="227"/>
    </row>
    <row r="134" spans="1:7" ht="26.1" customHeight="1">
      <c r="A134" s="227"/>
      <c r="B134" s="227"/>
      <c r="C134" s="227"/>
      <c r="D134" s="228"/>
      <c r="E134" s="229"/>
      <c r="F134" s="230"/>
      <c r="G134" s="227"/>
    </row>
    <row r="135" spans="1:7" ht="26.1" customHeight="1">
      <c r="A135" s="227"/>
      <c r="B135" s="227"/>
      <c r="C135" s="227"/>
      <c r="D135" s="228"/>
      <c r="E135" s="229"/>
      <c r="F135" s="230"/>
      <c r="G135" s="227"/>
    </row>
    <row r="136" spans="1:7" ht="26.1" customHeight="1">
      <c r="A136" s="227"/>
      <c r="B136" s="227"/>
      <c r="C136" s="227"/>
      <c r="D136" s="228"/>
      <c r="E136" s="229"/>
      <c r="F136" s="230"/>
      <c r="G136" s="227"/>
    </row>
    <row r="137" spans="1:7" ht="26.1" customHeight="1">
      <c r="A137" s="227"/>
      <c r="B137" s="227"/>
      <c r="C137" s="227"/>
      <c r="D137" s="228"/>
      <c r="E137" s="229"/>
      <c r="F137" s="230"/>
      <c r="G137" s="227"/>
    </row>
    <row r="138" spans="1:7" ht="26.1" customHeight="1">
      <c r="A138" s="227"/>
      <c r="B138" s="227"/>
      <c r="C138" s="227"/>
      <c r="D138" s="228"/>
      <c r="E138" s="229"/>
      <c r="F138" s="230"/>
      <c r="G138" s="227"/>
    </row>
    <row r="139" spans="1:7" ht="26.1" customHeight="1">
      <c r="A139" s="227"/>
      <c r="B139" s="227"/>
      <c r="C139" s="227"/>
      <c r="D139" s="228"/>
      <c r="E139" s="229"/>
      <c r="F139" s="230"/>
      <c r="G139" s="227"/>
    </row>
    <row r="140" spans="1:7" ht="26.1" customHeight="1">
      <c r="A140" s="227"/>
      <c r="B140" s="227"/>
      <c r="C140" s="227"/>
      <c r="D140" s="228"/>
      <c r="E140" s="229"/>
      <c r="F140" s="230"/>
      <c r="G140" s="227"/>
    </row>
    <row r="141" spans="1:7" ht="26.1" customHeight="1">
      <c r="A141" s="227"/>
      <c r="B141" s="227"/>
      <c r="C141" s="227"/>
      <c r="D141" s="228"/>
      <c r="E141" s="229"/>
      <c r="F141" s="230"/>
      <c r="G141" s="227"/>
    </row>
    <row r="142" spans="1:7" ht="26.1" customHeight="1">
      <c r="A142" s="227"/>
      <c r="B142" s="227"/>
      <c r="C142" s="227"/>
      <c r="D142" s="228"/>
      <c r="E142" s="229"/>
      <c r="F142" s="230"/>
      <c r="G142" s="227"/>
    </row>
    <row r="143" spans="1:7" ht="26.1" customHeight="1">
      <c r="A143" s="227"/>
      <c r="B143" s="227"/>
      <c r="C143" s="227"/>
      <c r="D143" s="228"/>
      <c r="E143" s="229"/>
      <c r="F143" s="230"/>
      <c r="G143" s="227"/>
    </row>
    <row r="144" spans="1:7" ht="26.1" customHeight="1">
      <c r="A144" s="227"/>
      <c r="B144" s="227"/>
      <c r="C144" s="227"/>
      <c r="D144" s="228"/>
      <c r="E144" s="229"/>
      <c r="F144" s="230"/>
      <c r="G144" s="227"/>
    </row>
    <row r="145" spans="1:7" ht="26.1" customHeight="1">
      <c r="A145" s="227"/>
      <c r="B145" s="227"/>
      <c r="C145" s="227"/>
      <c r="D145" s="228"/>
      <c r="E145" s="229"/>
      <c r="F145" s="230"/>
      <c r="G145" s="227"/>
    </row>
    <row r="146" spans="1:7" ht="26.1" customHeight="1">
      <c r="A146" s="227"/>
      <c r="B146" s="227"/>
      <c r="C146" s="227"/>
      <c r="D146" s="228"/>
      <c r="E146" s="229"/>
      <c r="F146" s="230"/>
      <c r="G146" s="227"/>
    </row>
    <row r="147" spans="1:7" ht="26.1" customHeight="1">
      <c r="A147" s="227"/>
      <c r="B147" s="227"/>
      <c r="C147" s="227"/>
      <c r="D147" s="228"/>
      <c r="E147" s="229"/>
      <c r="F147" s="230"/>
      <c r="G147" s="227"/>
    </row>
    <row r="148" spans="1:7" ht="26.1" customHeight="1">
      <c r="A148" s="227"/>
      <c r="B148" s="227"/>
      <c r="C148" s="227"/>
      <c r="D148" s="228"/>
      <c r="E148" s="229"/>
      <c r="F148" s="230"/>
      <c r="G148" s="227"/>
    </row>
    <row r="149" spans="1:7" ht="26.1" customHeight="1">
      <c r="A149" s="227"/>
      <c r="B149" s="227"/>
      <c r="C149" s="227"/>
      <c r="D149" s="228"/>
      <c r="E149" s="229"/>
      <c r="F149" s="230"/>
      <c r="G149" s="227"/>
    </row>
    <row r="150" spans="1:7" ht="26.1" customHeight="1">
      <c r="A150" s="227"/>
      <c r="B150" s="227"/>
      <c r="C150" s="227"/>
      <c r="D150" s="228"/>
      <c r="E150" s="229"/>
      <c r="F150" s="230"/>
      <c r="G150" s="227"/>
    </row>
    <row r="151" spans="1:7" ht="26.1" customHeight="1">
      <c r="A151" s="227"/>
      <c r="B151" s="227"/>
      <c r="C151" s="227"/>
      <c r="D151" s="228"/>
      <c r="E151" s="229"/>
      <c r="F151" s="230"/>
      <c r="G151" s="227"/>
    </row>
    <row r="152" spans="1:7" ht="26.1" customHeight="1">
      <c r="A152" s="227"/>
      <c r="B152" s="227"/>
      <c r="C152" s="227"/>
      <c r="D152" s="228"/>
      <c r="E152" s="229"/>
      <c r="F152" s="230"/>
      <c r="G152" s="227"/>
    </row>
    <row r="153" spans="1:7" ht="26.1" customHeight="1">
      <c r="A153" s="227"/>
      <c r="B153" s="227"/>
      <c r="C153" s="227"/>
      <c r="D153" s="228"/>
      <c r="E153" s="229"/>
      <c r="F153" s="230"/>
      <c r="G153" s="227"/>
    </row>
    <row r="154" spans="1:7" ht="26.1" customHeight="1">
      <c r="A154" s="227"/>
      <c r="B154" s="227"/>
      <c r="C154" s="227"/>
      <c r="D154" s="228"/>
      <c r="E154" s="229"/>
      <c r="F154" s="230"/>
      <c r="G154" s="227"/>
    </row>
    <row r="155" spans="1:7" ht="26.1" customHeight="1">
      <c r="A155" s="227"/>
      <c r="B155" s="227"/>
      <c r="C155" s="227"/>
      <c r="D155" s="228"/>
      <c r="E155" s="229"/>
      <c r="F155" s="230"/>
      <c r="G155" s="227"/>
    </row>
    <row r="156" spans="1:7" ht="26.1" customHeight="1">
      <c r="A156" s="227"/>
      <c r="B156" s="227"/>
      <c r="C156" s="227"/>
      <c r="D156" s="228"/>
      <c r="E156" s="229"/>
      <c r="F156" s="230"/>
      <c r="G156" s="227"/>
    </row>
    <row r="157" spans="1:7" ht="26.1" customHeight="1">
      <c r="A157" s="227"/>
      <c r="B157" s="227"/>
      <c r="C157" s="227"/>
      <c r="D157" s="228"/>
      <c r="E157" s="229"/>
      <c r="F157" s="230"/>
      <c r="G157" s="227"/>
    </row>
    <row r="158" spans="1:7" ht="26.1" customHeight="1">
      <c r="A158" s="227"/>
      <c r="B158" s="227"/>
      <c r="C158" s="227"/>
      <c r="D158" s="228"/>
      <c r="E158" s="229"/>
      <c r="F158" s="230"/>
      <c r="G158" s="227"/>
    </row>
    <row r="159" spans="1:7" ht="26.1" customHeight="1">
      <c r="A159" s="227"/>
      <c r="B159" s="227"/>
      <c r="C159" s="227"/>
      <c r="D159" s="228"/>
      <c r="E159" s="229"/>
      <c r="F159" s="230"/>
      <c r="G159" s="227"/>
    </row>
    <row r="160" spans="1:7" ht="26.1" customHeight="1">
      <c r="A160" s="227"/>
      <c r="B160" s="227"/>
      <c r="C160" s="227"/>
      <c r="D160" s="228"/>
      <c r="E160" s="229"/>
      <c r="F160" s="230"/>
      <c r="G160" s="227"/>
    </row>
    <row r="161" spans="1:7" ht="26.1" customHeight="1">
      <c r="A161" s="227"/>
      <c r="B161" s="227"/>
      <c r="C161" s="227"/>
      <c r="D161" s="228"/>
      <c r="E161" s="229"/>
      <c r="F161" s="230"/>
      <c r="G161" s="227"/>
    </row>
    <row r="162" spans="1:7" ht="26.1" customHeight="1">
      <c r="A162" s="227"/>
      <c r="B162" s="227"/>
      <c r="C162" s="227"/>
      <c r="D162" s="228"/>
      <c r="E162" s="229"/>
      <c r="F162" s="230"/>
      <c r="G162" s="227"/>
    </row>
    <row r="163" spans="1:7" ht="26.1" customHeight="1">
      <c r="A163" s="227"/>
      <c r="B163" s="227"/>
      <c r="C163" s="227"/>
      <c r="D163" s="228"/>
      <c r="E163" s="229"/>
      <c r="F163" s="230"/>
      <c r="G163" s="227"/>
    </row>
    <row r="164" spans="1:7" ht="26.1" customHeight="1">
      <c r="A164" s="227"/>
      <c r="B164" s="227"/>
      <c r="C164" s="227"/>
      <c r="D164" s="228"/>
      <c r="E164" s="229"/>
      <c r="F164" s="230"/>
      <c r="G164" s="227"/>
    </row>
    <row r="165" spans="1:7" ht="26.1" customHeight="1">
      <c r="A165" s="227"/>
      <c r="B165" s="227"/>
      <c r="C165" s="227"/>
      <c r="D165" s="228"/>
      <c r="E165" s="229"/>
      <c r="F165" s="230"/>
      <c r="G165" s="227"/>
    </row>
    <row r="166" spans="1:7" ht="26.1" customHeight="1">
      <c r="A166" s="227"/>
      <c r="B166" s="227"/>
      <c r="C166" s="227"/>
      <c r="D166" s="228"/>
      <c r="E166" s="229"/>
      <c r="F166" s="230"/>
      <c r="G166" s="227"/>
    </row>
    <row r="167" spans="1:7" ht="26.1" customHeight="1">
      <c r="A167" s="227"/>
      <c r="B167" s="227"/>
      <c r="C167" s="227"/>
      <c r="D167" s="228"/>
      <c r="E167" s="229"/>
      <c r="F167" s="230"/>
      <c r="G167" s="227"/>
    </row>
    <row r="168" spans="1:7" ht="26.1" customHeight="1">
      <c r="A168" s="227"/>
      <c r="B168" s="227"/>
      <c r="C168" s="227"/>
      <c r="D168" s="228"/>
      <c r="E168" s="229"/>
      <c r="F168" s="230"/>
      <c r="G168" s="227"/>
    </row>
    <row r="169" spans="1:7" ht="26.1" customHeight="1">
      <c r="A169" s="227"/>
      <c r="B169" s="227"/>
      <c r="C169" s="227"/>
      <c r="D169" s="228"/>
      <c r="E169" s="229"/>
      <c r="F169" s="230"/>
      <c r="G169" s="227"/>
    </row>
    <row r="170" spans="1:7" ht="26.1" customHeight="1">
      <c r="A170" s="227"/>
      <c r="B170" s="227"/>
      <c r="C170" s="227"/>
      <c r="D170" s="228"/>
      <c r="E170" s="229"/>
      <c r="F170" s="230"/>
      <c r="G170" s="227"/>
    </row>
    <row r="171" spans="1:7" ht="26.1" customHeight="1">
      <c r="A171" s="227"/>
      <c r="B171" s="227"/>
      <c r="C171" s="227"/>
      <c r="D171" s="228"/>
      <c r="E171" s="229"/>
      <c r="F171" s="230"/>
      <c r="G171" s="227"/>
    </row>
    <row r="172" spans="1:7" ht="26.1" customHeight="1">
      <c r="A172" s="227"/>
      <c r="B172" s="227"/>
      <c r="C172" s="227"/>
      <c r="D172" s="228"/>
      <c r="E172" s="229"/>
      <c r="F172" s="230"/>
      <c r="G172" s="227"/>
    </row>
    <row r="173" spans="1:7" ht="26.1" customHeight="1">
      <c r="A173" s="227"/>
      <c r="B173" s="227"/>
      <c r="C173" s="227"/>
      <c r="D173" s="228"/>
      <c r="E173" s="229"/>
      <c r="F173" s="230"/>
      <c r="G173" s="227"/>
    </row>
    <row r="174" spans="1:7" ht="26.1" customHeight="1">
      <c r="A174" s="227"/>
      <c r="B174" s="227"/>
      <c r="C174" s="227"/>
      <c r="D174" s="228"/>
      <c r="E174" s="229"/>
      <c r="F174" s="230"/>
      <c r="G174" s="227"/>
    </row>
    <row r="175" spans="1:7" ht="26.1" customHeight="1">
      <c r="A175" s="227"/>
      <c r="B175" s="227"/>
      <c r="C175" s="227"/>
      <c r="D175" s="228"/>
      <c r="E175" s="229"/>
      <c r="F175" s="230"/>
      <c r="G175" s="227"/>
    </row>
    <row r="176" spans="1:7" ht="26.1" customHeight="1">
      <c r="A176" s="227"/>
      <c r="B176" s="227"/>
      <c r="C176" s="227"/>
      <c r="D176" s="228"/>
      <c r="E176" s="229"/>
      <c r="F176" s="230"/>
      <c r="G176" s="227"/>
    </row>
    <row r="177" spans="1:7" ht="26.1" customHeight="1">
      <c r="A177" s="227"/>
      <c r="B177" s="227"/>
      <c r="C177" s="227"/>
      <c r="D177" s="228"/>
      <c r="E177" s="229"/>
      <c r="F177" s="230"/>
      <c r="G177" s="227"/>
    </row>
    <row r="178" spans="1:7" ht="26.1" customHeight="1">
      <c r="A178" s="227"/>
      <c r="B178" s="227"/>
      <c r="C178" s="227"/>
      <c r="D178" s="228"/>
      <c r="E178" s="229"/>
      <c r="F178" s="230"/>
      <c r="G178" s="227"/>
    </row>
    <row r="179" spans="1:7" ht="26.1" customHeight="1">
      <c r="A179" s="227"/>
      <c r="B179" s="227"/>
      <c r="C179" s="227"/>
      <c r="D179" s="228"/>
      <c r="E179" s="229"/>
      <c r="F179" s="230"/>
      <c r="G179" s="227"/>
    </row>
    <row r="180" spans="1:7" ht="26.1" customHeight="1">
      <c r="A180" s="227"/>
      <c r="B180" s="227"/>
      <c r="C180" s="227"/>
      <c r="D180" s="228"/>
      <c r="E180" s="229"/>
      <c r="F180" s="230"/>
      <c r="G180" s="227"/>
    </row>
    <row r="181" spans="1:7" ht="26.1" customHeight="1">
      <c r="A181" s="227"/>
      <c r="B181" s="227"/>
      <c r="C181" s="227"/>
      <c r="D181" s="228"/>
      <c r="E181" s="229"/>
      <c r="F181" s="230"/>
      <c r="G181" s="227"/>
    </row>
    <row r="182" spans="1:7" ht="26.1" customHeight="1">
      <c r="A182" s="227"/>
      <c r="B182" s="227"/>
      <c r="C182" s="227"/>
      <c r="D182" s="228"/>
      <c r="E182" s="229"/>
      <c r="F182" s="230"/>
      <c r="G182" s="227"/>
    </row>
    <row r="183" spans="1:7" ht="26.1" customHeight="1">
      <c r="A183" s="227"/>
      <c r="B183" s="227"/>
      <c r="C183" s="227"/>
      <c r="D183" s="228"/>
      <c r="E183" s="229"/>
      <c r="F183" s="230"/>
      <c r="G183" s="227"/>
    </row>
    <row r="184" spans="1:7" ht="26.1" customHeight="1">
      <c r="A184" s="227"/>
      <c r="B184" s="227"/>
      <c r="C184" s="227"/>
      <c r="D184" s="228"/>
      <c r="E184" s="229"/>
      <c r="F184" s="230"/>
      <c r="G184" s="227"/>
    </row>
    <row r="185" spans="1:7" ht="26.1" customHeight="1">
      <c r="A185" s="227"/>
      <c r="B185" s="227"/>
      <c r="C185" s="227"/>
      <c r="D185" s="228"/>
      <c r="E185" s="229"/>
      <c r="F185" s="230"/>
      <c r="G185" s="227"/>
    </row>
    <row r="186" spans="1:7" ht="26.1" customHeight="1">
      <c r="A186" s="227"/>
      <c r="B186" s="227"/>
      <c r="C186" s="227"/>
      <c r="D186" s="228"/>
      <c r="E186" s="229"/>
      <c r="F186" s="230"/>
      <c r="G186" s="227"/>
    </row>
    <row r="187" spans="1:7" ht="26.1" customHeight="1">
      <c r="A187" s="227"/>
      <c r="B187" s="227"/>
      <c r="C187" s="227"/>
      <c r="D187" s="228"/>
      <c r="E187" s="229"/>
      <c r="F187" s="230"/>
      <c r="G187" s="227"/>
    </row>
    <row r="188" spans="1:7" ht="26.1" customHeight="1">
      <c r="A188" s="227"/>
      <c r="B188" s="227"/>
      <c r="C188" s="227"/>
      <c r="D188" s="228"/>
      <c r="E188" s="229"/>
      <c r="F188" s="230"/>
      <c r="G188" s="227"/>
    </row>
    <row r="189" spans="1:7" ht="26.1" customHeight="1">
      <c r="A189" s="227"/>
      <c r="B189" s="227"/>
      <c r="C189" s="227"/>
      <c r="D189" s="228"/>
      <c r="E189" s="229"/>
      <c r="F189" s="230"/>
      <c r="G189" s="227"/>
    </row>
    <row r="190" spans="1:7" ht="26.1" customHeight="1">
      <c r="A190" s="227"/>
      <c r="B190" s="227"/>
      <c r="C190" s="227"/>
      <c r="D190" s="228"/>
      <c r="E190" s="229"/>
      <c r="F190" s="230"/>
      <c r="G190" s="227"/>
    </row>
    <row r="191" spans="1:7" ht="26.1" customHeight="1">
      <c r="A191" s="227"/>
      <c r="B191" s="227"/>
      <c r="C191" s="227"/>
      <c r="D191" s="228"/>
      <c r="E191" s="229"/>
      <c r="F191" s="230"/>
      <c r="G191" s="227"/>
    </row>
    <row r="192" spans="1:7" ht="26.1" customHeight="1">
      <c r="A192" s="227"/>
      <c r="B192" s="227"/>
      <c r="C192" s="227"/>
      <c r="D192" s="228"/>
      <c r="E192" s="229"/>
      <c r="F192" s="230"/>
      <c r="G192" s="227"/>
    </row>
    <row r="193" spans="1:7" ht="26.1" customHeight="1">
      <c r="A193" s="227"/>
      <c r="B193" s="227"/>
      <c r="C193" s="227"/>
      <c r="D193" s="228"/>
      <c r="E193" s="229"/>
      <c r="F193" s="230"/>
      <c r="G193" s="227"/>
    </row>
    <row r="194" spans="1:7" ht="26.1" customHeight="1">
      <c r="A194" s="227"/>
      <c r="B194" s="227"/>
      <c r="C194" s="227"/>
      <c r="D194" s="228"/>
      <c r="E194" s="229"/>
      <c r="F194" s="230"/>
      <c r="G194" s="227"/>
    </row>
    <row r="195" spans="1:7" ht="26.1" customHeight="1">
      <c r="A195" s="227"/>
      <c r="B195" s="227"/>
      <c r="C195" s="227"/>
      <c r="D195" s="228"/>
      <c r="E195" s="229"/>
      <c r="F195" s="230"/>
      <c r="G195" s="227"/>
    </row>
    <row r="196" spans="1:7" ht="26.1" customHeight="1">
      <c r="A196" s="227"/>
      <c r="B196" s="227"/>
      <c r="C196" s="227"/>
      <c r="D196" s="228"/>
      <c r="E196" s="229"/>
      <c r="F196" s="230"/>
      <c r="G196" s="227"/>
    </row>
    <row r="197" spans="1:7" ht="26.1" customHeight="1">
      <c r="A197" s="227"/>
      <c r="B197" s="227"/>
      <c r="C197" s="227"/>
      <c r="D197" s="228"/>
      <c r="E197" s="229"/>
      <c r="F197" s="230"/>
      <c r="G197" s="227"/>
    </row>
    <row r="198" spans="1:7" ht="26.1" customHeight="1">
      <c r="A198" s="227"/>
      <c r="B198" s="227"/>
      <c r="C198" s="227"/>
      <c r="D198" s="228"/>
      <c r="E198" s="229"/>
      <c r="F198" s="230"/>
      <c r="G198" s="227"/>
    </row>
    <row r="199" spans="1:7" ht="26.1" customHeight="1">
      <c r="A199" s="227"/>
      <c r="B199" s="227"/>
      <c r="C199" s="227"/>
      <c r="D199" s="228"/>
      <c r="E199" s="229"/>
      <c r="F199" s="230"/>
      <c r="G199" s="227"/>
    </row>
    <row r="200" spans="1:7" ht="26.1" customHeight="1">
      <c r="A200" s="227"/>
      <c r="B200" s="227"/>
      <c r="C200" s="227"/>
      <c r="D200" s="228"/>
      <c r="E200" s="229"/>
      <c r="F200" s="230"/>
      <c r="G200" s="227"/>
    </row>
    <row r="201" spans="1:7" ht="26.1" customHeight="1">
      <c r="A201" s="227"/>
      <c r="B201" s="227"/>
      <c r="C201" s="227"/>
      <c r="D201" s="228"/>
      <c r="E201" s="229"/>
      <c r="F201" s="230"/>
      <c r="G201" s="227"/>
    </row>
    <row r="202" spans="1:7" ht="26.1" customHeight="1">
      <c r="A202" s="227"/>
      <c r="B202" s="227"/>
      <c r="C202" s="227"/>
      <c r="D202" s="228"/>
      <c r="E202" s="229"/>
      <c r="F202" s="230"/>
      <c r="G202" s="227"/>
    </row>
    <row r="203" spans="1:7" ht="26.1" customHeight="1">
      <c r="A203" s="227"/>
      <c r="B203" s="227"/>
      <c r="C203" s="227"/>
      <c r="D203" s="228"/>
      <c r="E203" s="229"/>
      <c r="F203" s="230"/>
      <c r="G203" s="227"/>
    </row>
    <row r="204" spans="1:7" ht="26.1" customHeight="1">
      <c r="A204" s="227"/>
      <c r="B204" s="227"/>
      <c r="C204" s="227"/>
      <c r="D204" s="228"/>
      <c r="E204" s="229"/>
      <c r="F204" s="230"/>
      <c r="G204" s="227"/>
    </row>
    <row r="205" spans="1:7" ht="26.1" customHeight="1">
      <c r="A205" s="227"/>
      <c r="B205" s="227"/>
      <c r="C205" s="227"/>
      <c r="D205" s="228"/>
      <c r="E205" s="229"/>
      <c r="F205" s="230"/>
      <c r="G205" s="227"/>
    </row>
    <row r="206" spans="1:7" ht="26.1" customHeight="1">
      <c r="A206" s="227"/>
      <c r="B206" s="227"/>
      <c r="C206" s="227"/>
      <c r="D206" s="228"/>
      <c r="E206" s="229"/>
      <c r="F206" s="230"/>
      <c r="G206" s="227"/>
    </row>
    <row r="207" spans="1:7" ht="26.1" customHeight="1">
      <c r="A207" s="227"/>
      <c r="B207" s="227"/>
      <c r="C207" s="227"/>
      <c r="D207" s="228"/>
      <c r="E207" s="229"/>
      <c r="F207" s="230"/>
      <c r="G207" s="227"/>
    </row>
    <row r="208" spans="1:7" ht="26.1" customHeight="1">
      <c r="A208" s="227"/>
      <c r="B208" s="227"/>
      <c r="C208" s="227"/>
      <c r="D208" s="228"/>
      <c r="E208" s="229"/>
      <c r="F208" s="230"/>
      <c r="G208" s="227"/>
    </row>
    <row r="209" spans="1:7" ht="26.1" customHeight="1">
      <c r="A209" s="227"/>
      <c r="B209" s="227"/>
      <c r="C209" s="227"/>
      <c r="D209" s="228"/>
      <c r="E209" s="229"/>
      <c r="F209" s="230"/>
      <c r="G209" s="227"/>
    </row>
    <row r="210" spans="1:7" ht="26.1" customHeight="1">
      <c r="A210" s="227"/>
      <c r="B210" s="227"/>
      <c r="C210" s="227"/>
      <c r="D210" s="228"/>
      <c r="E210" s="229"/>
      <c r="F210" s="230"/>
      <c r="G210" s="227"/>
    </row>
    <row r="211" spans="1:7" ht="26.1" customHeight="1">
      <c r="A211" s="227"/>
      <c r="B211" s="227"/>
      <c r="C211" s="227"/>
      <c r="D211" s="228"/>
      <c r="E211" s="229"/>
      <c r="F211" s="230"/>
      <c r="G211" s="227"/>
    </row>
    <row r="212" spans="1:7" ht="26.1" customHeight="1">
      <c r="A212" s="227"/>
      <c r="B212" s="227"/>
      <c r="C212" s="227"/>
      <c r="D212" s="228"/>
      <c r="E212" s="229"/>
      <c r="F212" s="230"/>
      <c r="G212" s="227"/>
    </row>
    <row r="213" spans="1:7" ht="26.1" customHeight="1">
      <c r="A213" s="227"/>
      <c r="B213" s="227"/>
      <c r="C213" s="227"/>
      <c r="D213" s="228"/>
      <c r="E213" s="229"/>
      <c r="F213" s="230"/>
      <c r="G213" s="227"/>
    </row>
    <row r="214" spans="1:7" ht="26.1" customHeight="1">
      <c r="A214" s="227"/>
      <c r="B214" s="227"/>
      <c r="C214" s="227"/>
      <c r="D214" s="228"/>
      <c r="E214" s="229"/>
      <c r="F214" s="230"/>
      <c r="G214" s="227"/>
    </row>
    <row r="215" spans="1:7" ht="26.1" customHeight="1">
      <c r="A215" s="227"/>
      <c r="B215" s="227"/>
      <c r="C215" s="227"/>
      <c r="D215" s="228"/>
      <c r="E215" s="229"/>
      <c r="F215" s="230"/>
      <c r="G215" s="227"/>
    </row>
    <row r="216" spans="1:7" ht="26.1" customHeight="1">
      <c r="A216" s="227"/>
      <c r="B216" s="227"/>
      <c r="C216" s="227"/>
      <c r="D216" s="228"/>
      <c r="E216" s="229"/>
      <c r="F216" s="230"/>
      <c r="G216" s="227"/>
    </row>
    <row r="217" spans="1:7" ht="26.1" customHeight="1">
      <c r="A217" s="227"/>
      <c r="B217" s="227"/>
      <c r="C217" s="227"/>
      <c r="D217" s="228"/>
      <c r="E217" s="229"/>
      <c r="F217" s="230"/>
      <c r="G217" s="227"/>
    </row>
    <row r="218" spans="1:7" ht="26.1" customHeight="1">
      <c r="A218" s="227"/>
      <c r="B218" s="227"/>
      <c r="C218" s="227"/>
      <c r="D218" s="228"/>
      <c r="E218" s="229"/>
      <c r="F218" s="230"/>
      <c r="G218" s="227"/>
    </row>
    <row r="219" spans="1:7" ht="26.1" customHeight="1">
      <c r="A219" s="227"/>
      <c r="B219" s="227"/>
      <c r="C219" s="227"/>
      <c r="D219" s="228"/>
      <c r="E219" s="229"/>
      <c r="F219" s="230"/>
      <c r="G219" s="227"/>
    </row>
    <row r="220" spans="1:7" ht="26.1" customHeight="1">
      <c r="A220" s="227"/>
      <c r="B220" s="227"/>
      <c r="C220" s="227"/>
      <c r="D220" s="228"/>
      <c r="E220" s="229"/>
      <c r="F220" s="230"/>
      <c r="G220" s="227"/>
    </row>
    <row r="221" spans="1:7" ht="26.1" customHeight="1">
      <c r="A221" s="227"/>
      <c r="B221" s="227"/>
      <c r="C221" s="227"/>
      <c r="D221" s="228"/>
      <c r="E221" s="229"/>
      <c r="F221" s="230"/>
      <c r="G221" s="227"/>
    </row>
    <row r="222" spans="1:7" ht="26.1" customHeight="1">
      <c r="A222" s="227"/>
      <c r="B222" s="227"/>
      <c r="C222" s="227"/>
      <c r="D222" s="228"/>
      <c r="E222" s="229"/>
      <c r="F222" s="230"/>
      <c r="G222" s="227"/>
    </row>
    <row r="223" spans="1:7" ht="26.1" customHeight="1">
      <c r="A223" s="227"/>
      <c r="B223" s="227"/>
      <c r="C223" s="227"/>
      <c r="D223" s="228"/>
      <c r="E223" s="229"/>
      <c r="F223" s="230"/>
      <c r="G223" s="227"/>
    </row>
    <row r="224" spans="1:7" ht="26.1" customHeight="1">
      <c r="A224" s="227"/>
      <c r="B224" s="227"/>
      <c r="C224" s="227"/>
      <c r="D224" s="228"/>
      <c r="E224" s="229"/>
      <c r="F224" s="230"/>
      <c r="G224" s="227"/>
    </row>
    <row r="225" spans="1:7" ht="26.1" customHeight="1">
      <c r="A225" s="227"/>
      <c r="B225" s="227"/>
      <c r="C225" s="227"/>
      <c r="D225" s="228"/>
      <c r="E225" s="229"/>
      <c r="F225" s="230"/>
      <c r="G225" s="227"/>
    </row>
    <row r="226" spans="1:7" ht="26.1" customHeight="1">
      <c r="A226" s="227"/>
      <c r="B226" s="227"/>
      <c r="C226" s="227"/>
      <c r="D226" s="228"/>
      <c r="E226" s="229"/>
      <c r="F226" s="230"/>
      <c r="G226" s="227"/>
    </row>
    <row r="227" spans="1:7" ht="26.1" customHeight="1">
      <c r="A227" s="227"/>
      <c r="B227" s="227"/>
      <c r="C227" s="227"/>
      <c r="D227" s="228"/>
      <c r="E227" s="229"/>
      <c r="F227" s="230"/>
      <c r="G227" s="227"/>
    </row>
    <row r="228" spans="1:7" ht="26.1" customHeight="1">
      <c r="A228" s="227"/>
      <c r="B228" s="227"/>
      <c r="C228" s="227"/>
      <c r="D228" s="228"/>
      <c r="E228" s="229"/>
      <c r="F228" s="230"/>
      <c r="G228" s="227"/>
    </row>
    <row r="229" spans="1:7" ht="26.1" customHeight="1">
      <c r="A229" s="227"/>
      <c r="B229" s="227"/>
      <c r="C229" s="227"/>
      <c r="D229" s="228"/>
      <c r="E229" s="229"/>
      <c r="F229" s="230"/>
      <c r="G229" s="227"/>
    </row>
    <row r="230" spans="1:7" ht="26.1" customHeight="1">
      <c r="A230" s="227"/>
      <c r="B230" s="227"/>
      <c r="C230" s="227"/>
      <c r="D230" s="228"/>
      <c r="E230" s="229"/>
      <c r="F230" s="230"/>
      <c r="G230" s="227"/>
    </row>
    <row r="231" spans="1:7" ht="26.1" customHeight="1">
      <c r="A231" s="227"/>
      <c r="B231" s="227"/>
      <c r="C231" s="227"/>
      <c r="D231" s="228"/>
      <c r="E231" s="229"/>
      <c r="F231" s="230"/>
      <c r="G231" s="227"/>
    </row>
    <row r="232" spans="1:7" ht="26.1" customHeight="1">
      <c r="A232" s="227"/>
      <c r="B232" s="227"/>
      <c r="C232" s="227"/>
      <c r="D232" s="228"/>
      <c r="E232" s="229"/>
      <c r="F232" s="230"/>
      <c r="G232" s="227"/>
    </row>
    <row r="233" spans="1:7" ht="26.1" customHeight="1">
      <c r="A233" s="227"/>
      <c r="B233" s="227"/>
      <c r="C233" s="227"/>
      <c r="D233" s="228"/>
      <c r="E233" s="229"/>
      <c r="F233" s="230"/>
      <c r="G233" s="227"/>
    </row>
    <row r="234" spans="1:7" ht="26.1" customHeight="1">
      <c r="A234" s="227"/>
      <c r="B234" s="227"/>
      <c r="C234" s="227"/>
      <c r="D234" s="228"/>
      <c r="E234" s="229"/>
      <c r="F234" s="230"/>
      <c r="G234" s="227"/>
    </row>
    <row r="235" spans="1:7" ht="26.1" customHeight="1">
      <c r="A235" s="227"/>
      <c r="B235" s="227"/>
      <c r="C235" s="227"/>
      <c r="D235" s="228"/>
      <c r="E235" s="229"/>
      <c r="F235" s="230"/>
      <c r="G235" s="227"/>
    </row>
    <row r="236" spans="1:7" ht="26.1" customHeight="1">
      <c r="A236" s="227"/>
      <c r="B236" s="227"/>
      <c r="C236" s="227"/>
      <c r="D236" s="228"/>
      <c r="E236" s="229"/>
      <c r="F236" s="230"/>
      <c r="G236" s="227"/>
    </row>
    <row r="237" spans="1:7" ht="26.1" customHeight="1">
      <c r="A237" s="227"/>
      <c r="B237" s="227"/>
      <c r="C237" s="227"/>
      <c r="D237" s="228"/>
      <c r="E237" s="229"/>
      <c r="F237" s="230"/>
      <c r="G237" s="227"/>
    </row>
    <row r="238" spans="1:7" ht="26.1" customHeight="1">
      <c r="A238" s="227"/>
      <c r="B238" s="227"/>
      <c r="C238" s="227"/>
      <c r="D238" s="228"/>
      <c r="E238" s="229"/>
      <c r="F238" s="230"/>
      <c r="G238" s="227"/>
    </row>
    <row r="239" spans="1:7" ht="26.1" customHeight="1">
      <c r="A239" s="227"/>
      <c r="B239" s="227"/>
      <c r="C239" s="227"/>
      <c r="D239" s="228"/>
      <c r="E239" s="229"/>
      <c r="F239" s="230"/>
      <c r="G239" s="227"/>
    </row>
    <row r="240" spans="1:7" ht="26.1" customHeight="1">
      <c r="A240" s="227"/>
      <c r="B240" s="227"/>
      <c r="C240" s="227"/>
      <c r="D240" s="228"/>
      <c r="E240" s="229"/>
      <c r="F240" s="230"/>
      <c r="G240" s="227"/>
    </row>
    <row r="241" spans="1:7" ht="26.1" customHeight="1">
      <c r="A241" s="227"/>
      <c r="B241" s="227"/>
      <c r="C241" s="227"/>
      <c r="D241" s="228"/>
      <c r="E241" s="229"/>
      <c r="F241" s="230"/>
      <c r="G241" s="227"/>
    </row>
    <row r="242" spans="1:7" ht="26.1" customHeight="1">
      <c r="A242" s="227"/>
      <c r="B242" s="227"/>
      <c r="C242" s="227"/>
      <c r="D242" s="228"/>
      <c r="E242" s="229"/>
      <c r="F242" s="230"/>
      <c r="G242" s="227"/>
    </row>
    <row r="243" spans="1:7" ht="26.1" customHeight="1">
      <c r="A243" s="227"/>
      <c r="B243" s="227"/>
      <c r="C243" s="227"/>
      <c r="D243" s="228"/>
      <c r="E243" s="229"/>
      <c r="F243" s="230"/>
      <c r="G243" s="227"/>
    </row>
    <row r="244" spans="1:7" ht="26.1" customHeight="1">
      <c r="A244" s="227"/>
      <c r="B244" s="227"/>
      <c r="C244" s="227"/>
      <c r="D244" s="228"/>
      <c r="E244" s="229"/>
      <c r="F244" s="230"/>
      <c r="G244" s="227"/>
    </row>
    <row r="245" spans="1:7" ht="26.1" customHeight="1">
      <c r="A245" s="227"/>
      <c r="B245" s="227"/>
      <c r="C245" s="227"/>
      <c r="D245" s="228"/>
      <c r="E245" s="229"/>
      <c r="F245" s="230"/>
      <c r="G245" s="227"/>
    </row>
    <row r="246" spans="1:7" ht="26.1" customHeight="1">
      <c r="A246" s="227"/>
      <c r="B246" s="227"/>
      <c r="C246" s="227"/>
      <c r="D246" s="228"/>
      <c r="E246" s="229"/>
      <c r="F246" s="230"/>
      <c r="G246" s="227"/>
    </row>
    <row r="247" spans="1:7" ht="26.1" customHeight="1">
      <c r="A247" s="227"/>
      <c r="B247" s="227"/>
      <c r="C247" s="227"/>
      <c r="D247" s="228"/>
      <c r="E247" s="229"/>
      <c r="F247" s="230"/>
      <c r="G247" s="227"/>
    </row>
    <row r="248" spans="1:7" ht="26.1" customHeight="1">
      <c r="A248" s="227"/>
      <c r="B248" s="227"/>
      <c r="C248" s="227"/>
      <c r="D248" s="228"/>
      <c r="E248" s="229"/>
      <c r="F248" s="230"/>
      <c r="G248" s="227"/>
    </row>
    <row r="249" spans="1:7" ht="26.1" customHeight="1">
      <c r="A249" s="227"/>
      <c r="B249" s="227"/>
      <c r="C249" s="227"/>
      <c r="D249" s="228"/>
      <c r="E249" s="229"/>
      <c r="F249" s="230"/>
      <c r="G249" s="227"/>
    </row>
    <row r="250" spans="1:7" ht="26.1" customHeight="1">
      <c r="A250" s="227"/>
      <c r="B250" s="227"/>
      <c r="C250" s="227"/>
      <c r="D250" s="228"/>
      <c r="E250" s="229"/>
      <c r="F250" s="230"/>
      <c r="G250" s="227"/>
    </row>
    <row r="251" spans="1:7" ht="26.1" customHeight="1">
      <c r="A251" s="227"/>
      <c r="B251" s="227"/>
      <c r="C251" s="227"/>
      <c r="D251" s="228"/>
      <c r="E251" s="229"/>
      <c r="F251" s="230"/>
      <c r="G251" s="227"/>
    </row>
    <row r="252" spans="1:7" ht="26.1" customHeight="1">
      <c r="A252" s="227"/>
      <c r="B252" s="227"/>
      <c r="C252" s="227"/>
      <c r="D252" s="228"/>
      <c r="E252" s="229"/>
      <c r="F252" s="230"/>
      <c r="G252" s="227"/>
    </row>
    <row r="253" spans="1:7" ht="26.1" customHeight="1">
      <c r="A253" s="227"/>
      <c r="B253" s="227"/>
      <c r="C253" s="227"/>
      <c r="D253" s="228"/>
      <c r="E253" s="229"/>
      <c r="F253" s="230"/>
      <c r="G253" s="227"/>
    </row>
    <row r="254" spans="1:7" ht="26.1" customHeight="1">
      <c r="A254" s="227"/>
      <c r="B254" s="227"/>
      <c r="C254" s="227"/>
      <c r="D254" s="228"/>
      <c r="E254" s="229"/>
      <c r="F254" s="230"/>
      <c r="G254" s="227"/>
    </row>
    <row r="255" spans="1:7" ht="26.1" customHeight="1">
      <c r="A255" s="227"/>
      <c r="B255" s="227"/>
      <c r="C255" s="227"/>
      <c r="D255" s="228"/>
      <c r="E255" s="229"/>
      <c r="F255" s="230"/>
      <c r="G255" s="227"/>
    </row>
    <row r="256" spans="1:7" ht="26.1" customHeight="1">
      <c r="A256" s="227"/>
      <c r="B256" s="227"/>
      <c r="C256" s="227"/>
      <c r="D256" s="228"/>
      <c r="E256" s="229"/>
      <c r="F256" s="230"/>
      <c r="G256" s="227"/>
    </row>
    <row r="257" spans="1:7" ht="26.1" customHeight="1">
      <c r="A257" s="227"/>
      <c r="B257" s="227"/>
      <c r="C257" s="227"/>
      <c r="D257" s="228"/>
      <c r="E257" s="229"/>
      <c r="F257" s="230"/>
      <c r="G257" s="227"/>
    </row>
    <row r="258" spans="1:7" ht="26.1" customHeight="1">
      <c r="A258" s="227"/>
      <c r="B258" s="227"/>
      <c r="C258" s="227"/>
      <c r="D258" s="228"/>
      <c r="E258" s="229"/>
      <c r="F258" s="230"/>
      <c r="G258" s="227"/>
    </row>
    <row r="259" spans="1:7" ht="26.1" customHeight="1">
      <c r="A259" s="227"/>
      <c r="B259" s="227"/>
      <c r="C259" s="227"/>
      <c r="D259" s="228"/>
      <c r="E259" s="229"/>
      <c r="F259" s="230"/>
      <c r="G259" s="227"/>
    </row>
    <row r="260" spans="1:7" ht="26.1" customHeight="1">
      <c r="A260" s="227"/>
      <c r="B260" s="227"/>
      <c r="C260" s="227"/>
      <c r="D260" s="228"/>
      <c r="E260" s="229"/>
      <c r="F260" s="230"/>
      <c r="G260" s="227"/>
    </row>
    <row r="261" spans="1:7" ht="26.1" customHeight="1">
      <c r="A261" s="227"/>
      <c r="B261" s="227"/>
      <c r="C261" s="227"/>
      <c r="D261" s="228"/>
      <c r="E261" s="229"/>
      <c r="F261" s="230"/>
      <c r="G261" s="227"/>
    </row>
    <row r="262" spans="1:7" ht="26.1" customHeight="1">
      <c r="A262" s="227"/>
      <c r="B262" s="227"/>
      <c r="C262" s="227"/>
      <c r="D262" s="228"/>
      <c r="E262" s="229"/>
      <c r="F262" s="230"/>
      <c r="G262" s="227"/>
    </row>
    <row r="263" spans="1:7" ht="26.1" customHeight="1">
      <c r="A263" s="227"/>
      <c r="B263" s="227"/>
      <c r="C263" s="227"/>
      <c r="D263" s="228"/>
      <c r="E263" s="229"/>
      <c r="F263" s="230"/>
      <c r="G263" s="227"/>
    </row>
    <row r="264" spans="1:7" ht="26.1" customHeight="1">
      <c r="A264" s="227"/>
      <c r="B264" s="227"/>
      <c r="C264" s="227"/>
      <c r="D264" s="228"/>
      <c r="E264" s="229"/>
      <c r="F264" s="230"/>
      <c r="G264" s="227"/>
    </row>
    <row r="265" spans="1:7" ht="26.1" customHeight="1">
      <c r="A265" s="227"/>
      <c r="B265" s="227"/>
      <c r="C265" s="227"/>
      <c r="D265" s="228"/>
      <c r="E265" s="229"/>
      <c r="F265" s="230"/>
      <c r="G265" s="227"/>
    </row>
    <row r="266" spans="1:7" ht="26.1" customHeight="1">
      <c r="A266" s="227"/>
      <c r="B266" s="227"/>
      <c r="C266" s="227"/>
      <c r="D266" s="228"/>
      <c r="E266" s="229"/>
      <c r="F266" s="230"/>
      <c r="G266" s="227"/>
    </row>
    <row r="267" spans="1:7" ht="26.1" customHeight="1">
      <c r="A267" s="227"/>
      <c r="B267" s="227"/>
      <c r="C267" s="227"/>
      <c r="D267" s="228"/>
      <c r="E267" s="229"/>
      <c r="F267" s="230"/>
      <c r="G267" s="227"/>
    </row>
    <row r="268" spans="1:7" ht="26.1" customHeight="1">
      <c r="A268" s="227"/>
      <c r="B268" s="227"/>
      <c r="C268" s="227"/>
      <c r="D268" s="228"/>
      <c r="E268" s="229"/>
      <c r="F268" s="230"/>
      <c r="G268" s="227"/>
    </row>
    <row r="269" spans="1:7" ht="26.1" customHeight="1">
      <c r="A269" s="227"/>
      <c r="B269" s="227"/>
      <c r="C269" s="227"/>
      <c r="D269" s="228"/>
      <c r="E269" s="229"/>
      <c r="F269" s="230"/>
      <c r="G269" s="227"/>
    </row>
    <row r="270" spans="1:7" ht="26.1" customHeight="1">
      <c r="A270" s="227"/>
      <c r="B270" s="227"/>
      <c r="C270" s="227"/>
      <c r="D270" s="228"/>
      <c r="E270" s="229"/>
      <c r="F270" s="230"/>
      <c r="G270" s="227"/>
    </row>
    <row r="271" spans="1:7" ht="26.1" customHeight="1">
      <c r="A271" s="227"/>
      <c r="B271" s="227"/>
      <c r="C271" s="227"/>
      <c r="D271" s="228"/>
      <c r="E271" s="229"/>
      <c r="F271" s="230"/>
      <c r="G271" s="227"/>
    </row>
    <row r="272" spans="1:7" ht="26.1" customHeight="1">
      <c r="A272" s="227"/>
      <c r="B272" s="227"/>
      <c r="C272" s="227"/>
      <c r="D272" s="228"/>
      <c r="E272" s="229"/>
      <c r="F272" s="230"/>
      <c r="G272" s="227"/>
    </row>
    <row r="273" spans="1:7" ht="26.1" customHeight="1">
      <c r="A273" s="227"/>
      <c r="B273" s="227"/>
      <c r="C273" s="227"/>
      <c r="D273" s="228"/>
      <c r="E273" s="229"/>
      <c r="F273" s="230"/>
      <c r="G273" s="227"/>
    </row>
    <row r="274" spans="1:7" ht="26.1" customHeight="1">
      <c r="A274" s="227"/>
      <c r="B274" s="227"/>
      <c r="C274" s="227"/>
      <c r="D274" s="228"/>
      <c r="E274" s="229"/>
      <c r="F274" s="230"/>
      <c r="G274" s="227"/>
    </row>
    <row r="275" spans="1:7" ht="26.1" customHeight="1">
      <c r="A275" s="227"/>
      <c r="B275" s="227"/>
      <c r="C275" s="227"/>
      <c r="D275" s="228"/>
      <c r="E275" s="229"/>
      <c r="F275" s="230"/>
      <c r="G275" s="227"/>
    </row>
    <row r="276" spans="1:7" ht="26.1" customHeight="1">
      <c r="A276" s="227"/>
      <c r="B276" s="227"/>
      <c r="C276" s="227"/>
      <c r="D276" s="228"/>
      <c r="E276" s="229"/>
      <c r="F276" s="230"/>
      <c r="G276" s="227"/>
    </row>
    <row r="277" spans="1:7" ht="26.1" customHeight="1">
      <c r="A277" s="227"/>
      <c r="B277" s="227"/>
      <c r="C277" s="227"/>
      <c r="D277" s="228"/>
      <c r="E277" s="229"/>
      <c r="F277" s="230"/>
      <c r="G277" s="227"/>
    </row>
    <row r="278" spans="1:7" ht="26.1" customHeight="1">
      <c r="A278" s="227"/>
      <c r="B278" s="227"/>
      <c r="C278" s="227"/>
      <c r="D278" s="228"/>
      <c r="E278" s="229"/>
      <c r="F278" s="230"/>
      <c r="G278" s="227"/>
    </row>
    <row r="279" spans="1:7" ht="26.1" customHeight="1">
      <c r="A279" s="227"/>
      <c r="B279" s="227"/>
      <c r="C279" s="227"/>
      <c r="D279" s="228"/>
      <c r="E279" s="229"/>
      <c r="F279" s="230"/>
      <c r="G279" s="227"/>
    </row>
    <row r="280" spans="1:7" ht="26.1" customHeight="1">
      <c r="A280" s="227"/>
      <c r="B280" s="227"/>
      <c r="C280" s="227"/>
      <c r="D280" s="228"/>
      <c r="E280" s="229"/>
      <c r="F280" s="230"/>
      <c r="G280" s="227"/>
    </row>
    <row r="281" spans="1:7" ht="26.1" customHeight="1">
      <c r="A281" s="227"/>
      <c r="B281" s="227"/>
      <c r="C281" s="227"/>
      <c r="D281" s="228"/>
      <c r="E281" s="229"/>
      <c r="F281" s="230"/>
      <c r="G281" s="227"/>
    </row>
    <row r="282" spans="1:7" ht="26.1" customHeight="1">
      <c r="A282" s="227"/>
      <c r="B282" s="227"/>
      <c r="C282" s="227"/>
      <c r="D282" s="228"/>
      <c r="E282" s="229"/>
      <c r="F282" s="230"/>
      <c r="G282" s="227"/>
    </row>
    <row r="283" spans="1:7" ht="26.1" customHeight="1">
      <c r="A283" s="227"/>
      <c r="B283" s="227"/>
      <c r="C283" s="227"/>
      <c r="D283" s="228"/>
      <c r="E283" s="229"/>
      <c r="F283" s="230"/>
      <c r="G283" s="227"/>
    </row>
    <row r="284" spans="1:7" ht="26.1" customHeight="1">
      <c r="A284" s="227"/>
      <c r="B284" s="227"/>
      <c r="C284" s="227"/>
      <c r="D284" s="228"/>
      <c r="E284" s="229"/>
      <c r="F284" s="230"/>
      <c r="G284" s="227"/>
    </row>
    <row r="285" spans="1:7" ht="26.1" customHeight="1">
      <c r="A285" s="227"/>
      <c r="B285" s="227"/>
      <c r="C285" s="227"/>
      <c r="D285" s="228"/>
      <c r="E285" s="229"/>
      <c r="F285" s="230"/>
      <c r="G285" s="227"/>
    </row>
    <row r="286" spans="1:7" ht="26.1" customHeight="1">
      <c r="A286" s="227"/>
      <c r="B286" s="227"/>
      <c r="C286" s="227"/>
      <c r="D286" s="228"/>
      <c r="E286" s="229"/>
      <c r="F286" s="230"/>
      <c r="G286" s="227"/>
    </row>
    <row r="287" spans="1:7" ht="26.1" customHeight="1">
      <c r="A287" s="227"/>
      <c r="B287" s="227"/>
      <c r="C287" s="227"/>
      <c r="D287" s="228"/>
      <c r="E287" s="229"/>
      <c r="F287" s="230"/>
      <c r="G287" s="227"/>
    </row>
    <row r="288" spans="1:7" ht="26.1" customHeight="1">
      <c r="A288" s="227"/>
      <c r="B288" s="227"/>
      <c r="C288" s="227"/>
      <c r="D288" s="228"/>
      <c r="E288" s="229"/>
      <c r="F288" s="230"/>
      <c r="G288" s="227"/>
    </row>
    <row r="289" spans="1:7" ht="26.1" customHeight="1">
      <c r="A289" s="227"/>
      <c r="B289" s="227"/>
      <c r="C289" s="227"/>
      <c r="D289" s="228"/>
      <c r="E289" s="229"/>
      <c r="F289" s="230"/>
      <c r="G289" s="227"/>
    </row>
    <row r="290" spans="1:7" ht="26.1" customHeight="1">
      <c r="A290" s="227"/>
      <c r="B290" s="227"/>
      <c r="C290" s="227"/>
      <c r="D290" s="228"/>
      <c r="E290" s="229"/>
      <c r="F290" s="230"/>
      <c r="G290" s="227"/>
    </row>
    <row r="291" spans="1:7" ht="26.1" customHeight="1">
      <c r="A291" s="227"/>
      <c r="B291" s="227"/>
      <c r="C291" s="227"/>
      <c r="D291" s="228"/>
      <c r="E291" s="229"/>
      <c r="F291" s="230"/>
      <c r="G291" s="227"/>
    </row>
    <row r="292" spans="1:7" ht="26.1" customHeight="1">
      <c r="A292" s="227"/>
      <c r="B292" s="227"/>
      <c r="C292" s="227"/>
      <c r="D292" s="228"/>
      <c r="E292" s="229"/>
      <c r="F292" s="230"/>
      <c r="G292" s="227"/>
    </row>
    <row r="293" spans="1:7" ht="26.1" customHeight="1">
      <c r="A293" s="227"/>
      <c r="B293" s="227"/>
      <c r="C293" s="227"/>
      <c r="D293" s="228"/>
      <c r="E293" s="229"/>
      <c r="F293" s="230"/>
      <c r="G293" s="227"/>
    </row>
    <row r="294" spans="1:7" ht="26.1" customHeight="1">
      <c r="A294" s="227"/>
      <c r="B294" s="227"/>
      <c r="C294" s="227"/>
      <c r="D294" s="228"/>
      <c r="E294" s="229"/>
      <c r="F294" s="230"/>
      <c r="G294" s="227"/>
    </row>
    <row r="295" spans="1:7" ht="26.1" customHeight="1">
      <c r="A295" s="227"/>
      <c r="B295" s="227"/>
      <c r="C295" s="227"/>
      <c r="D295" s="228"/>
      <c r="E295" s="229"/>
      <c r="F295" s="230"/>
      <c r="G295" s="227"/>
    </row>
    <row r="296" spans="1:7" ht="26.1" customHeight="1">
      <c r="A296" s="227"/>
      <c r="B296" s="227"/>
      <c r="C296" s="227"/>
      <c r="D296" s="228"/>
      <c r="E296" s="229"/>
      <c r="F296" s="230"/>
      <c r="G296" s="227"/>
    </row>
    <row r="297" spans="1:7" ht="26.1" customHeight="1">
      <c r="A297" s="227"/>
      <c r="B297" s="227"/>
      <c r="C297" s="227"/>
      <c r="D297" s="228"/>
      <c r="E297" s="229"/>
      <c r="F297" s="230"/>
      <c r="G297" s="227"/>
    </row>
    <row r="298" spans="1:7" ht="26.1" customHeight="1">
      <c r="A298" s="227"/>
      <c r="B298" s="227"/>
      <c r="C298" s="227"/>
      <c r="D298" s="228"/>
      <c r="E298" s="229"/>
      <c r="F298" s="230"/>
      <c r="G298" s="227"/>
    </row>
    <row r="299" spans="1:7" ht="26.1" customHeight="1">
      <c r="A299" s="227"/>
      <c r="B299" s="227"/>
      <c r="C299" s="227"/>
      <c r="D299" s="228"/>
      <c r="E299" s="229"/>
      <c r="F299" s="230"/>
      <c r="G299" s="227"/>
    </row>
    <row r="300" spans="1:7" ht="26.1" customHeight="1">
      <c r="A300" s="227"/>
      <c r="B300" s="227"/>
      <c r="C300" s="227"/>
      <c r="D300" s="228"/>
      <c r="E300" s="229"/>
      <c r="F300" s="230"/>
      <c r="G300" s="227"/>
    </row>
    <row r="301" spans="1:7" ht="26.1" customHeight="1">
      <c r="A301" s="227"/>
      <c r="B301" s="227"/>
      <c r="C301" s="227"/>
      <c r="D301" s="228"/>
      <c r="E301" s="229"/>
      <c r="F301" s="230"/>
      <c r="G301" s="227"/>
    </row>
    <row r="302" spans="1:7" ht="26.1" customHeight="1">
      <c r="A302" s="227"/>
      <c r="B302" s="227"/>
      <c r="C302" s="227"/>
      <c r="D302" s="228"/>
      <c r="E302" s="229"/>
      <c r="F302" s="230"/>
      <c r="G302" s="227"/>
    </row>
    <row r="303" spans="1:7" ht="26.1" customHeight="1">
      <c r="A303" s="227"/>
      <c r="B303" s="227"/>
      <c r="C303" s="227"/>
      <c r="D303" s="228"/>
      <c r="E303" s="229"/>
      <c r="F303" s="230"/>
      <c r="G303" s="227"/>
    </row>
    <row r="304" spans="1:7" ht="26.1" customHeight="1">
      <c r="A304" s="227"/>
      <c r="B304" s="227"/>
      <c r="C304" s="227"/>
      <c r="D304" s="228"/>
      <c r="E304" s="229"/>
      <c r="F304" s="230"/>
      <c r="G304" s="227"/>
    </row>
    <row r="305" spans="1:7" ht="26.1" customHeight="1">
      <c r="A305" s="227"/>
      <c r="B305" s="227"/>
      <c r="C305" s="227"/>
      <c r="D305" s="228"/>
      <c r="E305" s="229"/>
      <c r="F305" s="230"/>
      <c r="G305" s="227"/>
    </row>
    <row r="306" spans="1:7" ht="26.1" customHeight="1">
      <c r="A306" s="227"/>
      <c r="B306" s="227"/>
      <c r="C306" s="227"/>
      <c r="D306" s="228"/>
      <c r="E306" s="229"/>
      <c r="F306" s="230"/>
      <c r="G306" s="227"/>
    </row>
    <row r="307" spans="1:7" ht="26.1" customHeight="1">
      <c r="A307" s="227"/>
      <c r="B307" s="227"/>
      <c r="C307" s="227"/>
      <c r="D307" s="228"/>
      <c r="E307" s="229"/>
      <c r="F307" s="230"/>
      <c r="G307" s="227"/>
    </row>
    <row r="308" spans="1:7" ht="26.1" customHeight="1">
      <c r="A308" s="227"/>
      <c r="B308" s="227"/>
      <c r="C308" s="227"/>
      <c r="D308" s="228"/>
      <c r="E308" s="229"/>
      <c r="F308" s="230"/>
      <c r="G308" s="227"/>
    </row>
    <row r="309" spans="1:7" ht="26.1" customHeight="1">
      <c r="A309" s="227"/>
      <c r="B309" s="227"/>
      <c r="C309" s="227"/>
      <c r="D309" s="228"/>
      <c r="E309" s="229"/>
      <c r="F309" s="230"/>
      <c r="G309" s="227"/>
    </row>
    <row r="310" spans="1:7" ht="26.1" customHeight="1">
      <c r="A310" s="227"/>
      <c r="B310" s="227"/>
      <c r="C310" s="227"/>
      <c r="D310" s="228"/>
      <c r="E310" s="229"/>
      <c r="F310" s="230"/>
      <c r="G310" s="227"/>
    </row>
    <row r="311" spans="1:7" ht="26.1" customHeight="1">
      <c r="A311" s="227"/>
      <c r="B311" s="227"/>
      <c r="C311" s="227"/>
      <c r="D311" s="228"/>
      <c r="E311" s="229"/>
      <c r="F311" s="230"/>
      <c r="G311" s="227"/>
    </row>
    <row r="312" spans="1:7" ht="26.1" customHeight="1">
      <c r="A312" s="227"/>
      <c r="B312" s="227"/>
      <c r="C312" s="227"/>
      <c r="D312" s="228"/>
      <c r="E312" s="229"/>
      <c r="F312" s="230"/>
      <c r="G312" s="227"/>
    </row>
    <row r="313" spans="1:7" ht="26.1" customHeight="1">
      <c r="A313" s="227"/>
      <c r="B313" s="227"/>
      <c r="C313" s="227"/>
      <c r="D313" s="228"/>
      <c r="E313" s="229"/>
      <c r="F313" s="230"/>
      <c r="G313" s="227"/>
    </row>
    <row r="314" spans="1:7" ht="26.1" customHeight="1">
      <c r="A314" s="227"/>
      <c r="B314" s="227"/>
      <c r="C314" s="227"/>
      <c r="D314" s="228"/>
      <c r="E314" s="229"/>
      <c r="F314" s="230"/>
      <c r="G314" s="227"/>
    </row>
    <row r="315" spans="1:7" ht="26.1" customHeight="1">
      <c r="A315" s="227"/>
      <c r="B315" s="227"/>
      <c r="C315" s="227"/>
      <c r="D315" s="228"/>
      <c r="E315" s="229"/>
      <c r="F315" s="230"/>
      <c r="G315" s="227"/>
    </row>
    <row r="316" spans="1:7" ht="26.1" customHeight="1">
      <c r="A316" s="227"/>
      <c r="B316" s="227"/>
      <c r="C316" s="227"/>
      <c r="D316" s="228"/>
      <c r="E316" s="229"/>
      <c r="F316" s="230"/>
      <c r="G316" s="227"/>
    </row>
    <row r="317" spans="1:7" ht="26.1" customHeight="1">
      <c r="A317" s="227"/>
      <c r="B317" s="227"/>
      <c r="C317" s="227"/>
      <c r="D317" s="228"/>
      <c r="E317" s="229"/>
      <c r="F317" s="230"/>
      <c r="G317" s="227"/>
    </row>
    <row r="318" spans="1:7" ht="26.1" customHeight="1">
      <c r="A318" s="227"/>
      <c r="B318" s="227"/>
      <c r="C318" s="227"/>
      <c r="D318" s="228"/>
      <c r="E318" s="229"/>
      <c r="F318" s="230"/>
      <c r="G318" s="227"/>
    </row>
    <row r="319" spans="1:7" ht="26.1" customHeight="1">
      <c r="A319" s="227"/>
      <c r="B319" s="227"/>
      <c r="C319" s="227"/>
      <c r="D319" s="228"/>
      <c r="E319" s="229"/>
      <c r="F319" s="230"/>
      <c r="G319" s="227"/>
    </row>
    <row r="320" spans="1:7" ht="26.1" customHeight="1">
      <c r="A320" s="227"/>
      <c r="B320" s="227"/>
      <c r="C320" s="227"/>
      <c r="D320" s="228"/>
      <c r="E320" s="229"/>
      <c r="F320" s="230"/>
      <c r="G320" s="227"/>
    </row>
    <row r="321" spans="1:7" ht="26.1" customHeight="1">
      <c r="A321" s="227"/>
      <c r="B321" s="227"/>
      <c r="C321" s="227"/>
      <c r="D321" s="228"/>
      <c r="E321" s="229"/>
      <c r="F321" s="230"/>
      <c r="G321" s="227"/>
    </row>
    <row r="322" spans="1:7" ht="26.1" customHeight="1">
      <c r="A322" s="227"/>
      <c r="B322" s="227"/>
      <c r="C322" s="227"/>
      <c r="D322" s="228"/>
      <c r="E322" s="229"/>
      <c r="F322" s="230"/>
      <c r="G322" s="227"/>
    </row>
    <row r="323" spans="1:7" ht="26.1" customHeight="1">
      <c r="A323" s="227"/>
      <c r="B323" s="227"/>
      <c r="C323" s="227"/>
      <c r="D323" s="228"/>
      <c r="E323" s="229"/>
      <c r="F323" s="230"/>
      <c r="G323" s="227"/>
    </row>
    <row r="324" spans="1:7" ht="26.1" customHeight="1">
      <c r="A324" s="227"/>
      <c r="B324" s="227"/>
      <c r="C324" s="227"/>
      <c r="D324" s="228"/>
      <c r="E324" s="229"/>
      <c r="F324" s="230"/>
      <c r="G324" s="227"/>
    </row>
    <row r="325" spans="1:7" ht="26.1" customHeight="1">
      <c r="A325" s="227"/>
      <c r="B325" s="227"/>
      <c r="C325" s="227"/>
      <c r="D325" s="228"/>
      <c r="E325" s="229"/>
      <c r="F325" s="230"/>
      <c r="G325" s="227"/>
    </row>
    <row r="326" spans="1:7" ht="26.1" customHeight="1">
      <c r="A326" s="227"/>
      <c r="B326" s="227"/>
      <c r="C326" s="227"/>
      <c r="D326" s="228"/>
      <c r="E326" s="229"/>
      <c r="F326" s="230"/>
      <c r="G326" s="227"/>
    </row>
    <row r="327" spans="1:7" ht="26.1" customHeight="1">
      <c r="A327" s="227"/>
      <c r="B327" s="227"/>
      <c r="C327" s="227"/>
      <c r="D327" s="228"/>
      <c r="E327" s="229"/>
      <c r="F327" s="230"/>
      <c r="G327" s="227"/>
    </row>
    <row r="328" spans="1:7" ht="26.1" customHeight="1">
      <c r="A328" s="227"/>
      <c r="B328" s="227"/>
      <c r="C328" s="227"/>
      <c r="D328" s="228"/>
      <c r="E328" s="229"/>
      <c r="F328" s="230"/>
      <c r="G328" s="227"/>
    </row>
    <row r="329" spans="1:7" ht="26.1" customHeight="1">
      <c r="A329" s="227"/>
      <c r="B329" s="227"/>
      <c r="C329" s="227"/>
      <c r="D329" s="228"/>
      <c r="E329" s="229"/>
      <c r="F329" s="230"/>
      <c r="G329" s="227"/>
    </row>
    <row r="330" spans="1:7" ht="26.1" customHeight="1">
      <c r="A330" s="227"/>
      <c r="B330" s="227"/>
      <c r="C330" s="227"/>
      <c r="D330" s="228"/>
      <c r="E330" s="229"/>
      <c r="F330" s="230"/>
      <c r="G330" s="227"/>
    </row>
    <row r="331" spans="1:7" ht="26.1" customHeight="1">
      <c r="A331" s="227"/>
      <c r="B331" s="227"/>
      <c r="C331" s="227"/>
      <c r="D331" s="228"/>
      <c r="E331" s="229"/>
      <c r="F331" s="230"/>
      <c r="G331" s="227"/>
    </row>
    <row r="332" spans="1:7" ht="26.1" customHeight="1">
      <c r="A332" s="227"/>
      <c r="B332" s="227"/>
      <c r="C332" s="227"/>
      <c r="D332" s="228"/>
      <c r="E332" s="229"/>
      <c r="F332" s="230"/>
      <c r="G332" s="227"/>
    </row>
    <row r="333" spans="1:7" ht="26.1" customHeight="1">
      <c r="A333" s="227"/>
      <c r="B333" s="227"/>
      <c r="C333" s="227"/>
      <c r="D333" s="228"/>
      <c r="E333" s="229"/>
      <c r="F333" s="230"/>
      <c r="G333" s="227"/>
    </row>
    <row r="334" spans="1:7" ht="26.1" customHeight="1">
      <c r="A334" s="227"/>
      <c r="B334" s="227"/>
      <c r="C334" s="227"/>
      <c r="D334" s="228"/>
      <c r="E334" s="229"/>
      <c r="F334" s="230"/>
      <c r="G334" s="227"/>
    </row>
    <row r="335" spans="1:7" ht="26.1" customHeight="1">
      <c r="A335" s="227"/>
      <c r="B335" s="227"/>
      <c r="C335" s="227"/>
      <c r="D335" s="228"/>
      <c r="E335" s="229"/>
      <c r="F335" s="230"/>
      <c r="G335" s="227"/>
    </row>
    <row r="336" spans="1:7" ht="26.1" customHeight="1">
      <c r="A336" s="227"/>
      <c r="B336" s="227"/>
      <c r="C336" s="227"/>
      <c r="D336" s="228"/>
      <c r="E336" s="229"/>
      <c r="F336" s="230"/>
      <c r="G336" s="227"/>
    </row>
    <row r="337" spans="1:7" ht="26.1" customHeight="1">
      <c r="A337" s="227"/>
      <c r="B337" s="227"/>
      <c r="C337" s="227"/>
      <c r="D337" s="228"/>
      <c r="E337" s="229"/>
      <c r="F337" s="230"/>
      <c r="G337" s="227"/>
    </row>
    <row r="338" spans="1:7" ht="26.1" customHeight="1">
      <c r="A338" s="227"/>
      <c r="B338" s="227"/>
      <c r="C338" s="227"/>
      <c r="D338" s="228"/>
      <c r="E338" s="229"/>
      <c r="F338" s="230"/>
      <c r="G338" s="227"/>
    </row>
    <row r="339" spans="1:7" ht="26.1" customHeight="1">
      <c r="A339" s="227"/>
      <c r="B339" s="227"/>
      <c r="C339" s="227"/>
      <c r="D339" s="228"/>
      <c r="E339" s="229"/>
      <c r="F339" s="230"/>
      <c r="G339" s="227"/>
    </row>
    <row r="340" spans="1:7" ht="26.1" customHeight="1">
      <c r="A340" s="227"/>
      <c r="B340" s="227"/>
      <c r="C340" s="227"/>
      <c r="D340" s="228"/>
      <c r="E340" s="229"/>
      <c r="F340" s="230"/>
      <c r="G340" s="227"/>
    </row>
    <row r="341" spans="1:7" ht="26.1" customHeight="1">
      <c r="A341" s="227"/>
      <c r="B341" s="227"/>
      <c r="C341" s="227"/>
      <c r="D341" s="228"/>
      <c r="E341" s="229"/>
      <c r="F341" s="230"/>
      <c r="G341" s="227"/>
    </row>
    <row r="342" spans="1:7" ht="26.1" customHeight="1">
      <c r="A342" s="227"/>
      <c r="B342" s="227"/>
      <c r="C342" s="227"/>
      <c r="D342" s="228"/>
      <c r="E342" s="229"/>
      <c r="F342" s="230"/>
      <c r="G342" s="227"/>
    </row>
    <row r="343" spans="1:7" ht="26.1" customHeight="1">
      <c r="A343" s="227"/>
      <c r="B343" s="227"/>
      <c r="C343" s="227"/>
      <c r="D343" s="228"/>
      <c r="E343" s="229"/>
      <c r="F343" s="230"/>
      <c r="G343" s="227"/>
    </row>
    <row r="344" spans="1:7" ht="26.1" customHeight="1">
      <c r="A344" s="227"/>
      <c r="B344" s="227"/>
      <c r="C344" s="227"/>
      <c r="D344" s="228"/>
      <c r="E344" s="229"/>
      <c r="F344" s="230"/>
      <c r="G344" s="227"/>
    </row>
    <row r="345" spans="1:7" ht="26.1" customHeight="1">
      <c r="A345" s="227"/>
      <c r="B345" s="227"/>
      <c r="C345" s="227"/>
      <c r="D345" s="228"/>
      <c r="E345" s="229"/>
      <c r="F345" s="230"/>
      <c r="G345" s="227"/>
    </row>
    <row r="346" spans="1:7" ht="26.1" customHeight="1">
      <c r="A346" s="227"/>
      <c r="B346" s="227"/>
      <c r="C346" s="227"/>
      <c r="D346" s="228"/>
      <c r="E346" s="229"/>
      <c r="F346" s="230"/>
      <c r="G346" s="227"/>
    </row>
    <row r="347" spans="1:7" ht="26.1" customHeight="1">
      <c r="A347" s="227"/>
      <c r="B347" s="227"/>
      <c r="C347" s="227"/>
      <c r="D347" s="228"/>
      <c r="E347" s="229"/>
      <c r="F347" s="230"/>
      <c r="G347" s="227"/>
    </row>
    <row r="348" spans="1:7" ht="26.1" customHeight="1">
      <c r="A348" s="227"/>
      <c r="B348" s="227"/>
      <c r="C348" s="227"/>
      <c r="D348" s="228"/>
      <c r="E348" s="229"/>
      <c r="F348" s="230"/>
      <c r="G348" s="227"/>
    </row>
    <row r="349" spans="1:7" ht="26.1" customHeight="1">
      <c r="A349" s="227"/>
      <c r="B349" s="227"/>
      <c r="C349" s="227"/>
      <c r="D349" s="228"/>
      <c r="E349" s="229"/>
      <c r="F349" s="230"/>
      <c r="G349" s="227"/>
    </row>
    <row r="350" spans="1:7" ht="26.1" customHeight="1">
      <c r="A350" s="227"/>
      <c r="B350" s="227"/>
      <c r="C350" s="227"/>
      <c r="D350" s="228"/>
      <c r="E350" s="229"/>
      <c r="F350" s="230"/>
      <c r="G350" s="227"/>
    </row>
    <row r="351" spans="1:7" ht="26.1" customHeight="1">
      <c r="A351" s="227"/>
      <c r="B351" s="227"/>
      <c r="C351" s="227"/>
      <c r="D351" s="228"/>
      <c r="E351" s="229"/>
      <c r="F351" s="230"/>
      <c r="G351" s="227"/>
    </row>
    <row r="352" spans="1:7" ht="26.1" customHeight="1">
      <c r="A352" s="227"/>
      <c r="B352" s="227"/>
      <c r="C352" s="227"/>
      <c r="D352" s="228"/>
      <c r="E352" s="229"/>
      <c r="F352" s="230"/>
      <c r="G352" s="227"/>
    </row>
    <row r="353" spans="1:7" ht="26.1" customHeight="1">
      <c r="A353" s="227"/>
      <c r="B353" s="227"/>
      <c r="C353" s="227"/>
      <c r="D353" s="228"/>
      <c r="E353" s="229"/>
      <c r="F353" s="230"/>
      <c r="G353" s="227"/>
    </row>
    <row r="354" spans="1:7" ht="26.1" customHeight="1">
      <c r="A354" s="227"/>
      <c r="B354" s="227"/>
      <c r="C354" s="227"/>
      <c r="D354" s="228"/>
      <c r="E354" s="229"/>
      <c r="F354" s="230"/>
      <c r="G354" s="227"/>
    </row>
    <row r="355" spans="1:7" ht="26.1" customHeight="1">
      <c r="A355" s="227"/>
      <c r="B355" s="227"/>
      <c r="C355" s="227"/>
      <c r="D355" s="228"/>
      <c r="E355" s="229"/>
      <c r="F355" s="230"/>
      <c r="G355" s="227"/>
    </row>
    <row r="356" spans="1:7" ht="26.1" customHeight="1">
      <c r="A356" s="227"/>
      <c r="B356" s="227"/>
      <c r="C356" s="227"/>
      <c r="D356" s="228"/>
      <c r="E356" s="229"/>
      <c r="F356" s="230"/>
      <c r="G356" s="227"/>
    </row>
    <row r="357" spans="1:7" ht="26.1" customHeight="1">
      <c r="A357" s="227"/>
      <c r="B357" s="227"/>
      <c r="C357" s="227"/>
      <c r="D357" s="228"/>
      <c r="E357" s="229"/>
      <c r="F357" s="230"/>
      <c r="G357" s="227"/>
    </row>
    <row r="358" spans="1:7" ht="26.1" customHeight="1">
      <c r="A358" s="227"/>
      <c r="B358" s="227"/>
      <c r="C358" s="227"/>
      <c r="D358" s="228"/>
      <c r="E358" s="229"/>
      <c r="F358" s="230"/>
      <c r="G358" s="227"/>
    </row>
    <row r="359" spans="1:7" ht="26.1" customHeight="1">
      <c r="A359" s="227"/>
      <c r="B359" s="227"/>
      <c r="C359" s="227"/>
      <c r="D359" s="228"/>
      <c r="E359" s="229"/>
      <c r="F359" s="230"/>
      <c r="G359" s="227"/>
    </row>
    <row r="360" spans="1:7" ht="26.1" customHeight="1">
      <c r="A360" s="227"/>
      <c r="B360" s="227"/>
      <c r="C360" s="227"/>
      <c r="D360" s="228"/>
      <c r="E360" s="229"/>
      <c r="F360" s="230"/>
      <c r="G360" s="227"/>
    </row>
    <row r="361" spans="1:7" ht="26.1" customHeight="1">
      <c r="A361" s="227"/>
      <c r="B361" s="227"/>
      <c r="C361" s="227"/>
      <c r="D361" s="228"/>
      <c r="E361" s="229"/>
      <c r="F361" s="230"/>
      <c r="G361" s="227"/>
    </row>
    <row r="362" spans="1:7" ht="26.1" customHeight="1">
      <c r="A362" s="227"/>
      <c r="B362" s="227"/>
      <c r="C362" s="227"/>
      <c r="D362" s="228"/>
      <c r="E362" s="229"/>
      <c r="F362" s="230"/>
      <c r="G362" s="227"/>
    </row>
    <row r="363" spans="1:7" ht="26.1" customHeight="1">
      <c r="A363" s="227"/>
      <c r="B363" s="227"/>
      <c r="C363" s="227"/>
      <c r="D363" s="228"/>
      <c r="E363" s="229"/>
      <c r="F363" s="230"/>
      <c r="G363" s="227"/>
    </row>
    <row r="364" spans="1:7" ht="26.1" customHeight="1">
      <c r="A364" s="227"/>
      <c r="B364" s="227"/>
      <c r="C364" s="227"/>
      <c r="D364" s="228"/>
      <c r="E364" s="229"/>
      <c r="F364" s="230"/>
      <c r="G364" s="227"/>
    </row>
    <row r="365" spans="1:7" ht="26.1" customHeight="1">
      <c r="A365" s="227"/>
      <c r="B365" s="227"/>
      <c r="C365" s="227"/>
      <c r="D365" s="228"/>
      <c r="E365" s="229"/>
      <c r="F365" s="230"/>
      <c r="G365" s="227"/>
    </row>
    <row r="366" spans="1:7" ht="26.1" customHeight="1">
      <c r="A366" s="227"/>
      <c r="B366" s="227"/>
      <c r="C366" s="227"/>
      <c r="D366" s="228"/>
      <c r="E366" s="229"/>
      <c r="F366" s="230"/>
      <c r="G366" s="227"/>
    </row>
    <row r="367" spans="1:7" ht="26.1" customHeight="1">
      <c r="A367" s="227"/>
      <c r="B367" s="227"/>
      <c r="C367" s="227"/>
      <c r="D367" s="228"/>
      <c r="E367" s="229"/>
      <c r="F367" s="230"/>
      <c r="G367" s="227"/>
    </row>
    <row r="368" spans="1:7" ht="26.1" customHeight="1">
      <c r="A368" s="227"/>
      <c r="B368" s="227"/>
      <c r="C368" s="227"/>
      <c r="D368" s="228"/>
      <c r="E368" s="229"/>
      <c r="F368" s="230"/>
      <c r="G368" s="227"/>
    </row>
    <row r="369" spans="1:7" ht="26.1" customHeight="1">
      <c r="A369" s="227"/>
      <c r="B369" s="227"/>
      <c r="C369" s="227"/>
      <c r="D369" s="228"/>
      <c r="E369" s="229"/>
      <c r="F369" s="230"/>
      <c r="G369" s="227"/>
    </row>
    <row r="370" spans="1:7" ht="26.1" customHeight="1">
      <c r="A370" s="227"/>
      <c r="B370" s="227"/>
      <c r="C370" s="227"/>
      <c r="D370" s="228"/>
      <c r="E370" s="229"/>
      <c r="F370" s="230"/>
      <c r="G370" s="227"/>
    </row>
    <row r="371" spans="1:7" ht="26.1" customHeight="1">
      <c r="A371" s="227"/>
      <c r="B371" s="227"/>
      <c r="C371" s="227"/>
      <c r="D371" s="228"/>
      <c r="E371" s="229"/>
      <c r="F371" s="230"/>
      <c r="G371" s="227"/>
    </row>
    <row r="372" spans="1:7" ht="26.1" customHeight="1">
      <c r="A372" s="227"/>
      <c r="B372" s="227"/>
      <c r="C372" s="227"/>
      <c r="D372" s="228"/>
      <c r="E372" s="229"/>
      <c r="F372" s="230"/>
      <c r="G372" s="227"/>
    </row>
    <row r="373" spans="1:7" ht="26.1" customHeight="1">
      <c r="A373" s="227"/>
      <c r="B373" s="227"/>
      <c r="C373" s="227"/>
      <c r="D373" s="228"/>
      <c r="E373" s="229"/>
      <c r="F373" s="230"/>
      <c r="G373" s="227"/>
    </row>
    <row r="374" spans="1:7" ht="26.1" customHeight="1">
      <c r="A374" s="227"/>
      <c r="B374" s="227"/>
      <c r="C374" s="227"/>
      <c r="D374" s="228"/>
      <c r="E374" s="229"/>
      <c r="F374" s="230"/>
      <c r="G374" s="227"/>
    </row>
    <row r="375" spans="1:7" ht="26.1" customHeight="1">
      <c r="A375" s="227"/>
      <c r="B375" s="227"/>
      <c r="C375" s="227"/>
      <c r="D375" s="228"/>
      <c r="E375" s="229"/>
      <c r="F375" s="230"/>
      <c r="G375" s="227"/>
    </row>
    <row r="376" spans="1:7" ht="26.1" customHeight="1">
      <c r="A376" s="227"/>
      <c r="B376" s="227"/>
      <c r="C376" s="227"/>
      <c r="D376" s="228"/>
      <c r="E376" s="229"/>
      <c r="F376" s="230"/>
      <c r="G376" s="227"/>
    </row>
    <row r="377" spans="1:7" ht="26.1" customHeight="1">
      <c r="A377" s="227"/>
      <c r="B377" s="227"/>
      <c r="C377" s="227"/>
      <c r="D377" s="228"/>
      <c r="E377" s="229"/>
      <c r="F377" s="230"/>
      <c r="G377" s="227"/>
    </row>
    <row r="378" spans="1:7" ht="26.1" customHeight="1">
      <c r="A378" s="227"/>
      <c r="B378" s="227"/>
      <c r="C378" s="227"/>
      <c r="D378" s="228"/>
      <c r="E378" s="229"/>
      <c r="F378" s="230"/>
      <c r="G378" s="227"/>
    </row>
    <row r="379" spans="1:7" ht="26.1" customHeight="1">
      <c r="A379" s="227"/>
      <c r="B379" s="227"/>
      <c r="C379" s="227"/>
      <c r="D379" s="228"/>
      <c r="E379" s="229"/>
      <c r="F379" s="230"/>
      <c r="G379" s="227"/>
    </row>
    <row r="380" spans="1:7" ht="26.1" customHeight="1">
      <c r="A380" s="227"/>
      <c r="B380" s="227"/>
      <c r="C380" s="227"/>
      <c r="D380" s="228"/>
      <c r="E380" s="229"/>
      <c r="F380" s="230"/>
      <c r="G380" s="227"/>
    </row>
    <row r="381" spans="1:7" ht="26.1" customHeight="1">
      <c r="A381" s="227"/>
      <c r="B381" s="227"/>
      <c r="C381" s="227"/>
      <c r="D381" s="228"/>
      <c r="E381" s="229"/>
      <c r="F381" s="230"/>
      <c r="G381" s="227"/>
    </row>
    <row r="382" spans="1:7" ht="26.1" customHeight="1">
      <c r="A382" s="227"/>
      <c r="B382" s="227"/>
      <c r="C382" s="227"/>
      <c r="D382" s="228"/>
      <c r="E382" s="229"/>
      <c r="F382" s="230"/>
      <c r="G382" s="227"/>
    </row>
    <row r="383" spans="1:7" ht="26.1" customHeight="1">
      <c r="A383" s="227"/>
      <c r="B383" s="227"/>
      <c r="C383" s="227"/>
      <c r="D383" s="228"/>
      <c r="E383" s="229"/>
      <c r="F383" s="230"/>
      <c r="G383" s="227"/>
    </row>
    <row r="384" spans="1:7" ht="26.1" customHeight="1">
      <c r="A384" s="227"/>
      <c r="B384" s="227"/>
      <c r="C384" s="227"/>
      <c r="D384" s="228"/>
      <c r="E384" s="229"/>
      <c r="F384" s="230"/>
      <c r="G384" s="227"/>
    </row>
    <row r="385" spans="1:7" ht="26.1" customHeight="1">
      <c r="A385" s="227"/>
      <c r="B385" s="227"/>
      <c r="C385" s="227"/>
      <c r="D385" s="228"/>
      <c r="E385" s="229"/>
      <c r="F385" s="230"/>
      <c r="G385" s="227"/>
    </row>
    <row r="386" spans="1:7" ht="26.1" customHeight="1">
      <c r="A386" s="227"/>
      <c r="B386" s="227"/>
      <c r="C386" s="227"/>
      <c r="D386" s="228"/>
      <c r="E386" s="229"/>
      <c r="F386" s="230"/>
      <c r="G386" s="227"/>
    </row>
    <row r="387" spans="1:7" ht="26.1" customHeight="1">
      <c r="A387" s="227"/>
      <c r="B387" s="227"/>
      <c r="C387" s="227"/>
      <c r="D387" s="228"/>
      <c r="E387" s="229"/>
      <c r="F387" s="230"/>
      <c r="G387" s="227"/>
    </row>
    <row r="388" spans="1:7" ht="26.1" customHeight="1">
      <c r="A388" s="227"/>
      <c r="B388" s="227"/>
      <c r="C388" s="227"/>
      <c r="D388" s="228"/>
      <c r="E388" s="229"/>
      <c r="F388" s="230"/>
      <c r="G388" s="227"/>
    </row>
    <row r="389" spans="1:7" ht="26.1" customHeight="1">
      <c r="A389" s="227"/>
      <c r="B389" s="227"/>
      <c r="C389" s="227"/>
      <c r="D389" s="228"/>
      <c r="E389" s="229"/>
      <c r="F389" s="230"/>
      <c r="G389" s="227"/>
    </row>
    <row r="390" spans="1:7" ht="26.1" customHeight="1">
      <c r="A390" s="227"/>
      <c r="B390" s="227"/>
      <c r="C390" s="227"/>
      <c r="D390" s="228"/>
      <c r="E390" s="229"/>
      <c r="F390" s="230"/>
      <c r="G390" s="227"/>
    </row>
    <row r="391" spans="1:7" ht="26.1" customHeight="1">
      <c r="A391" s="227"/>
      <c r="B391" s="227"/>
      <c r="C391" s="227"/>
      <c r="D391" s="228"/>
      <c r="E391" s="229"/>
      <c r="F391" s="230"/>
      <c r="G391" s="227"/>
    </row>
    <row r="392" spans="1:7" ht="26.1" customHeight="1">
      <c r="A392" s="227"/>
      <c r="B392" s="227"/>
      <c r="C392" s="227"/>
      <c r="D392" s="228"/>
      <c r="E392" s="229"/>
      <c r="F392" s="230"/>
      <c r="G392" s="227"/>
    </row>
    <row r="393" spans="1:7" ht="26.1" customHeight="1">
      <c r="A393" s="227"/>
      <c r="B393" s="227"/>
      <c r="C393" s="227"/>
      <c r="D393" s="228"/>
      <c r="E393" s="229"/>
      <c r="F393" s="230"/>
      <c r="G393" s="227"/>
    </row>
    <row r="394" spans="1:7" ht="26.1" customHeight="1">
      <c r="A394" s="227"/>
      <c r="B394" s="227"/>
      <c r="C394" s="227"/>
      <c r="D394" s="228"/>
      <c r="E394" s="229"/>
      <c r="F394" s="230"/>
      <c r="G394" s="227"/>
    </row>
    <row r="395" spans="1:7" ht="26.1" customHeight="1">
      <c r="A395" s="227"/>
      <c r="B395" s="227"/>
      <c r="C395" s="227"/>
      <c r="D395" s="228"/>
      <c r="E395" s="229"/>
      <c r="F395" s="230"/>
      <c r="G395" s="227"/>
    </row>
    <row r="396" spans="1:7" ht="26.1" customHeight="1">
      <c r="A396" s="227"/>
      <c r="B396" s="227"/>
      <c r="C396" s="227"/>
      <c r="D396" s="228"/>
      <c r="E396" s="229"/>
      <c r="F396" s="230"/>
      <c r="G396" s="227"/>
    </row>
    <row r="397" spans="1:7" ht="26.1" customHeight="1">
      <c r="A397" s="227"/>
      <c r="B397" s="227"/>
      <c r="C397" s="227"/>
      <c r="D397" s="228"/>
      <c r="E397" s="229"/>
      <c r="F397" s="230"/>
      <c r="G397" s="227"/>
    </row>
    <row r="398" spans="1:7" ht="26.1" customHeight="1">
      <c r="A398" s="227"/>
      <c r="B398" s="227"/>
      <c r="C398" s="227"/>
      <c r="D398" s="228"/>
      <c r="E398" s="229"/>
      <c r="F398" s="230"/>
      <c r="G398" s="227"/>
    </row>
    <row r="399" spans="1:7" ht="26.1" customHeight="1">
      <c r="A399" s="227"/>
      <c r="B399" s="227"/>
      <c r="C399" s="227"/>
      <c r="D399" s="228"/>
      <c r="E399" s="229"/>
      <c r="F399" s="230"/>
      <c r="G399" s="227"/>
    </row>
    <row r="400" spans="1:7" ht="26.1" customHeight="1">
      <c r="A400" s="227"/>
      <c r="B400" s="227"/>
      <c r="C400" s="227"/>
      <c r="D400" s="228"/>
      <c r="E400" s="229"/>
      <c r="F400" s="230"/>
      <c r="G400" s="227"/>
    </row>
    <row r="401" spans="1:7" ht="26.1" customHeight="1">
      <c r="A401" s="227"/>
      <c r="B401" s="227"/>
      <c r="C401" s="227"/>
      <c r="D401" s="228"/>
      <c r="E401" s="229"/>
      <c r="F401" s="230"/>
      <c r="G401" s="227"/>
    </row>
    <row r="402" spans="1:7" ht="26.1" customHeight="1">
      <c r="A402" s="227"/>
      <c r="B402" s="227"/>
      <c r="C402" s="227"/>
      <c r="D402" s="228"/>
      <c r="E402" s="229"/>
      <c r="F402" s="230"/>
      <c r="G402" s="227"/>
    </row>
    <row r="403" spans="1:7" ht="26.1" customHeight="1">
      <c r="A403" s="227"/>
      <c r="B403" s="227"/>
      <c r="C403" s="227"/>
      <c r="D403" s="228"/>
      <c r="E403" s="229"/>
      <c r="F403" s="230"/>
      <c r="G403" s="227"/>
    </row>
    <row r="404" spans="1:7" ht="26.1" customHeight="1">
      <c r="A404" s="227"/>
      <c r="B404" s="227"/>
      <c r="C404" s="227"/>
      <c r="D404" s="228"/>
      <c r="E404" s="229"/>
      <c r="F404" s="230"/>
      <c r="G404" s="227"/>
    </row>
    <row r="405" spans="1:7" ht="26.1" customHeight="1">
      <c r="A405" s="227"/>
      <c r="B405" s="227"/>
      <c r="C405" s="227"/>
      <c r="D405" s="228"/>
      <c r="E405" s="229"/>
      <c r="F405" s="230"/>
      <c r="G405" s="227"/>
    </row>
    <row r="406" spans="1:7" ht="26.1" customHeight="1">
      <c r="A406" s="227"/>
      <c r="B406" s="227"/>
      <c r="C406" s="227"/>
      <c r="D406" s="228"/>
      <c r="E406" s="229"/>
      <c r="F406" s="230"/>
      <c r="G406" s="227"/>
    </row>
    <row r="407" spans="1:7" ht="26.1" customHeight="1">
      <c r="A407" s="227"/>
      <c r="B407" s="227"/>
      <c r="C407" s="227"/>
      <c r="D407" s="228"/>
      <c r="E407" s="229"/>
      <c r="F407" s="230"/>
      <c r="G407" s="227"/>
    </row>
    <row r="408" spans="1:7" ht="26.1" customHeight="1">
      <c r="A408" s="227"/>
      <c r="B408" s="227"/>
      <c r="C408" s="227"/>
      <c r="D408" s="228"/>
      <c r="E408" s="229"/>
      <c r="F408" s="230"/>
      <c r="G408" s="227"/>
    </row>
    <row r="409" spans="1:7" ht="26.1" customHeight="1">
      <c r="A409" s="227"/>
      <c r="B409" s="227"/>
      <c r="C409" s="227"/>
      <c r="D409" s="228"/>
      <c r="E409" s="229"/>
      <c r="F409" s="230"/>
      <c r="G409" s="227"/>
    </row>
    <row r="410" spans="1:7" ht="26.1" customHeight="1">
      <c r="A410" s="227"/>
      <c r="B410" s="227"/>
      <c r="C410" s="227"/>
      <c r="D410" s="228"/>
      <c r="E410" s="229"/>
      <c r="F410" s="230"/>
      <c r="G410" s="227"/>
    </row>
    <row r="411" spans="1:7" ht="26.1" customHeight="1">
      <c r="A411" s="227"/>
      <c r="B411" s="227"/>
      <c r="C411" s="227"/>
      <c r="D411" s="228"/>
      <c r="E411" s="229"/>
      <c r="F411" s="230"/>
      <c r="G411" s="227"/>
    </row>
    <row r="412" spans="1:7" ht="26.1" customHeight="1">
      <c r="A412" s="227"/>
      <c r="B412" s="227"/>
      <c r="C412" s="227"/>
      <c r="D412" s="228"/>
      <c r="E412" s="229"/>
      <c r="F412" s="230"/>
      <c r="G412" s="227"/>
    </row>
    <row r="413" spans="1:7" ht="26.1" customHeight="1">
      <c r="A413" s="227"/>
      <c r="B413" s="227"/>
      <c r="C413" s="227"/>
      <c r="D413" s="228"/>
      <c r="E413" s="229"/>
      <c r="F413" s="230"/>
      <c r="G413" s="227"/>
    </row>
    <row r="414" spans="1:7" ht="26.1" customHeight="1"/>
  </sheetData>
  <phoneticPr fontId="2" type="noConversion"/>
  <pageMargins left="0.75" right="0.75" top="1" bottom="1" header="0.5" footer="0.5"/>
  <pageSetup scale="34" orientation="portrait" r:id="rId1"/>
  <headerFooter>
    <oddHeader>&amp;C&amp;"Helvetica Neue,Regular"&amp;12&amp;K000000108年 比賽費用支出表</oddHead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V165"/>
  <sheetViews>
    <sheetView topLeftCell="A102" zoomScale="88" zoomScaleNormal="88" workbookViewId="0">
      <selection activeCell="J104" sqref="J104"/>
    </sheetView>
  </sheetViews>
  <sheetFormatPr defaultColWidth="8.81640625" defaultRowHeight="19.8"/>
  <cols>
    <col min="1" max="1" width="4.81640625" style="277" customWidth="1"/>
    <col min="2" max="2" width="5.6328125" style="277" customWidth="1"/>
    <col min="3" max="3" width="6.08984375" style="277" customWidth="1"/>
    <col min="4" max="4" width="12.1796875" style="271" customWidth="1"/>
    <col min="5" max="5" width="10.90625" style="308" customWidth="1"/>
    <col min="6" max="6" width="11.81640625" style="309" customWidth="1"/>
    <col min="7" max="7" width="11.90625" style="310" customWidth="1"/>
    <col min="8" max="9" width="11.08984375" style="310" customWidth="1"/>
    <col min="10" max="10" width="12.08984375" style="310" customWidth="1"/>
    <col min="11" max="11" width="11.08984375" style="310" customWidth="1"/>
    <col min="12" max="12" width="11.1796875" style="310" customWidth="1"/>
    <col min="13" max="13" width="11.81640625" style="310" customWidth="1"/>
    <col min="14" max="14" width="11.90625" style="310" customWidth="1"/>
    <col min="15" max="15" width="11.453125" style="310" customWidth="1"/>
    <col min="16" max="16" width="11.90625" style="310" customWidth="1"/>
    <col min="17" max="17" width="11.453125" style="310" customWidth="1"/>
    <col min="18" max="18" width="13.08984375" style="277" customWidth="1"/>
    <col min="19" max="256" width="8.81640625" style="277" customWidth="1"/>
    <col min="257" max="16384" width="8.81640625" style="285"/>
  </cols>
  <sheetData>
    <row r="1" spans="1:18" s="271" customFormat="1" ht="23.25" customHeight="1">
      <c r="A1" s="267" t="s">
        <v>62</v>
      </c>
      <c r="B1" s="267" t="s">
        <v>63</v>
      </c>
      <c r="C1" s="267" t="s">
        <v>64</v>
      </c>
      <c r="D1" s="267" t="s">
        <v>65</v>
      </c>
      <c r="E1" s="268" t="s">
        <v>66</v>
      </c>
      <c r="F1" s="269" t="s">
        <v>67</v>
      </c>
      <c r="G1" s="268" t="s">
        <v>68</v>
      </c>
      <c r="H1" s="268" t="s">
        <v>69</v>
      </c>
      <c r="I1" s="268" t="s">
        <v>70</v>
      </c>
      <c r="J1" s="268" t="s">
        <v>71</v>
      </c>
      <c r="K1" s="268" t="s">
        <v>72</v>
      </c>
      <c r="L1" s="268" t="s">
        <v>73</v>
      </c>
      <c r="M1" s="268" t="s">
        <v>74</v>
      </c>
      <c r="N1" s="268" t="s">
        <v>38</v>
      </c>
      <c r="O1" s="268" t="s">
        <v>39</v>
      </c>
      <c r="P1" s="268" t="s">
        <v>40</v>
      </c>
      <c r="Q1" s="268" t="s">
        <v>75</v>
      </c>
      <c r="R1" s="270" t="s">
        <v>76</v>
      </c>
    </row>
    <row r="2" spans="1:18" s="277" customFormat="1" ht="23.25" customHeight="1">
      <c r="A2" s="270">
        <v>6</v>
      </c>
      <c r="B2" s="267"/>
      <c r="C2" s="267" t="s">
        <v>77</v>
      </c>
      <c r="D2" s="283" t="s">
        <v>80</v>
      </c>
      <c r="E2" s="274">
        <v>2400</v>
      </c>
      <c r="F2" s="275">
        <v>3300</v>
      </c>
      <c r="G2" s="275" t="s">
        <v>313</v>
      </c>
      <c r="H2" s="275" t="s">
        <v>313</v>
      </c>
      <c r="I2" s="275" t="s">
        <v>313</v>
      </c>
      <c r="J2" s="275" t="s">
        <v>313</v>
      </c>
      <c r="K2" s="275" t="s">
        <v>313</v>
      </c>
      <c r="L2" s="275" t="s">
        <v>313</v>
      </c>
      <c r="M2" s="275" t="s">
        <v>313</v>
      </c>
      <c r="N2" s="275" t="s">
        <v>313</v>
      </c>
      <c r="O2" s="275" t="s">
        <v>313</v>
      </c>
      <c r="P2" s="275" t="s">
        <v>313</v>
      </c>
      <c r="Q2" s="275" t="s">
        <v>313</v>
      </c>
      <c r="R2" s="276">
        <f t="shared" ref="R2:R26" si="0">SUM(E2:Q2)</f>
        <v>5700</v>
      </c>
    </row>
    <row r="3" spans="1:18" s="277" customFormat="1" ht="23.25" customHeight="1">
      <c r="A3" s="267"/>
      <c r="B3" s="267"/>
      <c r="C3" s="267" t="s">
        <v>78</v>
      </c>
      <c r="D3" s="283" t="s">
        <v>81</v>
      </c>
      <c r="E3" s="274">
        <v>2400</v>
      </c>
      <c r="F3" s="275">
        <v>3300</v>
      </c>
      <c r="G3" s="275" t="s">
        <v>313</v>
      </c>
      <c r="H3" s="275" t="s">
        <v>313</v>
      </c>
      <c r="I3" s="275" t="s">
        <v>313</v>
      </c>
      <c r="J3" s="275" t="s">
        <v>313</v>
      </c>
      <c r="K3" s="275" t="s">
        <v>313</v>
      </c>
      <c r="L3" s="275" t="s">
        <v>313</v>
      </c>
      <c r="M3" s="275" t="s">
        <v>313</v>
      </c>
      <c r="N3" s="275" t="s">
        <v>313</v>
      </c>
      <c r="O3" s="275" t="s">
        <v>313</v>
      </c>
      <c r="P3" s="275" t="s">
        <v>313</v>
      </c>
      <c r="Q3" s="275" t="s">
        <v>313</v>
      </c>
      <c r="R3" s="276">
        <f t="shared" si="0"/>
        <v>5700</v>
      </c>
    </row>
    <row r="4" spans="1:18" ht="23.25" customHeight="1">
      <c r="A4" s="267" t="s">
        <v>82</v>
      </c>
      <c r="B4" s="267"/>
      <c r="C4" s="267" t="s">
        <v>163</v>
      </c>
      <c r="D4" s="282" t="s">
        <v>83</v>
      </c>
      <c r="E4" s="274">
        <v>2400</v>
      </c>
      <c r="F4" s="286" t="s">
        <v>297</v>
      </c>
      <c r="G4" s="275">
        <v>3300</v>
      </c>
      <c r="H4" s="275">
        <v>4000</v>
      </c>
      <c r="I4" s="274">
        <v>3000</v>
      </c>
      <c r="J4" s="275" t="s">
        <v>379</v>
      </c>
      <c r="K4" s="275" t="s">
        <v>379</v>
      </c>
      <c r="L4" s="275" t="s">
        <v>379</v>
      </c>
      <c r="M4" s="275" t="s">
        <v>379</v>
      </c>
      <c r="N4" s="275" t="s">
        <v>379</v>
      </c>
      <c r="O4" s="275" t="s">
        <v>379</v>
      </c>
      <c r="P4" s="275" t="s">
        <v>379</v>
      </c>
      <c r="Q4" s="275" t="s">
        <v>379</v>
      </c>
      <c r="R4" s="276">
        <f t="shared" si="0"/>
        <v>12700</v>
      </c>
    </row>
    <row r="5" spans="1:18" ht="23.25" customHeight="1">
      <c r="A5" s="267" t="s">
        <v>79</v>
      </c>
      <c r="B5" s="267"/>
      <c r="C5" s="267" t="s">
        <v>164</v>
      </c>
      <c r="D5" s="278" t="s">
        <v>84</v>
      </c>
      <c r="E5" s="274">
        <v>2200</v>
      </c>
      <c r="F5" s="274">
        <v>4000</v>
      </c>
      <c r="G5" s="274">
        <v>900</v>
      </c>
      <c r="H5" s="275">
        <v>2900</v>
      </c>
      <c r="I5" s="274">
        <v>2900</v>
      </c>
      <c r="J5" s="275" t="s">
        <v>379</v>
      </c>
      <c r="K5" s="275" t="s">
        <v>379</v>
      </c>
      <c r="L5" s="275" t="s">
        <v>379</v>
      </c>
      <c r="M5" s="275" t="s">
        <v>379</v>
      </c>
      <c r="N5" s="275" t="s">
        <v>379</v>
      </c>
      <c r="O5" s="275" t="s">
        <v>379</v>
      </c>
      <c r="P5" s="275" t="s">
        <v>379</v>
      </c>
      <c r="Q5" s="275" t="s">
        <v>379</v>
      </c>
      <c r="R5" s="276">
        <f t="shared" si="0"/>
        <v>12900</v>
      </c>
    </row>
    <row r="6" spans="1:18" ht="23.25" customHeight="1">
      <c r="A6" s="267" t="s">
        <v>82</v>
      </c>
      <c r="B6" s="267"/>
      <c r="C6" s="267" t="s">
        <v>165</v>
      </c>
      <c r="D6" s="282" t="s">
        <v>85</v>
      </c>
      <c r="E6" s="280">
        <v>2400</v>
      </c>
      <c r="F6" s="286" t="s">
        <v>297</v>
      </c>
      <c r="G6" s="281">
        <v>4000</v>
      </c>
      <c r="H6" s="281">
        <v>1000</v>
      </c>
      <c r="I6" s="280">
        <v>3000</v>
      </c>
      <c r="J6" s="275" t="s">
        <v>379</v>
      </c>
      <c r="K6" s="275" t="s">
        <v>379</v>
      </c>
      <c r="L6" s="275" t="s">
        <v>379</v>
      </c>
      <c r="M6" s="275" t="s">
        <v>379</v>
      </c>
      <c r="N6" s="275" t="s">
        <v>379</v>
      </c>
      <c r="O6" s="275" t="s">
        <v>379</v>
      </c>
      <c r="P6" s="275" t="s">
        <v>379</v>
      </c>
      <c r="Q6" s="275" t="s">
        <v>379</v>
      </c>
      <c r="R6" s="276">
        <f>SUM(E6:Q6)</f>
        <v>10400</v>
      </c>
    </row>
    <row r="7" spans="1:18" ht="23.25" customHeight="1">
      <c r="A7" s="267" t="s">
        <v>82</v>
      </c>
      <c r="B7" s="267"/>
      <c r="C7" s="267" t="s">
        <v>166</v>
      </c>
      <c r="D7" s="282" t="s">
        <v>86</v>
      </c>
      <c r="E7" s="274">
        <v>2400</v>
      </c>
      <c r="F7" s="274">
        <v>4000</v>
      </c>
      <c r="G7" s="275">
        <v>1000</v>
      </c>
      <c r="H7" s="275">
        <v>3000</v>
      </c>
      <c r="I7" s="284">
        <v>3000</v>
      </c>
      <c r="J7" s="275" t="s">
        <v>379</v>
      </c>
      <c r="K7" s="275" t="s">
        <v>379</v>
      </c>
      <c r="L7" s="275" t="s">
        <v>379</v>
      </c>
      <c r="M7" s="275" t="s">
        <v>379</v>
      </c>
      <c r="N7" s="275" t="s">
        <v>379</v>
      </c>
      <c r="O7" s="275" t="s">
        <v>379</v>
      </c>
      <c r="P7" s="275" t="s">
        <v>379</v>
      </c>
      <c r="Q7" s="275" t="s">
        <v>379</v>
      </c>
      <c r="R7" s="276">
        <f t="shared" si="0"/>
        <v>13400</v>
      </c>
    </row>
    <row r="8" spans="1:18" ht="23.25" customHeight="1">
      <c r="A8" s="267"/>
      <c r="B8" s="267"/>
      <c r="C8" s="267" t="s">
        <v>167</v>
      </c>
      <c r="D8" s="287" t="s">
        <v>87</v>
      </c>
      <c r="E8" s="274">
        <v>5400</v>
      </c>
      <c r="F8" s="274" t="s">
        <v>287</v>
      </c>
      <c r="G8" s="274" t="s">
        <v>291</v>
      </c>
      <c r="H8" s="275">
        <v>3300</v>
      </c>
      <c r="I8" s="279" t="s">
        <v>363</v>
      </c>
      <c r="J8" s="275">
        <v>6000</v>
      </c>
      <c r="K8" s="275"/>
      <c r="L8" s="275"/>
      <c r="M8" s="275"/>
      <c r="N8" s="275"/>
      <c r="O8" s="275"/>
      <c r="P8" s="275"/>
      <c r="Q8" s="275"/>
      <c r="R8" s="276">
        <f t="shared" si="0"/>
        <v>14700</v>
      </c>
    </row>
    <row r="9" spans="1:18" ht="23.25" customHeight="1">
      <c r="A9" s="288"/>
      <c r="B9" s="267"/>
      <c r="C9" s="267" t="s">
        <v>168</v>
      </c>
      <c r="D9" s="289" t="s">
        <v>88</v>
      </c>
      <c r="E9" s="274">
        <v>2200</v>
      </c>
      <c r="F9" s="274">
        <v>4000</v>
      </c>
      <c r="G9" s="275">
        <v>900</v>
      </c>
      <c r="H9" s="275">
        <v>2900</v>
      </c>
      <c r="I9" s="274">
        <v>2800</v>
      </c>
      <c r="J9" s="275">
        <v>2900</v>
      </c>
      <c r="K9" s="275"/>
      <c r="L9" s="275"/>
      <c r="M9" s="275"/>
      <c r="N9" s="275"/>
      <c r="O9" s="275"/>
      <c r="P9" s="275"/>
      <c r="Q9" s="275"/>
      <c r="R9" s="276">
        <f t="shared" si="0"/>
        <v>15700</v>
      </c>
    </row>
    <row r="10" spans="1:18" ht="23.25" customHeight="1">
      <c r="A10" s="290"/>
      <c r="B10" s="267"/>
      <c r="C10" s="267" t="s">
        <v>169</v>
      </c>
      <c r="D10" s="283" t="s">
        <v>89</v>
      </c>
      <c r="E10" s="280">
        <v>2300</v>
      </c>
      <c r="F10" s="280">
        <v>3300</v>
      </c>
      <c r="G10" s="281">
        <v>1000</v>
      </c>
      <c r="H10" s="281">
        <v>3000</v>
      </c>
      <c r="I10" s="280">
        <v>3000</v>
      </c>
      <c r="J10" s="281">
        <v>3000</v>
      </c>
      <c r="K10" s="281"/>
      <c r="L10" s="281"/>
      <c r="M10" s="281"/>
      <c r="N10" s="281"/>
      <c r="O10" s="281"/>
      <c r="P10" s="281"/>
      <c r="Q10" s="281"/>
      <c r="R10" s="276">
        <f t="shared" si="0"/>
        <v>15600</v>
      </c>
    </row>
    <row r="11" spans="1:18" ht="23.25" customHeight="1">
      <c r="A11" s="290"/>
      <c r="B11" s="267"/>
      <c r="C11" s="267" t="s">
        <v>170</v>
      </c>
      <c r="D11" s="283" t="s">
        <v>90</v>
      </c>
      <c r="E11" s="280">
        <v>2400</v>
      </c>
      <c r="F11" s="280">
        <v>4000</v>
      </c>
      <c r="G11" s="281">
        <v>1000</v>
      </c>
      <c r="H11" s="281">
        <v>3000</v>
      </c>
      <c r="I11" s="280">
        <v>3000</v>
      </c>
      <c r="J11" s="281">
        <v>3000</v>
      </c>
      <c r="K11" s="281"/>
      <c r="L11" s="281"/>
      <c r="M11" s="281"/>
      <c r="N11" s="281"/>
      <c r="O11" s="281"/>
      <c r="P11" s="281"/>
      <c r="Q11" s="281"/>
      <c r="R11" s="276">
        <f t="shared" si="0"/>
        <v>16400</v>
      </c>
    </row>
    <row r="12" spans="1:18" ht="23.25" customHeight="1">
      <c r="A12" s="290"/>
      <c r="B12" s="267"/>
      <c r="C12" s="267" t="s">
        <v>171</v>
      </c>
      <c r="D12" s="282" t="s">
        <v>91</v>
      </c>
      <c r="E12" s="274">
        <v>2300</v>
      </c>
      <c r="F12" s="274">
        <v>4000</v>
      </c>
      <c r="G12" s="275">
        <v>1000</v>
      </c>
      <c r="H12" s="275">
        <v>3000</v>
      </c>
      <c r="I12" s="274">
        <v>2900</v>
      </c>
      <c r="J12" s="275">
        <v>3000</v>
      </c>
      <c r="K12" s="275"/>
      <c r="L12" s="275"/>
      <c r="M12" s="286"/>
      <c r="N12" s="275"/>
      <c r="O12" s="286"/>
      <c r="P12" s="275"/>
      <c r="Q12" s="275"/>
      <c r="R12" s="276">
        <f t="shared" si="0"/>
        <v>16200</v>
      </c>
    </row>
    <row r="13" spans="1:18" ht="23.25" customHeight="1">
      <c r="A13" s="270"/>
      <c r="B13" s="272"/>
      <c r="C13" s="267" t="s">
        <v>172</v>
      </c>
      <c r="D13" s="289" t="s">
        <v>92</v>
      </c>
      <c r="E13" s="274">
        <v>2200</v>
      </c>
      <c r="F13" s="274">
        <v>4000</v>
      </c>
      <c r="G13" s="274">
        <v>900</v>
      </c>
      <c r="H13" s="274">
        <v>2900</v>
      </c>
      <c r="I13" s="274">
        <v>2800</v>
      </c>
      <c r="J13" s="274">
        <v>2900</v>
      </c>
      <c r="K13" s="274"/>
      <c r="L13" s="274"/>
      <c r="M13" s="274"/>
      <c r="N13" s="274"/>
      <c r="O13" s="274"/>
      <c r="P13" s="274"/>
      <c r="Q13" s="274"/>
      <c r="R13" s="291">
        <f t="shared" si="0"/>
        <v>15700</v>
      </c>
    </row>
    <row r="14" spans="1:18" ht="23.25" customHeight="1">
      <c r="A14" s="270"/>
      <c r="B14" s="272"/>
      <c r="C14" s="267" t="s">
        <v>173</v>
      </c>
      <c r="D14" s="283" t="s">
        <v>93</v>
      </c>
      <c r="E14" s="274"/>
      <c r="F14" s="279" t="s">
        <v>297</v>
      </c>
      <c r="G14" s="274">
        <v>4400</v>
      </c>
      <c r="H14" s="284"/>
      <c r="I14" s="274">
        <v>1600</v>
      </c>
      <c r="J14" s="274">
        <v>800</v>
      </c>
      <c r="K14" s="274"/>
      <c r="L14" s="274"/>
      <c r="M14" s="274"/>
      <c r="N14" s="274"/>
      <c r="O14" s="274"/>
      <c r="P14" s="274"/>
      <c r="Q14" s="274"/>
      <c r="R14" s="291">
        <f t="shared" si="0"/>
        <v>6800</v>
      </c>
    </row>
    <row r="15" spans="1:18" ht="23.25" customHeight="1">
      <c r="A15" s="270"/>
      <c r="B15" s="267"/>
      <c r="C15" s="267" t="s">
        <v>174</v>
      </c>
      <c r="D15" s="283" t="s">
        <v>94</v>
      </c>
      <c r="E15" s="274">
        <v>2300</v>
      </c>
      <c r="F15" s="274">
        <v>4000</v>
      </c>
      <c r="G15" s="274">
        <v>1000</v>
      </c>
      <c r="H15" s="274">
        <v>3000</v>
      </c>
      <c r="I15" s="274">
        <v>3000</v>
      </c>
      <c r="J15" s="274">
        <v>3000</v>
      </c>
      <c r="K15" s="274"/>
      <c r="L15" s="274"/>
      <c r="M15" s="274"/>
      <c r="N15" s="274"/>
      <c r="O15" s="274"/>
      <c r="P15" s="274"/>
      <c r="Q15" s="274"/>
      <c r="R15" s="291">
        <f t="shared" si="0"/>
        <v>16300</v>
      </c>
    </row>
    <row r="16" spans="1:18" ht="23.25" customHeight="1">
      <c r="A16" s="288"/>
      <c r="B16" s="267"/>
      <c r="C16" s="267" t="s">
        <v>175</v>
      </c>
      <c r="D16" s="283" t="s">
        <v>95</v>
      </c>
      <c r="E16" s="274">
        <v>2400</v>
      </c>
      <c r="F16" s="274">
        <v>4000</v>
      </c>
      <c r="G16" s="274">
        <v>1000</v>
      </c>
      <c r="H16" s="274">
        <v>2500</v>
      </c>
      <c r="I16" s="274">
        <v>2400</v>
      </c>
      <c r="J16" s="274">
        <v>2500</v>
      </c>
      <c r="K16" s="274"/>
      <c r="L16" s="292"/>
      <c r="M16" s="274"/>
      <c r="N16" s="274"/>
      <c r="O16" s="274"/>
      <c r="P16" s="274"/>
      <c r="Q16" s="274"/>
      <c r="R16" s="291">
        <f t="shared" si="0"/>
        <v>14800</v>
      </c>
    </row>
    <row r="17" spans="1:18" ht="23.25" customHeight="1">
      <c r="A17" s="288"/>
      <c r="B17" s="270"/>
      <c r="C17" s="267" t="s">
        <v>176</v>
      </c>
      <c r="D17" s="293" t="s">
        <v>96</v>
      </c>
      <c r="E17" s="274">
        <v>2300</v>
      </c>
      <c r="F17" s="279" t="s">
        <v>297</v>
      </c>
      <c r="G17" s="274">
        <v>4300</v>
      </c>
      <c r="H17" s="274">
        <v>3000</v>
      </c>
      <c r="I17" s="274">
        <v>2900</v>
      </c>
      <c r="J17" s="274">
        <v>3000</v>
      </c>
      <c r="K17" s="274"/>
      <c r="L17" s="274"/>
      <c r="M17" s="274"/>
      <c r="N17" s="274"/>
      <c r="O17" s="274"/>
      <c r="P17" s="274"/>
      <c r="Q17" s="274"/>
      <c r="R17" s="291">
        <f>SUM(E17:Q17)</f>
        <v>15500</v>
      </c>
    </row>
    <row r="18" spans="1:18" ht="23.25" customHeight="1">
      <c r="A18" s="288"/>
      <c r="B18" s="294"/>
      <c r="C18" s="267" t="s">
        <v>177</v>
      </c>
      <c r="D18" s="283" t="s">
        <v>97</v>
      </c>
      <c r="E18" s="295">
        <v>2300</v>
      </c>
      <c r="F18" s="274">
        <v>4000</v>
      </c>
      <c r="G18" s="284">
        <v>1000</v>
      </c>
      <c r="H18" s="274">
        <v>3000</v>
      </c>
      <c r="I18" s="274">
        <v>2900</v>
      </c>
      <c r="J18" s="274">
        <v>3000</v>
      </c>
      <c r="K18" s="274"/>
      <c r="L18" s="274"/>
      <c r="M18" s="274"/>
      <c r="N18" s="274"/>
      <c r="O18" s="274"/>
      <c r="P18" s="274"/>
      <c r="Q18" s="274"/>
      <c r="R18" s="291">
        <f>SUM(E18:Q18)</f>
        <v>16200</v>
      </c>
    </row>
    <row r="19" spans="1:18" ht="22.95" customHeight="1">
      <c r="A19" s="288"/>
      <c r="B19" s="267"/>
      <c r="C19" s="267" t="s">
        <v>178</v>
      </c>
      <c r="D19" s="283" t="s">
        <v>98</v>
      </c>
      <c r="E19" s="274">
        <v>2400</v>
      </c>
      <c r="F19" s="274">
        <v>4000</v>
      </c>
      <c r="G19" s="274">
        <v>1000</v>
      </c>
      <c r="H19" s="274">
        <v>3000</v>
      </c>
      <c r="I19" s="274">
        <v>3000</v>
      </c>
      <c r="J19" s="274">
        <v>3000</v>
      </c>
      <c r="K19" s="274"/>
      <c r="L19" s="274"/>
      <c r="M19" s="274"/>
      <c r="N19" s="274"/>
      <c r="O19" s="274"/>
      <c r="P19" s="274"/>
      <c r="Q19" s="274"/>
      <c r="R19" s="291">
        <f t="shared" si="0"/>
        <v>16400</v>
      </c>
    </row>
    <row r="20" spans="1:18" ht="23.25" customHeight="1">
      <c r="A20" s="288" t="s">
        <v>82</v>
      </c>
      <c r="B20" s="267"/>
      <c r="C20" s="267" t="s">
        <v>179</v>
      </c>
      <c r="D20" s="283" t="s">
        <v>99</v>
      </c>
      <c r="E20" s="280">
        <v>2400</v>
      </c>
      <c r="F20" s="280">
        <v>3300</v>
      </c>
      <c r="G20" s="280">
        <v>1000</v>
      </c>
      <c r="H20" s="280">
        <v>3000</v>
      </c>
      <c r="I20" s="280">
        <v>3000</v>
      </c>
      <c r="J20" s="275" t="s">
        <v>379</v>
      </c>
      <c r="K20" s="275" t="s">
        <v>379</v>
      </c>
      <c r="L20" s="275" t="s">
        <v>379</v>
      </c>
      <c r="M20" s="275" t="s">
        <v>379</v>
      </c>
      <c r="N20" s="275" t="s">
        <v>379</v>
      </c>
      <c r="O20" s="275" t="s">
        <v>379</v>
      </c>
      <c r="P20" s="275" t="s">
        <v>379</v>
      </c>
      <c r="Q20" s="275" t="s">
        <v>379</v>
      </c>
      <c r="R20" s="291">
        <f t="shared" ref="R20:R25" si="1">SUM(E20:Q20)</f>
        <v>12700</v>
      </c>
    </row>
    <row r="21" spans="1:18" ht="23.25" customHeight="1">
      <c r="A21" s="290"/>
      <c r="B21" s="267"/>
      <c r="C21" s="267" t="s">
        <v>180</v>
      </c>
      <c r="D21" s="289" t="s">
        <v>100</v>
      </c>
      <c r="E21" s="274">
        <v>2300</v>
      </c>
      <c r="F21" s="274">
        <v>4000</v>
      </c>
      <c r="G21" s="274">
        <v>900</v>
      </c>
      <c r="H21" s="274">
        <v>2900</v>
      </c>
      <c r="I21" s="274">
        <v>2800</v>
      </c>
      <c r="J21" s="274">
        <v>2900</v>
      </c>
      <c r="K21" s="274"/>
      <c r="L21" s="274"/>
      <c r="M21" s="274"/>
      <c r="N21" s="274"/>
      <c r="O21" s="274"/>
      <c r="P21" s="274"/>
      <c r="Q21" s="274"/>
      <c r="R21" s="291">
        <f t="shared" si="1"/>
        <v>15800</v>
      </c>
    </row>
    <row r="22" spans="1:18" ht="23.25" customHeight="1">
      <c r="A22" s="290"/>
      <c r="B22" s="267"/>
      <c r="C22" s="267" t="s">
        <v>181</v>
      </c>
      <c r="D22" s="289" t="s">
        <v>101</v>
      </c>
      <c r="E22" s="274">
        <v>2200</v>
      </c>
      <c r="F22" s="274">
        <v>4000</v>
      </c>
      <c r="G22" s="274">
        <v>900</v>
      </c>
      <c r="H22" s="274">
        <v>2900</v>
      </c>
      <c r="I22" s="274">
        <v>2900</v>
      </c>
      <c r="J22" s="274">
        <v>2900</v>
      </c>
      <c r="K22" s="274"/>
      <c r="L22" s="274"/>
      <c r="M22" s="274"/>
      <c r="N22" s="274"/>
      <c r="O22" s="274"/>
      <c r="P22" s="274"/>
      <c r="Q22" s="274"/>
      <c r="R22" s="291">
        <f t="shared" si="1"/>
        <v>15800</v>
      </c>
    </row>
    <row r="23" spans="1:18" ht="22.95" customHeight="1">
      <c r="A23" s="290"/>
      <c r="B23" s="267"/>
      <c r="C23" s="267" t="s">
        <v>182</v>
      </c>
      <c r="D23" s="283" t="s">
        <v>102</v>
      </c>
      <c r="E23" s="274">
        <v>2400</v>
      </c>
      <c r="F23" s="274">
        <v>3300</v>
      </c>
      <c r="G23" s="274">
        <v>1000</v>
      </c>
      <c r="H23" s="274">
        <v>3000</v>
      </c>
      <c r="I23" s="274">
        <v>3000</v>
      </c>
      <c r="J23" s="274">
        <v>3000</v>
      </c>
      <c r="K23" s="274"/>
      <c r="L23" s="274"/>
      <c r="M23" s="274"/>
      <c r="N23" s="274"/>
      <c r="O23" s="274"/>
      <c r="P23" s="274"/>
      <c r="Q23" s="274"/>
      <c r="R23" s="291">
        <f t="shared" si="1"/>
        <v>15700</v>
      </c>
    </row>
    <row r="24" spans="1:18" ht="23.25" customHeight="1">
      <c r="A24" s="290"/>
      <c r="B24" s="267"/>
      <c r="C24" s="267" t="s">
        <v>183</v>
      </c>
      <c r="D24" s="283" t="s">
        <v>103</v>
      </c>
      <c r="E24" s="274">
        <v>2400</v>
      </c>
      <c r="F24" s="274" t="s">
        <v>297</v>
      </c>
      <c r="G24" s="284">
        <v>5000</v>
      </c>
      <c r="H24" s="274">
        <v>3000</v>
      </c>
      <c r="I24" s="274">
        <v>3000</v>
      </c>
      <c r="J24" s="274">
        <v>3000</v>
      </c>
      <c r="K24" s="274"/>
      <c r="L24" s="274"/>
      <c r="M24" s="274"/>
      <c r="N24" s="274"/>
      <c r="O24" s="274"/>
      <c r="P24" s="274"/>
      <c r="Q24" s="274"/>
      <c r="R24" s="291">
        <f t="shared" si="1"/>
        <v>16400</v>
      </c>
    </row>
    <row r="25" spans="1:18" ht="23.25" customHeight="1">
      <c r="A25" s="290"/>
      <c r="B25" s="267"/>
      <c r="C25" s="267" t="s">
        <v>184</v>
      </c>
      <c r="D25" s="283" t="s">
        <v>104</v>
      </c>
      <c r="E25" s="274">
        <v>1600</v>
      </c>
      <c r="F25" s="279" t="s">
        <v>297</v>
      </c>
      <c r="G25" s="274">
        <v>3300</v>
      </c>
      <c r="H25" s="274">
        <v>2400</v>
      </c>
      <c r="I25" s="274">
        <v>2800</v>
      </c>
      <c r="J25" s="274">
        <v>2000</v>
      </c>
      <c r="K25" s="274"/>
      <c r="L25" s="274"/>
      <c r="M25" s="274"/>
      <c r="N25" s="274"/>
      <c r="O25" s="274"/>
      <c r="P25" s="274"/>
      <c r="Q25" s="274"/>
      <c r="R25" s="291">
        <f t="shared" si="1"/>
        <v>12100</v>
      </c>
    </row>
    <row r="26" spans="1:18" ht="23.25" customHeight="1">
      <c r="A26" s="288"/>
      <c r="B26" s="270"/>
      <c r="C26" s="267" t="s">
        <v>185</v>
      </c>
      <c r="D26" s="289" t="s">
        <v>105</v>
      </c>
      <c r="E26" s="280">
        <v>2200</v>
      </c>
      <c r="F26" s="280">
        <v>3300</v>
      </c>
      <c r="G26" s="280">
        <v>900</v>
      </c>
      <c r="H26" s="280">
        <v>2400</v>
      </c>
      <c r="I26" s="280">
        <v>2300</v>
      </c>
      <c r="J26" s="280">
        <v>2900</v>
      </c>
      <c r="K26" s="280"/>
      <c r="L26" s="280"/>
      <c r="M26" s="280"/>
      <c r="N26" s="280"/>
      <c r="O26" s="280"/>
      <c r="P26" s="280"/>
      <c r="Q26" s="280"/>
      <c r="R26" s="291">
        <f t="shared" si="0"/>
        <v>14000</v>
      </c>
    </row>
    <row r="27" spans="1:18" ht="23.25" customHeight="1">
      <c r="A27" s="290"/>
      <c r="B27" s="267"/>
      <c r="C27" s="267" t="s">
        <v>186</v>
      </c>
      <c r="D27" s="283" t="s">
        <v>106</v>
      </c>
      <c r="E27" s="274">
        <v>2300</v>
      </c>
      <c r="F27" s="274">
        <v>4000</v>
      </c>
      <c r="G27" s="274">
        <v>1000</v>
      </c>
      <c r="H27" s="274">
        <v>3000</v>
      </c>
      <c r="I27" s="274">
        <v>3000</v>
      </c>
      <c r="J27" s="274">
        <v>3000</v>
      </c>
      <c r="K27" s="274"/>
      <c r="L27" s="274"/>
      <c r="M27" s="274"/>
      <c r="N27" s="274"/>
      <c r="O27" s="274"/>
      <c r="P27" s="274"/>
      <c r="Q27" s="274"/>
      <c r="R27" s="291">
        <f>SUM(E27:Q27)</f>
        <v>16300</v>
      </c>
    </row>
    <row r="28" spans="1:18" ht="23.25" customHeight="1">
      <c r="A28" s="270">
        <v>6</v>
      </c>
      <c r="B28" s="267"/>
      <c r="C28" s="267" t="s">
        <v>187</v>
      </c>
      <c r="D28" s="283" t="s">
        <v>107</v>
      </c>
      <c r="E28" s="274">
        <v>3000</v>
      </c>
      <c r="F28" s="279" t="s">
        <v>297</v>
      </c>
      <c r="G28" s="274">
        <v>5000</v>
      </c>
      <c r="H28" s="274"/>
      <c r="I28" s="274">
        <v>400</v>
      </c>
      <c r="J28" s="274">
        <v>1200</v>
      </c>
      <c r="K28" s="275"/>
      <c r="L28" s="274"/>
      <c r="M28" s="274"/>
      <c r="N28" s="274"/>
      <c r="O28" s="274"/>
      <c r="P28" s="274"/>
      <c r="Q28" s="274"/>
      <c r="R28" s="291">
        <f t="shared" ref="R28:R96" si="2">SUM(E28:Q28)</f>
        <v>9600</v>
      </c>
    </row>
    <row r="29" spans="1:18" ht="23.25" customHeight="1">
      <c r="A29" s="290"/>
      <c r="B29" s="267"/>
      <c r="C29" s="267" t="s">
        <v>188</v>
      </c>
      <c r="D29" s="283" t="s">
        <v>108</v>
      </c>
      <c r="E29" s="274">
        <v>2400</v>
      </c>
      <c r="F29" s="274" t="s">
        <v>287</v>
      </c>
      <c r="G29" s="274" t="s">
        <v>291</v>
      </c>
      <c r="H29" s="274" t="s">
        <v>313</v>
      </c>
      <c r="I29" s="274" t="s">
        <v>313</v>
      </c>
      <c r="J29" s="274" t="s">
        <v>313</v>
      </c>
      <c r="K29" s="274" t="s">
        <v>313</v>
      </c>
      <c r="L29" s="274" t="s">
        <v>313</v>
      </c>
      <c r="M29" s="274" t="s">
        <v>313</v>
      </c>
      <c r="N29" s="274" t="s">
        <v>313</v>
      </c>
      <c r="O29" s="274" t="s">
        <v>313</v>
      </c>
      <c r="P29" s="274" t="s">
        <v>313</v>
      </c>
      <c r="Q29" s="274" t="s">
        <v>313</v>
      </c>
      <c r="R29" s="291">
        <f t="shared" si="2"/>
        <v>2400</v>
      </c>
    </row>
    <row r="30" spans="1:18" ht="23.25" customHeight="1">
      <c r="A30" s="290"/>
      <c r="B30" s="267"/>
      <c r="C30" s="267" t="s">
        <v>189</v>
      </c>
      <c r="D30" s="283" t="s">
        <v>109</v>
      </c>
      <c r="E30" s="274">
        <v>2400</v>
      </c>
      <c r="F30" s="279" t="s">
        <v>297</v>
      </c>
      <c r="G30" s="284">
        <v>5000</v>
      </c>
      <c r="H30" s="279" t="s">
        <v>337</v>
      </c>
      <c r="I30" s="274">
        <v>5000</v>
      </c>
      <c r="J30" s="274">
        <v>2500</v>
      </c>
      <c r="K30" s="274"/>
      <c r="L30" s="292"/>
      <c r="M30" s="274"/>
      <c r="N30" s="274"/>
      <c r="O30" s="274"/>
      <c r="P30" s="274"/>
      <c r="Q30" s="274"/>
      <c r="R30" s="291">
        <f t="shared" si="2"/>
        <v>14900</v>
      </c>
    </row>
    <row r="31" spans="1:18" ht="23.25" customHeight="1">
      <c r="A31" s="290"/>
      <c r="B31" s="267"/>
      <c r="C31" s="267" t="s">
        <v>190</v>
      </c>
      <c r="D31" s="283" t="s">
        <v>110</v>
      </c>
      <c r="E31" s="296">
        <v>2400</v>
      </c>
      <c r="F31" s="292">
        <v>4000</v>
      </c>
      <c r="G31" s="274">
        <v>1000</v>
      </c>
      <c r="H31" s="274">
        <v>3000</v>
      </c>
      <c r="I31" s="274">
        <v>2900</v>
      </c>
      <c r="J31" s="274">
        <v>3000</v>
      </c>
      <c r="K31" s="274"/>
      <c r="L31" s="274"/>
      <c r="M31" s="274"/>
      <c r="N31" s="274"/>
      <c r="O31" s="274"/>
      <c r="P31" s="274"/>
      <c r="Q31" s="274"/>
      <c r="R31" s="291">
        <f t="shared" si="2"/>
        <v>16300</v>
      </c>
    </row>
    <row r="32" spans="1:18" ht="23.25" customHeight="1">
      <c r="A32" s="290"/>
      <c r="B32" s="267"/>
      <c r="C32" s="267" t="s">
        <v>191</v>
      </c>
      <c r="D32" s="283" t="s">
        <v>111</v>
      </c>
      <c r="E32" s="296">
        <v>2300</v>
      </c>
      <c r="F32" s="292">
        <v>4000</v>
      </c>
      <c r="G32" s="274">
        <v>1000</v>
      </c>
      <c r="H32" s="274">
        <v>3000</v>
      </c>
      <c r="I32" s="274">
        <v>3000</v>
      </c>
      <c r="J32" s="274">
        <v>3000</v>
      </c>
      <c r="K32" s="274"/>
      <c r="L32" s="274"/>
      <c r="M32" s="274"/>
      <c r="N32" s="274"/>
      <c r="O32" s="274"/>
      <c r="P32" s="274"/>
      <c r="Q32" s="274"/>
      <c r="R32" s="291">
        <f t="shared" si="2"/>
        <v>16300</v>
      </c>
    </row>
    <row r="33" spans="1:18" ht="23.25" customHeight="1">
      <c r="A33" s="290"/>
      <c r="B33" s="267"/>
      <c r="C33" s="267" t="s">
        <v>192</v>
      </c>
      <c r="D33" s="283" t="s">
        <v>112</v>
      </c>
      <c r="E33" s="296">
        <v>2400</v>
      </c>
      <c r="F33" s="299" t="s">
        <v>297</v>
      </c>
      <c r="G33" s="274">
        <v>4300</v>
      </c>
      <c r="H33" s="274">
        <v>2500</v>
      </c>
      <c r="I33" s="274">
        <v>2500</v>
      </c>
      <c r="J33" s="274">
        <v>2500</v>
      </c>
      <c r="K33" s="274"/>
      <c r="L33" s="274"/>
      <c r="M33" s="274"/>
      <c r="N33" s="274"/>
      <c r="O33" s="274"/>
      <c r="P33" s="274"/>
      <c r="Q33" s="274"/>
      <c r="R33" s="291">
        <f t="shared" si="2"/>
        <v>14200</v>
      </c>
    </row>
    <row r="34" spans="1:18" ht="23.25" customHeight="1">
      <c r="A34" s="290"/>
      <c r="B34" s="267"/>
      <c r="C34" s="267" t="s">
        <v>193</v>
      </c>
      <c r="D34" s="283" t="s">
        <v>113</v>
      </c>
      <c r="E34" s="296">
        <v>5400</v>
      </c>
      <c r="F34" s="299" t="s">
        <v>321</v>
      </c>
      <c r="G34" s="299" t="s">
        <v>321</v>
      </c>
      <c r="H34" s="274">
        <v>4200</v>
      </c>
      <c r="I34" s="284">
        <v>3000</v>
      </c>
      <c r="J34" s="274">
        <v>3000</v>
      </c>
      <c r="K34" s="274"/>
      <c r="L34" s="274"/>
      <c r="M34" s="274"/>
      <c r="N34" s="274"/>
      <c r="O34" s="279"/>
      <c r="P34" s="274"/>
      <c r="Q34" s="274"/>
      <c r="R34" s="291">
        <f t="shared" si="2"/>
        <v>15600</v>
      </c>
    </row>
    <row r="35" spans="1:18" ht="23.25" customHeight="1">
      <c r="A35" s="290"/>
      <c r="B35" s="267"/>
      <c r="C35" s="267" t="s">
        <v>194</v>
      </c>
      <c r="D35" s="283" t="s">
        <v>114</v>
      </c>
      <c r="E35" s="297">
        <v>2400</v>
      </c>
      <c r="F35" s="280">
        <v>4000</v>
      </c>
      <c r="G35" s="274" t="s">
        <v>291</v>
      </c>
      <c r="H35" s="280">
        <v>3300</v>
      </c>
      <c r="I35" s="280">
        <v>3000</v>
      </c>
      <c r="J35" s="280">
        <v>3000</v>
      </c>
      <c r="K35" s="280"/>
      <c r="L35" s="279"/>
      <c r="M35" s="280"/>
      <c r="N35" s="280"/>
      <c r="O35" s="280"/>
      <c r="P35" s="280"/>
      <c r="Q35" s="280"/>
      <c r="R35" s="291">
        <f t="shared" si="2"/>
        <v>15700</v>
      </c>
    </row>
    <row r="36" spans="1:18" ht="23.25" customHeight="1">
      <c r="A36" s="290"/>
      <c r="B36" s="267"/>
      <c r="C36" s="267" t="s">
        <v>195</v>
      </c>
      <c r="D36" s="283" t="s">
        <v>115</v>
      </c>
      <c r="E36" s="296">
        <v>2400</v>
      </c>
      <c r="F36" s="274">
        <v>4000</v>
      </c>
      <c r="G36" s="274">
        <v>1000</v>
      </c>
      <c r="H36" s="274">
        <v>3000</v>
      </c>
      <c r="I36" s="274">
        <v>3000</v>
      </c>
      <c r="J36" s="274">
        <v>3000</v>
      </c>
      <c r="K36" s="274"/>
      <c r="L36" s="274"/>
      <c r="M36" s="274"/>
      <c r="N36" s="274"/>
      <c r="O36" s="274"/>
      <c r="P36" s="274"/>
      <c r="Q36" s="274"/>
      <c r="R36" s="291">
        <f t="shared" si="2"/>
        <v>16400</v>
      </c>
    </row>
    <row r="37" spans="1:18" ht="23.25" customHeight="1">
      <c r="A37" s="290"/>
      <c r="B37" s="267"/>
      <c r="C37" s="267" t="s">
        <v>196</v>
      </c>
      <c r="D37" s="283" t="s">
        <v>116</v>
      </c>
      <c r="E37" s="297">
        <v>2400</v>
      </c>
      <c r="F37" s="280">
        <v>2000</v>
      </c>
      <c r="G37" s="297">
        <v>1000</v>
      </c>
      <c r="H37" s="279" t="s">
        <v>337</v>
      </c>
      <c r="I37" s="298">
        <v>3000</v>
      </c>
      <c r="J37" s="298"/>
      <c r="K37" s="298"/>
      <c r="L37" s="280"/>
      <c r="M37" s="274"/>
      <c r="N37" s="280"/>
      <c r="O37" s="280"/>
      <c r="P37" s="280"/>
      <c r="Q37" s="280"/>
      <c r="R37" s="291">
        <f t="shared" si="2"/>
        <v>8400</v>
      </c>
    </row>
    <row r="38" spans="1:18" ht="23.25" customHeight="1">
      <c r="A38" s="290"/>
      <c r="B38" s="267"/>
      <c r="C38" s="267" t="s">
        <v>197</v>
      </c>
      <c r="D38" s="289" t="s">
        <v>117</v>
      </c>
      <c r="E38" s="297">
        <v>2200</v>
      </c>
      <c r="F38" s="280">
        <v>2000</v>
      </c>
      <c r="G38" s="280">
        <v>900</v>
      </c>
      <c r="H38" s="279" t="s">
        <v>337</v>
      </c>
      <c r="I38" s="298">
        <v>2400</v>
      </c>
      <c r="J38" s="280"/>
      <c r="K38" s="280"/>
      <c r="L38" s="280"/>
      <c r="M38" s="274"/>
      <c r="N38" s="280"/>
      <c r="O38" s="280"/>
      <c r="P38" s="280"/>
      <c r="Q38" s="280"/>
      <c r="R38" s="291">
        <f t="shared" si="2"/>
        <v>7500</v>
      </c>
    </row>
    <row r="39" spans="1:18" ht="23.25" customHeight="1">
      <c r="A39" s="290"/>
      <c r="B39" s="267"/>
      <c r="C39" s="267" t="s">
        <v>198</v>
      </c>
      <c r="D39" s="283" t="s">
        <v>118</v>
      </c>
      <c r="E39" s="296">
        <v>1200</v>
      </c>
      <c r="F39" s="274"/>
      <c r="G39" s="274"/>
      <c r="H39" s="274">
        <v>2400</v>
      </c>
      <c r="I39" s="274"/>
      <c r="J39" s="274">
        <v>1600</v>
      </c>
      <c r="K39" s="274"/>
      <c r="L39" s="274"/>
      <c r="M39" s="274"/>
      <c r="N39" s="274"/>
      <c r="O39" s="274"/>
      <c r="P39" s="274"/>
      <c r="Q39" s="274"/>
      <c r="R39" s="291">
        <f t="shared" si="2"/>
        <v>5200</v>
      </c>
    </row>
    <row r="40" spans="1:18" ht="23.25" customHeight="1">
      <c r="A40" s="290"/>
      <c r="B40" s="267"/>
      <c r="C40" s="267" t="s">
        <v>199</v>
      </c>
      <c r="D40" s="283" t="s">
        <v>119</v>
      </c>
      <c r="E40" s="296">
        <v>2400</v>
      </c>
      <c r="F40" s="292"/>
      <c r="G40" s="274">
        <v>2600</v>
      </c>
      <c r="H40" s="274">
        <v>3000</v>
      </c>
      <c r="I40" s="274">
        <v>3000</v>
      </c>
      <c r="J40" s="284">
        <v>3000</v>
      </c>
      <c r="K40" s="274"/>
      <c r="L40" s="274"/>
      <c r="M40" s="274"/>
      <c r="N40" s="274"/>
      <c r="O40" s="274"/>
      <c r="P40" s="279"/>
      <c r="Q40" s="274"/>
      <c r="R40" s="291">
        <f t="shared" si="2"/>
        <v>14000</v>
      </c>
    </row>
    <row r="41" spans="1:18" ht="23.25" customHeight="1">
      <c r="A41" s="290"/>
      <c r="B41" s="267"/>
      <c r="C41" s="267" t="s">
        <v>200</v>
      </c>
      <c r="D41" s="283" t="s">
        <v>120</v>
      </c>
      <c r="E41" s="297">
        <v>2400</v>
      </c>
      <c r="F41" s="298">
        <v>3300</v>
      </c>
      <c r="G41" s="280">
        <v>1000</v>
      </c>
      <c r="H41" s="280">
        <v>3000</v>
      </c>
      <c r="I41" s="280">
        <v>3000</v>
      </c>
      <c r="J41" s="280">
        <v>3000</v>
      </c>
      <c r="K41" s="280"/>
      <c r="L41" s="280"/>
      <c r="M41" s="280"/>
      <c r="N41" s="280"/>
      <c r="O41" s="280"/>
      <c r="P41" s="280"/>
      <c r="Q41" s="280"/>
      <c r="R41" s="291">
        <f t="shared" si="2"/>
        <v>15700</v>
      </c>
    </row>
    <row r="42" spans="1:18" ht="23.25" customHeight="1">
      <c r="A42" s="290"/>
      <c r="B42" s="267"/>
      <c r="C42" s="267" t="s">
        <v>201</v>
      </c>
      <c r="D42" s="283" t="s">
        <v>121</v>
      </c>
      <c r="E42" s="297">
        <v>2400</v>
      </c>
      <c r="F42" s="298">
        <v>3300</v>
      </c>
      <c r="G42" s="280">
        <v>1000</v>
      </c>
      <c r="H42" s="280">
        <v>2500</v>
      </c>
      <c r="I42" s="280">
        <v>2500</v>
      </c>
      <c r="J42" s="280">
        <v>2500</v>
      </c>
      <c r="K42" s="280"/>
      <c r="L42" s="280"/>
      <c r="M42" s="280"/>
      <c r="N42" s="280"/>
      <c r="O42" s="280"/>
      <c r="P42" s="280"/>
      <c r="Q42" s="280"/>
      <c r="R42" s="291">
        <f t="shared" si="2"/>
        <v>14200</v>
      </c>
    </row>
    <row r="43" spans="1:18" ht="23.25" customHeight="1">
      <c r="A43" s="290"/>
      <c r="B43" s="267"/>
      <c r="C43" s="267" t="s">
        <v>202</v>
      </c>
      <c r="D43" s="283" t="s">
        <v>122</v>
      </c>
      <c r="E43" s="296">
        <v>2400</v>
      </c>
      <c r="F43" s="299" t="s">
        <v>297</v>
      </c>
      <c r="G43" s="274">
        <v>4000</v>
      </c>
      <c r="H43" s="274">
        <v>4000</v>
      </c>
      <c r="I43" s="274">
        <v>3000</v>
      </c>
      <c r="J43" s="274">
        <v>3000</v>
      </c>
      <c r="K43" s="274"/>
      <c r="L43" s="274"/>
      <c r="M43" s="274"/>
      <c r="N43" s="274"/>
      <c r="O43" s="274"/>
      <c r="P43" s="274"/>
      <c r="Q43" s="274"/>
      <c r="R43" s="291">
        <f t="shared" si="2"/>
        <v>16400</v>
      </c>
    </row>
    <row r="44" spans="1:18" ht="23.25" customHeight="1">
      <c r="A44" s="290"/>
      <c r="B44" s="267"/>
      <c r="C44" s="267" t="s">
        <v>203</v>
      </c>
      <c r="D44" s="283" t="s">
        <v>123</v>
      </c>
      <c r="E44" s="296">
        <v>2400</v>
      </c>
      <c r="F44" s="292">
        <v>4000</v>
      </c>
      <c r="G44" s="279" t="s">
        <v>321</v>
      </c>
      <c r="H44" s="274">
        <v>4000</v>
      </c>
      <c r="I44" s="274">
        <v>3000</v>
      </c>
      <c r="J44" s="274">
        <v>3000</v>
      </c>
      <c r="K44" s="274"/>
      <c r="L44" s="274"/>
      <c r="M44" s="274"/>
      <c r="N44" s="274"/>
      <c r="O44" s="274"/>
      <c r="P44" s="274"/>
      <c r="Q44" s="274"/>
      <c r="R44" s="291">
        <f t="shared" si="2"/>
        <v>16400</v>
      </c>
    </row>
    <row r="45" spans="1:18" ht="23.25" customHeight="1">
      <c r="A45" s="290"/>
      <c r="B45" s="267"/>
      <c r="C45" s="267" t="s">
        <v>204</v>
      </c>
      <c r="D45" s="283" t="s">
        <v>124</v>
      </c>
      <c r="E45" s="296">
        <v>2400</v>
      </c>
      <c r="F45" s="292" t="s">
        <v>287</v>
      </c>
      <c r="G45" s="274">
        <v>1000</v>
      </c>
      <c r="H45" s="274">
        <v>3000</v>
      </c>
      <c r="I45" s="274" t="s">
        <v>313</v>
      </c>
      <c r="J45" s="274" t="s">
        <v>313</v>
      </c>
      <c r="K45" s="274" t="s">
        <v>313</v>
      </c>
      <c r="L45" s="274" t="s">
        <v>313</v>
      </c>
      <c r="M45" s="274" t="s">
        <v>313</v>
      </c>
      <c r="N45" s="274" t="s">
        <v>313</v>
      </c>
      <c r="O45" s="274" t="s">
        <v>313</v>
      </c>
      <c r="P45" s="274" t="s">
        <v>313</v>
      </c>
      <c r="Q45" s="274" t="s">
        <v>313</v>
      </c>
      <c r="R45" s="291">
        <f t="shared" si="2"/>
        <v>6400</v>
      </c>
    </row>
    <row r="46" spans="1:18" ht="23.25" customHeight="1">
      <c r="A46" s="290"/>
      <c r="B46" s="267"/>
      <c r="C46" s="267" t="s">
        <v>205</v>
      </c>
      <c r="D46" s="283" t="s">
        <v>125</v>
      </c>
      <c r="E46" s="296">
        <v>2400</v>
      </c>
      <c r="F46" s="292">
        <v>4000</v>
      </c>
      <c r="G46" s="279" t="s">
        <v>321</v>
      </c>
      <c r="H46" s="274">
        <v>4000</v>
      </c>
      <c r="I46" s="274">
        <v>3000</v>
      </c>
      <c r="J46" s="274">
        <v>3000</v>
      </c>
      <c r="K46" s="274"/>
      <c r="L46" s="274"/>
      <c r="M46" s="274"/>
      <c r="N46" s="274"/>
      <c r="O46" s="279"/>
      <c r="P46" s="274"/>
      <c r="Q46" s="274"/>
      <c r="R46" s="291">
        <f t="shared" ref="R46:R70" si="3">SUM(E46:Q46)</f>
        <v>16400</v>
      </c>
    </row>
    <row r="47" spans="1:18" ht="23.25" customHeight="1">
      <c r="A47" s="290"/>
      <c r="B47" s="267"/>
      <c r="C47" s="267" t="s">
        <v>206</v>
      </c>
      <c r="D47" s="283" t="s">
        <v>126</v>
      </c>
      <c r="E47" s="296">
        <v>2400</v>
      </c>
      <c r="F47" s="292">
        <v>3300</v>
      </c>
      <c r="G47" s="274">
        <v>1000</v>
      </c>
      <c r="H47" s="274">
        <v>3000</v>
      </c>
      <c r="I47" s="274">
        <v>3000</v>
      </c>
      <c r="J47" s="274">
        <v>3000</v>
      </c>
      <c r="K47" s="274"/>
      <c r="L47" s="274"/>
      <c r="M47" s="274"/>
      <c r="N47" s="274"/>
      <c r="O47" s="274"/>
      <c r="P47" s="274"/>
      <c r="Q47" s="274"/>
      <c r="R47" s="291">
        <f t="shared" si="3"/>
        <v>15700</v>
      </c>
    </row>
    <row r="48" spans="1:18" ht="23.25" customHeight="1">
      <c r="A48" s="290"/>
      <c r="B48" s="267"/>
      <c r="C48" s="267" t="s">
        <v>207</v>
      </c>
      <c r="D48" s="289" t="s">
        <v>127</v>
      </c>
      <c r="E48" s="296">
        <v>2200</v>
      </c>
      <c r="F48" s="299" t="s">
        <v>297</v>
      </c>
      <c r="G48" s="274">
        <v>4900</v>
      </c>
      <c r="H48" s="274">
        <v>2900</v>
      </c>
      <c r="I48" s="279" t="s">
        <v>363</v>
      </c>
      <c r="J48" s="284">
        <v>2800</v>
      </c>
      <c r="K48" s="274"/>
      <c r="L48" s="274"/>
      <c r="M48" s="274"/>
      <c r="N48" s="274"/>
      <c r="O48" s="279"/>
      <c r="P48" s="274"/>
      <c r="Q48" s="274"/>
      <c r="R48" s="291">
        <f t="shared" si="3"/>
        <v>12800</v>
      </c>
    </row>
    <row r="49" spans="1:18" ht="23.25" customHeight="1">
      <c r="A49" s="290"/>
      <c r="B49" s="267"/>
      <c r="C49" s="267" t="s">
        <v>208</v>
      </c>
      <c r="D49" s="293" t="s">
        <v>128</v>
      </c>
      <c r="E49" s="296">
        <v>2400</v>
      </c>
      <c r="F49" s="300">
        <v>4000</v>
      </c>
      <c r="G49" s="274">
        <v>1000</v>
      </c>
      <c r="H49" s="274">
        <v>2500</v>
      </c>
      <c r="I49" s="274">
        <v>2500</v>
      </c>
      <c r="J49" s="274">
        <v>2500</v>
      </c>
      <c r="K49" s="274"/>
      <c r="L49" s="274"/>
      <c r="M49" s="274"/>
      <c r="N49" s="274"/>
      <c r="O49" s="274"/>
      <c r="P49" s="274"/>
      <c r="Q49" s="274"/>
      <c r="R49" s="291">
        <f t="shared" si="3"/>
        <v>14900</v>
      </c>
    </row>
    <row r="50" spans="1:18" ht="23.25" customHeight="1">
      <c r="A50" s="290"/>
      <c r="B50" s="267"/>
      <c r="C50" s="267" t="s">
        <v>209</v>
      </c>
      <c r="D50" s="283" t="s">
        <v>129</v>
      </c>
      <c r="E50" s="296">
        <v>2400</v>
      </c>
      <c r="F50" s="292">
        <v>4000</v>
      </c>
      <c r="G50" s="274">
        <v>1000</v>
      </c>
      <c r="H50" s="274">
        <v>3000</v>
      </c>
      <c r="I50" s="274">
        <v>3000</v>
      </c>
      <c r="J50" s="274">
        <v>3000</v>
      </c>
      <c r="K50" s="274"/>
      <c r="L50" s="274"/>
      <c r="M50" s="274"/>
      <c r="N50" s="274"/>
      <c r="O50" s="274"/>
      <c r="P50" s="274"/>
      <c r="Q50" s="274"/>
      <c r="R50" s="291">
        <f t="shared" si="3"/>
        <v>16400</v>
      </c>
    </row>
    <row r="51" spans="1:18" ht="23.25" customHeight="1">
      <c r="A51" s="290"/>
      <c r="B51" s="267"/>
      <c r="C51" s="267" t="s">
        <v>210</v>
      </c>
      <c r="D51" s="283" t="s">
        <v>130</v>
      </c>
      <c r="E51" s="296">
        <v>2400</v>
      </c>
      <c r="F51" s="292">
        <v>4000</v>
      </c>
      <c r="G51" s="274">
        <v>1000</v>
      </c>
      <c r="H51" s="274">
        <v>3000</v>
      </c>
      <c r="I51" s="274">
        <v>3000</v>
      </c>
      <c r="J51" s="274">
        <v>3000</v>
      </c>
      <c r="K51" s="274"/>
      <c r="L51" s="274"/>
      <c r="M51" s="274"/>
      <c r="N51" s="274"/>
      <c r="O51" s="274"/>
      <c r="P51" s="274"/>
      <c r="Q51" s="274"/>
      <c r="R51" s="291">
        <f t="shared" si="3"/>
        <v>16400</v>
      </c>
    </row>
    <row r="52" spans="1:18" ht="23.25" customHeight="1">
      <c r="A52" s="290"/>
      <c r="B52" s="267"/>
      <c r="C52" s="267" t="s">
        <v>211</v>
      </c>
      <c r="D52" s="283" t="s">
        <v>133</v>
      </c>
      <c r="E52" s="297">
        <v>2400</v>
      </c>
      <c r="F52" s="298">
        <v>4000</v>
      </c>
      <c r="G52" s="280">
        <v>1000</v>
      </c>
      <c r="H52" s="280">
        <v>3000</v>
      </c>
      <c r="I52" s="280">
        <v>3000</v>
      </c>
      <c r="J52" s="274">
        <v>3000</v>
      </c>
      <c r="K52" s="274"/>
      <c r="L52" s="280"/>
      <c r="M52" s="280"/>
      <c r="N52" s="280"/>
      <c r="O52" s="280"/>
      <c r="P52" s="274"/>
      <c r="Q52" s="280"/>
      <c r="R52" s="291">
        <f t="shared" si="3"/>
        <v>16400</v>
      </c>
    </row>
    <row r="53" spans="1:18" ht="23.25" customHeight="1">
      <c r="A53" s="290"/>
      <c r="B53" s="267"/>
      <c r="C53" s="267" t="s">
        <v>212</v>
      </c>
      <c r="D53" s="283" t="s">
        <v>131</v>
      </c>
      <c r="E53" s="297">
        <v>2400</v>
      </c>
      <c r="F53" s="298">
        <v>3300</v>
      </c>
      <c r="G53" s="280">
        <v>1000</v>
      </c>
      <c r="H53" s="280">
        <v>2500</v>
      </c>
      <c r="I53" s="280">
        <v>2500</v>
      </c>
      <c r="J53" s="274">
        <v>2500</v>
      </c>
      <c r="K53" s="274"/>
      <c r="L53" s="274"/>
      <c r="M53" s="274"/>
      <c r="N53" s="274"/>
      <c r="O53" s="274"/>
      <c r="P53" s="274"/>
      <c r="Q53" s="274"/>
      <c r="R53" s="291">
        <f t="shared" si="3"/>
        <v>14200</v>
      </c>
    </row>
    <row r="54" spans="1:18" ht="23.25" customHeight="1">
      <c r="A54" s="290"/>
      <c r="B54" s="267"/>
      <c r="C54" s="267" t="s">
        <v>213</v>
      </c>
      <c r="D54" s="283" t="s">
        <v>132</v>
      </c>
      <c r="E54" s="326">
        <v>2400</v>
      </c>
      <c r="F54" s="292" t="s">
        <v>287</v>
      </c>
      <c r="G54" s="274">
        <v>1000</v>
      </c>
      <c r="H54" s="274">
        <v>3000</v>
      </c>
      <c r="I54" s="274">
        <v>3000</v>
      </c>
      <c r="J54" s="274">
        <v>3000</v>
      </c>
      <c r="K54" s="274"/>
      <c r="L54" s="280"/>
      <c r="M54" s="280"/>
      <c r="N54" s="280"/>
      <c r="O54" s="280"/>
      <c r="P54" s="274"/>
      <c r="Q54" s="280"/>
      <c r="R54" s="291">
        <f t="shared" si="3"/>
        <v>12400</v>
      </c>
    </row>
    <row r="55" spans="1:18" ht="23.25" customHeight="1">
      <c r="A55" s="290"/>
      <c r="B55" s="267"/>
      <c r="C55" s="267" t="s">
        <v>214</v>
      </c>
      <c r="D55" s="283" t="s">
        <v>134</v>
      </c>
      <c r="E55" s="296">
        <v>2400</v>
      </c>
      <c r="F55" s="292">
        <v>4000</v>
      </c>
      <c r="G55" s="274"/>
      <c r="H55" s="274">
        <v>3300</v>
      </c>
      <c r="I55" s="279" t="s">
        <v>363</v>
      </c>
      <c r="J55" s="274">
        <v>6000</v>
      </c>
      <c r="K55" s="274"/>
      <c r="L55" s="274"/>
      <c r="M55" s="274"/>
      <c r="N55" s="274"/>
      <c r="O55" s="279"/>
      <c r="P55" s="274"/>
      <c r="Q55" s="274"/>
      <c r="R55" s="291">
        <f t="shared" si="3"/>
        <v>15700</v>
      </c>
    </row>
    <row r="56" spans="1:18" ht="23.25" customHeight="1">
      <c r="A56" s="290"/>
      <c r="B56" s="267"/>
      <c r="C56" s="267" t="s">
        <v>215</v>
      </c>
      <c r="D56" s="283" t="s">
        <v>135</v>
      </c>
      <c r="E56" s="296">
        <v>2400</v>
      </c>
      <c r="F56" s="292" t="s">
        <v>288</v>
      </c>
      <c r="G56" s="279" t="s">
        <v>321</v>
      </c>
      <c r="H56" s="274">
        <v>4000</v>
      </c>
      <c r="I56" s="274">
        <v>3000</v>
      </c>
      <c r="J56" s="274">
        <v>3000</v>
      </c>
      <c r="K56" s="274"/>
      <c r="L56" s="274"/>
      <c r="M56" s="274"/>
      <c r="N56" s="274"/>
      <c r="O56" s="274"/>
      <c r="P56" s="274"/>
      <c r="Q56" s="274"/>
      <c r="R56" s="291">
        <f t="shared" si="3"/>
        <v>12400</v>
      </c>
    </row>
    <row r="57" spans="1:18" ht="23.25" customHeight="1">
      <c r="A57" s="290"/>
      <c r="B57" s="267"/>
      <c r="C57" s="267" t="s">
        <v>216</v>
      </c>
      <c r="D57" s="283" t="s">
        <v>136</v>
      </c>
      <c r="E57" s="296"/>
      <c r="F57" s="299" t="s">
        <v>297</v>
      </c>
      <c r="G57" s="274">
        <v>3000</v>
      </c>
      <c r="H57" s="274">
        <v>800</v>
      </c>
      <c r="I57" s="274">
        <v>3000</v>
      </c>
      <c r="J57" s="274"/>
      <c r="K57" s="274"/>
      <c r="L57" s="274"/>
      <c r="M57" s="274"/>
      <c r="N57" s="274"/>
      <c r="O57" s="274"/>
      <c r="P57" s="274"/>
      <c r="Q57" s="274"/>
      <c r="R57" s="291">
        <f t="shared" si="3"/>
        <v>6800</v>
      </c>
    </row>
    <row r="58" spans="1:18" ht="23.25" customHeight="1">
      <c r="A58" s="290"/>
      <c r="B58" s="267"/>
      <c r="C58" s="267" t="s">
        <v>217</v>
      </c>
      <c r="D58" s="283" t="s">
        <v>137</v>
      </c>
      <c r="E58" s="296">
        <v>800</v>
      </c>
      <c r="F58" s="292" t="s">
        <v>287</v>
      </c>
      <c r="G58" s="274">
        <v>800</v>
      </c>
      <c r="H58" s="274"/>
      <c r="I58" s="274">
        <v>400</v>
      </c>
      <c r="J58" s="274">
        <v>800</v>
      </c>
      <c r="K58" s="274"/>
      <c r="L58" s="274"/>
      <c r="M58" s="274"/>
      <c r="N58" s="274"/>
      <c r="O58" s="274"/>
      <c r="P58" s="274"/>
      <c r="Q58" s="274"/>
      <c r="R58" s="291">
        <f t="shared" si="3"/>
        <v>2800</v>
      </c>
    </row>
    <row r="59" spans="1:18" ht="23.25" customHeight="1">
      <c r="A59" s="290"/>
      <c r="B59" s="267"/>
      <c r="C59" s="267" t="s">
        <v>218</v>
      </c>
      <c r="D59" s="283" t="s">
        <v>138</v>
      </c>
      <c r="E59" s="296">
        <v>2400</v>
      </c>
      <c r="F59" s="292">
        <v>4000</v>
      </c>
      <c r="G59" s="274">
        <v>1000</v>
      </c>
      <c r="H59" s="274">
        <v>3000</v>
      </c>
      <c r="I59" s="274">
        <v>3000</v>
      </c>
      <c r="J59" s="274">
        <v>3000</v>
      </c>
      <c r="K59" s="274"/>
      <c r="L59" s="274"/>
      <c r="M59" s="274"/>
      <c r="N59" s="274"/>
      <c r="O59" s="274"/>
      <c r="P59" s="274"/>
      <c r="Q59" s="274"/>
      <c r="R59" s="291">
        <f t="shared" si="3"/>
        <v>16400</v>
      </c>
    </row>
    <row r="60" spans="1:18" ht="23.25" customHeight="1">
      <c r="A60" s="290"/>
      <c r="B60" s="267"/>
      <c r="C60" s="267" t="s">
        <v>219</v>
      </c>
      <c r="D60" s="283" t="s">
        <v>139</v>
      </c>
      <c r="E60" s="296">
        <v>2400</v>
      </c>
      <c r="F60" s="292">
        <v>4000</v>
      </c>
      <c r="G60" s="274">
        <v>1000</v>
      </c>
      <c r="H60" s="274">
        <v>3000</v>
      </c>
      <c r="I60" s="274">
        <v>3000</v>
      </c>
      <c r="J60" s="274">
        <v>3000</v>
      </c>
      <c r="K60" s="274"/>
      <c r="L60" s="274"/>
      <c r="M60" s="274"/>
      <c r="N60" s="274"/>
      <c r="O60" s="274"/>
      <c r="P60" s="274"/>
      <c r="Q60" s="274"/>
      <c r="R60" s="291">
        <f t="shared" si="3"/>
        <v>16400</v>
      </c>
    </row>
    <row r="61" spans="1:18" ht="23.25" customHeight="1">
      <c r="A61" s="290"/>
      <c r="B61" s="267"/>
      <c r="C61" s="267" t="s">
        <v>220</v>
      </c>
      <c r="D61" s="283" t="s">
        <v>140</v>
      </c>
      <c r="E61" s="296">
        <v>2400</v>
      </c>
      <c r="F61" s="292">
        <v>4000</v>
      </c>
      <c r="G61" s="279" t="s">
        <v>321</v>
      </c>
      <c r="H61" s="274">
        <v>4000</v>
      </c>
      <c r="I61" s="274">
        <v>3000</v>
      </c>
      <c r="J61" s="274">
        <v>3000</v>
      </c>
      <c r="K61" s="274"/>
      <c r="L61" s="274"/>
      <c r="M61" s="274"/>
      <c r="N61" s="274"/>
      <c r="O61" s="274"/>
      <c r="P61" s="274"/>
      <c r="Q61" s="274"/>
      <c r="R61" s="291">
        <f>SUM(E61:Q61)</f>
        <v>16400</v>
      </c>
    </row>
    <row r="62" spans="1:18" ht="23.25" customHeight="1">
      <c r="A62" s="290"/>
      <c r="B62" s="267"/>
      <c r="C62" s="267" t="s">
        <v>221</v>
      </c>
      <c r="D62" s="283" t="s">
        <v>141</v>
      </c>
      <c r="E62" s="296">
        <v>2400</v>
      </c>
      <c r="F62" s="299" t="s">
        <v>297</v>
      </c>
      <c r="G62" s="274">
        <v>4300</v>
      </c>
      <c r="H62" s="274">
        <v>3000</v>
      </c>
      <c r="I62" s="274">
        <v>3000</v>
      </c>
      <c r="J62" s="274">
        <v>3000</v>
      </c>
      <c r="K62" s="274"/>
      <c r="L62" s="274"/>
      <c r="M62" s="274"/>
      <c r="N62" s="274"/>
      <c r="O62" s="274"/>
      <c r="P62" s="274"/>
      <c r="Q62" s="274"/>
      <c r="R62" s="291">
        <f>SUM(E62:Q62)</f>
        <v>15700</v>
      </c>
    </row>
    <row r="63" spans="1:18" ht="23.25" customHeight="1">
      <c r="A63" s="290"/>
      <c r="B63" s="267"/>
      <c r="C63" s="267" t="s">
        <v>222</v>
      </c>
      <c r="D63" s="283" t="s">
        <v>142</v>
      </c>
      <c r="E63" s="296">
        <v>2400</v>
      </c>
      <c r="F63" s="298">
        <v>3300</v>
      </c>
      <c r="G63" s="280">
        <v>1000</v>
      </c>
      <c r="H63" s="280">
        <v>3000</v>
      </c>
      <c r="I63" s="280">
        <v>3000</v>
      </c>
      <c r="J63" s="274">
        <v>3000</v>
      </c>
      <c r="K63" s="274"/>
      <c r="L63" s="274"/>
      <c r="M63" s="274"/>
      <c r="N63" s="274"/>
      <c r="O63" s="274"/>
      <c r="P63" s="274"/>
      <c r="Q63" s="274"/>
      <c r="R63" s="291">
        <f>SUM(E63:Q63)</f>
        <v>15700</v>
      </c>
    </row>
    <row r="64" spans="1:18" ht="23.25" customHeight="1">
      <c r="A64" s="290"/>
      <c r="B64" s="267"/>
      <c r="C64" s="267" t="s">
        <v>223</v>
      </c>
      <c r="D64" s="283" t="s">
        <v>143</v>
      </c>
      <c r="E64" s="296">
        <v>2400</v>
      </c>
      <c r="F64" s="292">
        <v>3300</v>
      </c>
      <c r="G64" s="274">
        <v>1000</v>
      </c>
      <c r="H64" s="274">
        <v>3000</v>
      </c>
      <c r="I64" s="301"/>
      <c r="J64" s="280"/>
      <c r="K64" s="280"/>
      <c r="L64" s="280"/>
      <c r="M64" s="274"/>
      <c r="N64" s="280"/>
      <c r="O64" s="280"/>
      <c r="P64" s="280"/>
      <c r="Q64" s="280"/>
      <c r="R64" s="291">
        <f>SUM(E64:Q64)</f>
        <v>9700</v>
      </c>
    </row>
    <row r="65" spans="1:18" ht="23.25" customHeight="1">
      <c r="A65" s="290"/>
      <c r="B65" s="267"/>
      <c r="C65" s="267" t="s">
        <v>224</v>
      </c>
      <c r="D65" s="283" t="s">
        <v>144</v>
      </c>
      <c r="E65" s="296">
        <v>2400</v>
      </c>
      <c r="F65" s="299" t="s">
        <v>321</v>
      </c>
      <c r="G65" s="299" t="s">
        <v>321</v>
      </c>
      <c r="H65" s="274">
        <v>7300</v>
      </c>
      <c r="I65" s="279" t="s">
        <v>363</v>
      </c>
      <c r="J65" s="274">
        <v>6000</v>
      </c>
      <c r="K65" s="274"/>
      <c r="L65" s="274"/>
      <c r="M65" s="274"/>
      <c r="N65" s="274"/>
      <c r="O65" s="274"/>
      <c r="P65" s="274"/>
      <c r="Q65" s="274"/>
      <c r="R65" s="291">
        <f t="shared" si="3"/>
        <v>15700</v>
      </c>
    </row>
    <row r="66" spans="1:18" ht="23.25" customHeight="1">
      <c r="A66" s="290"/>
      <c r="B66" s="267"/>
      <c r="C66" s="267" t="s">
        <v>225</v>
      </c>
      <c r="D66" s="283" t="s">
        <v>145</v>
      </c>
      <c r="E66" s="296">
        <v>2400</v>
      </c>
      <c r="F66" s="292">
        <v>4000</v>
      </c>
      <c r="G66" s="274">
        <v>1000</v>
      </c>
      <c r="H66" s="274">
        <v>3000</v>
      </c>
      <c r="I66" s="274">
        <v>2900</v>
      </c>
      <c r="J66" s="274">
        <v>3000</v>
      </c>
      <c r="K66" s="274"/>
      <c r="L66" s="274"/>
      <c r="M66" s="274"/>
      <c r="N66" s="274"/>
      <c r="O66" s="274"/>
      <c r="P66" s="274"/>
      <c r="Q66" s="274"/>
      <c r="R66" s="291">
        <f t="shared" ref="R66:R69" si="4">SUM(E66:Q66)</f>
        <v>16300</v>
      </c>
    </row>
    <row r="67" spans="1:18" ht="23.25" customHeight="1">
      <c r="A67" s="290"/>
      <c r="B67" s="267"/>
      <c r="C67" s="267" t="s">
        <v>226</v>
      </c>
      <c r="D67" s="283" t="s">
        <v>146</v>
      </c>
      <c r="E67" s="296">
        <v>2400</v>
      </c>
      <c r="F67" s="299" t="s">
        <v>297</v>
      </c>
      <c r="G67" s="274">
        <v>5000</v>
      </c>
      <c r="H67" s="274">
        <v>2500</v>
      </c>
      <c r="I67" s="274">
        <v>2500</v>
      </c>
      <c r="J67" s="274">
        <v>2500</v>
      </c>
      <c r="K67" s="274"/>
      <c r="L67" s="274"/>
      <c r="M67" s="274"/>
      <c r="N67" s="274"/>
      <c r="O67" s="274"/>
      <c r="P67" s="274"/>
      <c r="Q67" s="274"/>
      <c r="R67" s="291">
        <f t="shared" si="4"/>
        <v>14900</v>
      </c>
    </row>
    <row r="68" spans="1:18" ht="23.25" customHeight="1">
      <c r="A68" s="290"/>
      <c r="B68" s="267"/>
      <c r="C68" s="267" t="s">
        <v>227</v>
      </c>
      <c r="D68" s="283" t="s">
        <v>147</v>
      </c>
      <c r="E68" s="296">
        <v>2400</v>
      </c>
      <c r="F68" s="292">
        <v>3300</v>
      </c>
      <c r="G68" s="274">
        <v>1000</v>
      </c>
      <c r="H68" s="274">
        <v>3000</v>
      </c>
      <c r="I68" s="274">
        <v>3000</v>
      </c>
      <c r="J68" s="274">
        <v>3000</v>
      </c>
      <c r="K68" s="274"/>
      <c r="L68" s="274"/>
      <c r="M68" s="274"/>
      <c r="N68" s="274"/>
      <c r="O68" s="274"/>
      <c r="P68" s="274"/>
      <c r="Q68" s="274"/>
      <c r="R68" s="291">
        <f t="shared" si="4"/>
        <v>15700</v>
      </c>
    </row>
    <row r="69" spans="1:18" ht="23.25" customHeight="1">
      <c r="A69" s="290"/>
      <c r="B69" s="267"/>
      <c r="C69" s="267" t="s">
        <v>228</v>
      </c>
      <c r="D69" s="283" t="s">
        <v>148</v>
      </c>
      <c r="E69" s="296">
        <v>2400</v>
      </c>
      <c r="F69" s="292"/>
      <c r="G69" s="274">
        <v>1000</v>
      </c>
      <c r="H69" s="274">
        <v>3000</v>
      </c>
      <c r="I69" s="279" t="s">
        <v>363</v>
      </c>
      <c r="J69" s="274">
        <v>6000</v>
      </c>
      <c r="K69" s="274"/>
      <c r="L69" s="274"/>
      <c r="M69" s="274"/>
      <c r="N69" s="274"/>
      <c r="O69" s="274"/>
      <c r="P69" s="274"/>
      <c r="Q69" s="274"/>
      <c r="R69" s="291">
        <f t="shared" si="4"/>
        <v>12400</v>
      </c>
    </row>
    <row r="70" spans="1:18" ht="23.25" customHeight="1">
      <c r="A70" s="290"/>
      <c r="B70" s="267"/>
      <c r="C70" s="267" t="s">
        <v>229</v>
      </c>
      <c r="D70" s="283" t="s">
        <v>149</v>
      </c>
      <c r="E70" s="296">
        <v>5400</v>
      </c>
      <c r="F70" s="292">
        <v>4000</v>
      </c>
      <c r="G70" s="274">
        <v>1000</v>
      </c>
      <c r="H70" s="274">
        <v>3000</v>
      </c>
      <c r="I70" s="279" t="s">
        <v>363</v>
      </c>
      <c r="J70" s="274">
        <v>6000</v>
      </c>
      <c r="K70" s="274"/>
      <c r="L70" s="274"/>
      <c r="M70" s="274"/>
      <c r="N70" s="274"/>
      <c r="O70" s="274"/>
      <c r="P70" s="274"/>
      <c r="Q70" s="274"/>
      <c r="R70" s="291">
        <f t="shared" si="3"/>
        <v>19400</v>
      </c>
    </row>
    <row r="71" spans="1:18" ht="23.25" customHeight="1">
      <c r="A71" s="290"/>
      <c r="B71" s="267"/>
      <c r="C71" s="267" t="s">
        <v>230</v>
      </c>
      <c r="D71" s="283" t="s">
        <v>150</v>
      </c>
      <c r="E71" s="296">
        <v>2400</v>
      </c>
      <c r="F71" s="292"/>
      <c r="G71" s="301"/>
      <c r="H71" s="274"/>
      <c r="I71" s="301"/>
      <c r="J71" s="274"/>
      <c r="K71" s="274"/>
      <c r="L71" s="274"/>
      <c r="M71" s="274"/>
      <c r="N71" s="274"/>
      <c r="O71" s="274"/>
      <c r="P71" s="274"/>
      <c r="Q71" s="274"/>
      <c r="R71" s="291">
        <f t="shared" ref="R71:R84" si="5">SUM(E71:Q71)</f>
        <v>2400</v>
      </c>
    </row>
    <row r="72" spans="1:18" ht="23.25" customHeight="1">
      <c r="A72" s="290"/>
      <c r="B72" s="267"/>
      <c r="C72" s="267" t="s">
        <v>231</v>
      </c>
      <c r="D72" s="283" t="s">
        <v>151</v>
      </c>
      <c r="E72" s="296">
        <v>2400</v>
      </c>
      <c r="F72" s="292">
        <v>2000</v>
      </c>
      <c r="G72" s="274">
        <v>1000</v>
      </c>
      <c r="H72" s="274">
        <v>3000</v>
      </c>
      <c r="I72" s="274">
        <v>3000</v>
      </c>
      <c r="J72" s="274">
        <v>3000</v>
      </c>
      <c r="K72" s="274"/>
      <c r="L72" s="274"/>
      <c r="M72" s="274"/>
      <c r="N72" s="274"/>
      <c r="O72" s="274"/>
      <c r="P72" s="274"/>
      <c r="Q72" s="274"/>
      <c r="R72" s="291">
        <f t="shared" si="5"/>
        <v>14400</v>
      </c>
    </row>
    <row r="73" spans="1:18" ht="23.25" customHeight="1">
      <c r="A73" s="290"/>
      <c r="B73" s="267"/>
      <c r="C73" s="267" t="s">
        <v>232</v>
      </c>
      <c r="D73" s="283" t="s">
        <v>152</v>
      </c>
      <c r="E73" s="296">
        <v>2400</v>
      </c>
      <c r="F73" s="292" t="s">
        <v>287</v>
      </c>
      <c r="G73" s="274" t="s">
        <v>291</v>
      </c>
      <c r="H73" s="274" t="s">
        <v>313</v>
      </c>
      <c r="I73" s="274" t="s">
        <v>313</v>
      </c>
      <c r="J73" s="274" t="s">
        <v>313</v>
      </c>
      <c r="K73" s="274" t="s">
        <v>313</v>
      </c>
      <c r="L73" s="274" t="s">
        <v>313</v>
      </c>
      <c r="M73" s="274" t="s">
        <v>313</v>
      </c>
      <c r="N73" s="274" t="s">
        <v>313</v>
      </c>
      <c r="O73" s="274" t="s">
        <v>313</v>
      </c>
      <c r="P73" s="274" t="s">
        <v>313</v>
      </c>
      <c r="Q73" s="274" t="s">
        <v>313</v>
      </c>
      <c r="R73" s="291">
        <f t="shared" si="5"/>
        <v>2400</v>
      </c>
    </row>
    <row r="74" spans="1:18" ht="23.25" customHeight="1">
      <c r="A74" s="290"/>
      <c r="B74" s="267"/>
      <c r="C74" s="267" t="s">
        <v>233</v>
      </c>
      <c r="D74" s="283" t="s">
        <v>153</v>
      </c>
      <c r="E74" s="296">
        <v>2300</v>
      </c>
      <c r="F74" s="299" t="s">
        <v>297</v>
      </c>
      <c r="G74" s="274">
        <v>5000</v>
      </c>
      <c r="H74" s="274">
        <v>3000</v>
      </c>
      <c r="I74" s="274">
        <v>3000</v>
      </c>
      <c r="J74" s="274">
        <v>3000</v>
      </c>
      <c r="K74" s="274"/>
      <c r="L74" s="274"/>
      <c r="M74" s="274"/>
      <c r="N74" s="274"/>
      <c r="O74" s="274"/>
      <c r="P74" s="274"/>
      <c r="Q74" s="274"/>
      <c r="R74" s="291">
        <f t="shared" si="5"/>
        <v>16300</v>
      </c>
    </row>
    <row r="75" spans="1:18" ht="23.25" customHeight="1">
      <c r="A75" s="290"/>
      <c r="B75" s="267"/>
      <c r="C75" s="267" t="s">
        <v>234</v>
      </c>
      <c r="D75" s="283" t="s">
        <v>154</v>
      </c>
      <c r="E75" s="296">
        <v>2400</v>
      </c>
      <c r="F75" s="299" t="s">
        <v>297</v>
      </c>
      <c r="G75" s="274">
        <v>5000</v>
      </c>
      <c r="H75" s="274">
        <v>2500</v>
      </c>
      <c r="I75" s="274">
        <v>2400</v>
      </c>
      <c r="J75" s="274">
        <v>2500</v>
      </c>
      <c r="K75" s="274"/>
      <c r="L75" s="274"/>
      <c r="M75" s="274"/>
      <c r="N75" s="274"/>
      <c r="O75" s="274"/>
      <c r="P75" s="274"/>
      <c r="Q75" s="274"/>
      <c r="R75" s="291">
        <f t="shared" si="5"/>
        <v>14800</v>
      </c>
    </row>
    <row r="76" spans="1:18" ht="23.25" customHeight="1">
      <c r="A76" s="290"/>
      <c r="B76" s="267"/>
      <c r="C76" s="267" t="s">
        <v>235</v>
      </c>
      <c r="D76" s="283" t="s">
        <v>155</v>
      </c>
      <c r="E76" s="296" t="s">
        <v>291</v>
      </c>
      <c r="F76" s="292">
        <v>4000</v>
      </c>
      <c r="G76" s="275" t="s">
        <v>313</v>
      </c>
      <c r="H76" s="275" t="s">
        <v>313</v>
      </c>
      <c r="I76" s="275" t="s">
        <v>313</v>
      </c>
      <c r="J76" s="275" t="s">
        <v>313</v>
      </c>
      <c r="K76" s="275" t="s">
        <v>313</v>
      </c>
      <c r="L76" s="275" t="s">
        <v>313</v>
      </c>
      <c r="M76" s="275" t="s">
        <v>313</v>
      </c>
      <c r="N76" s="275" t="s">
        <v>313</v>
      </c>
      <c r="O76" s="275" t="s">
        <v>313</v>
      </c>
      <c r="P76" s="275" t="s">
        <v>313</v>
      </c>
      <c r="Q76" s="275" t="s">
        <v>313</v>
      </c>
      <c r="R76" s="291">
        <f t="shared" si="5"/>
        <v>4000</v>
      </c>
    </row>
    <row r="77" spans="1:18" ht="23.25" customHeight="1">
      <c r="A77" s="290"/>
      <c r="B77" s="267"/>
      <c r="C77" s="267" t="s">
        <v>236</v>
      </c>
      <c r="D77" s="283" t="s">
        <v>156</v>
      </c>
      <c r="E77" s="296" t="s">
        <v>291</v>
      </c>
      <c r="F77" s="292">
        <v>4000</v>
      </c>
      <c r="G77" s="275" t="s">
        <v>313</v>
      </c>
      <c r="H77" s="275" t="s">
        <v>313</v>
      </c>
      <c r="I77" s="275" t="s">
        <v>313</v>
      </c>
      <c r="J77" s="275" t="s">
        <v>313</v>
      </c>
      <c r="K77" s="275" t="s">
        <v>313</v>
      </c>
      <c r="L77" s="275" t="s">
        <v>313</v>
      </c>
      <c r="M77" s="275" t="s">
        <v>313</v>
      </c>
      <c r="N77" s="275" t="s">
        <v>313</v>
      </c>
      <c r="O77" s="275" t="s">
        <v>313</v>
      </c>
      <c r="P77" s="275" t="s">
        <v>313</v>
      </c>
      <c r="Q77" s="275" t="s">
        <v>313</v>
      </c>
      <c r="R77" s="291">
        <f t="shared" si="5"/>
        <v>4000</v>
      </c>
    </row>
    <row r="78" spans="1:18" ht="23.25" customHeight="1">
      <c r="A78" s="290"/>
      <c r="B78" s="267"/>
      <c r="C78" s="267" t="s">
        <v>237</v>
      </c>
      <c r="D78" s="283" t="s">
        <v>157</v>
      </c>
      <c r="E78" s="296">
        <v>2400</v>
      </c>
      <c r="F78" s="292" t="s">
        <v>287</v>
      </c>
      <c r="G78" s="274" t="s">
        <v>291</v>
      </c>
      <c r="H78" s="274">
        <v>3300</v>
      </c>
      <c r="I78" s="274">
        <v>3000</v>
      </c>
      <c r="J78" s="274">
        <v>3000</v>
      </c>
      <c r="K78" s="274"/>
      <c r="L78" s="274"/>
      <c r="M78" s="274"/>
      <c r="N78" s="274"/>
      <c r="O78" s="274"/>
      <c r="P78" s="274"/>
      <c r="Q78" s="274"/>
      <c r="R78" s="291">
        <f t="shared" si="5"/>
        <v>11700</v>
      </c>
    </row>
    <row r="79" spans="1:18" ht="23.25" customHeight="1">
      <c r="A79" s="290"/>
      <c r="B79" s="267"/>
      <c r="C79" s="267" t="s">
        <v>238</v>
      </c>
      <c r="D79" s="283" t="s">
        <v>158</v>
      </c>
      <c r="E79" s="296">
        <v>2400</v>
      </c>
      <c r="F79" s="299" t="s">
        <v>297</v>
      </c>
      <c r="G79" s="274">
        <v>3300</v>
      </c>
      <c r="H79" s="274">
        <v>3300</v>
      </c>
      <c r="I79" s="274">
        <v>3000</v>
      </c>
      <c r="J79" s="274">
        <v>3000</v>
      </c>
      <c r="K79" s="274"/>
      <c r="L79" s="274"/>
      <c r="M79" s="274"/>
      <c r="N79" s="274"/>
      <c r="O79" s="274"/>
      <c r="P79" s="274"/>
      <c r="Q79" s="274"/>
      <c r="R79" s="291">
        <f t="shared" si="5"/>
        <v>15000</v>
      </c>
    </row>
    <row r="80" spans="1:18" ht="23.25" customHeight="1">
      <c r="A80" s="290"/>
      <c r="B80" s="267"/>
      <c r="C80" s="267" t="s">
        <v>239</v>
      </c>
      <c r="D80" s="283" t="s">
        <v>159</v>
      </c>
      <c r="E80" s="296">
        <v>1600</v>
      </c>
      <c r="F80" s="292">
        <v>3300</v>
      </c>
      <c r="G80" s="301"/>
      <c r="H80" s="274">
        <v>400</v>
      </c>
      <c r="I80" s="274"/>
      <c r="J80" s="274">
        <v>2400</v>
      </c>
      <c r="K80" s="274"/>
      <c r="L80" s="274"/>
      <c r="M80" s="274"/>
      <c r="N80" s="274"/>
      <c r="O80" s="274"/>
      <c r="P80" s="274"/>
      <c r="Q80" s="274"/>
      <c r="R80" s="291">
        <f t="shared" si="5"/>
        <v>7700</v>
      </c>
    </row>
    <row r="81" spans="1:18" ht="23.25" customHeight="1">
      <c r="A81" s="290"/>
      <c r="B81" s="267"/>
      <c r="C81" s="267" t="s">
        <v>240</v>
      </c>
      <c r="D81" s="283" t="s">
        <v>160</v>
      </c>
      <c r="E81" s="296">
        <v>2000</v>
      </c>
      <c r="F81" s="292"/>
      <c r="G81" s="301"/>
      <c r="H81" s="274">
        <v>2000</v>
      </c>
      <c r="I81" s="274">
        <v>1600</v>
      </c>
      <c r="J81" s="274">
        <v>800</v>
      </c>
      <c r="K81" s="274"/>
      <c r="L81" s="274"/>
      <c r="M81" s="274"/>
      <c r="N81" s="274"/>
      <c r="O81" s="274"/>
      <c r="P81" s="274"/>
      <c r="Q81" s="274"/>
      <c r="R81" s="291">
        <f t="shared" si="5"/>
        <v>6400</v>
      </c>
    </row>
    <row r="82" spans="1:18" ht="23.25" customHeight="1">
      <c r="A82" s="290"/>
      <c r="B82" s="267"/>
      <c r="C82" s="267" t="s">
        <v>241</v>
      </c>
      <c r="D82" s="283" t="s">
        <v>162</v>
      </c>
      <c r="E82" s="296">
        <v>1200</v>
      </c>
      <c r="F82" s="292">
        <v>800</v>
      </c>
      <c r="G82" s="301"/>
      <c r="H82" s="274"/>
      <c r="I82" s="274"/>
      <c r="J82" s="274"/>
      <c r="K82" s="274"/>
      <c r="L82" s="274"/>
      <c r="M82" s="274"/>
      <c r="N82" s="274"/>
      <c r="O82" s="274"/>
      <c r="P82" s="274"/>
      <c r="Q82" s="274"/>
      <c r="R82" s="291">
        <f t="shared" si="5"/>
        <v>2000</v>
      </c>
    </row>
    <row r="83" spans="1:18" ht="23.25" customHeight="1">
      <c r="A83" s="290"/>
      <c r="B83" s="267"/>
      <c r="C83" s="267" t="s">
        <v>242</v>
      </c>
      <c r="D83" s="283" t="s">
        <v>258</v>
      </c>
      <c r="E83" s="296">
        <v>1600</v>
      </c>
      <c r="F83" s="274" t="s">
        <v>287</v>
      </c>
      <c r="G83" s="301"/>
      <c r="H83" s="274"/>
      <c r="I83" s="274"/>
      <c r="J83" s="274"/>
      <c r="K83" s="274"/>
      <c r="L83" s="274"/>
      <c r="M83" s="274"/>
      <c r="N83" s="274"/>
      <c r="O83" s="274"/>
      <c r="P83" s="274"/>
      <c r="Q83" s="274"/>
      <c r="R83" s="291">
        <f t="shared" si="5"/>
        <v>1600</v>
      </c>
    </row>
    <row r="84" spans="1:18" ht="23.25" customHeight="1">
      <c r="A84" s="290"/>
      <c r="B84" s="267"/>
      <c r="C84" s="267" t="s">
        <v>243</v>
      </c>
      <c r="D84" s="273" t="s">
        <v>259</v>
      </c>
      <c r="E84" s="274">
        <v>800</v>
      </c>
      <c r="F84" s="274">
        <v>4000</v>
      </c>
      <c r="G84" s="274">
        <v>1000</v>
      </c>
      <c r="H84" s="274">
        <v>3000</v>
      </c>
      <c r="I84" s="274">
        <v>2900</v>
      </c>
      <c r="J84" s="274">
        <v>3000</v>
      </c>
      <c r="K84" s="274"/>
      <c r="L84" s="274"/>
      <c r="M84" s="274"/>
      <c r="N84" s="274"/>
      <c r="O84" s="274"/>
      <c r="P84" s="274"/>
      <c r="Q84" s="274"/>
      <c r="R84" s="291">
        <f t="shared" si="5"/>
        <v>14700</v>
      </c>
    </row>
    <row r="85" spans="1:18" ht="23.25" customHeight="1">
      <c r="A85" s="290"/>
      <c r="B85" s="267"/>
      <c r="C85" s="267" t="s">
        <v>244</v>
      </c>
      <c r="D85" s="273" t="s">
        <v>289</v>
      </c>
      <c r="E85" s="274">
        <v>400</v>
      </c>
      <c r="F85" s="274">
        <v>5000</v>
      </c>
      <c r="G85" s="301"/>
      <c r="H85" s="274">
        <v>800</v>
      </c>
      <c r="I85" s="274"/>
      <c r="J85" s="274">
        <v>2400</v>
      </c>
      <c r="K85" s="274"/>
      <c r="L85" s="274"/>
      <c r="M85" s="274"/>
      <c r="N85" s="274"/>
      <c r="O85" s="274"/>
      <c r="P85" s="274"/>
      <c r="Q85" s="274"/>
      <c r="R85" s="291">
        <f t="shared" si="2"/>
        <v>8600</v>
      </c>
    </row>
    <row r="86" spans="1:18" ht="23.25" customHeight="1">
      <c r="A86" s="290"/>
      <c r="B86" s="267"/>
      <c r="C86" s="267" t="s">
        <v>245</v>
      </c>
      <c r="D86" s="273" t="s">
        <v>261</v>
      </c>
      <c r="E86" s="301"/>
      <c r="F86" s="274">
        <v>4000</v>
      </c>
      <c r="G86" s="274">
        <v>1000</v>
      </c>
      <c r="H86" s="274">
        <v>2000</v>
      </c>
      <c r="I86" s="274">
        <v>3000</v>
      </c>
      <c r="J86" s="274">
        <v>3000</v>
      </c>
      <c r="K86" s="274"/>
      <c r="L86" s="274"/>
      <c r="M86" s="274"/>
      <c r="N86" s="274"/>
      <c r="O86" s="274"/>
      <c r="P86" s="274"/>
      <c r="Q86" s="274"/>
      <c r="R86" s="291">
        <f t="shared" si="2"/>
        <v>13000</v>
      </c>
    </row>
    <row r="87" spans="1:18" ht="23.25" customHeight="1">
      <c r="A87" s="290"/>
      <c r="B87" s="267"/>
      <c r="C87" s="267" t="s">
        <v>246</v>
      </c>
      <c r="D87" s="273" t="s">
        <v>262</v>
      </c>
      <c r="E87" s="301"/>
      <c r="F87" s="274">
        <v>4000</v>
      </c>
      <c r="G87" s="274"/>
      <c r="H87" s="274"/>
      <c r="I87" s="274"/>
      <c r="J87" s="274"/>
      <c r="K87" s="274"/>
      <c r="L87" s="274"/>
      <c r="M87" s="274"/>
      <c r="N87" s="274"/>
      <c r="O87" s="274"/>
      <c r="P87" s="274"/>
      <c r="Q87" s="274"/>
      <c r="R87" s="291">
        <f t="shared" si="2"/>
        <v>4000</v>
      </c>
    </row>
    <row r="88" spans="1:18" ht="23.25" customHeight="1">
      <c r="A88" s="290"/>
      <c r="B88" s="267"/>
      <c r="C88" s="267" t="s">
        <v>247</v>
      </c>
      <c r="D88" s="273" t="s">
        <v>263</v>
      </c>
      <c r="E88" s="301"/>
      <c r="F88" s="274">
        <v>4000</v>
      </c>
      <c r="G88" s="301"/>
      <c r="H88" s="274"/>
      <c r="I88" s="274"/>
      <c r="J88" s="274"/>
      <c r="K88" s="274"/>
      <c r="L88" s="274"/>
      <c r="M88" s="274"/>
      <c r="N88" s="274"/>
      <c r="O88" s="274"/>
      <c r="P88" s="274"/>
      <c r="Q88" s="274"/>
      <c r="R88" s="291">
        <f>SUM(E88:Q88)</f>
        <v>4000</v>
      </c>
    </row>
    <row r="89" spans="1:18" ht="23.25" customHeight="1">
      <c r="A89" s="327"/>
      <c r="B89" s="328"/>
      <c r="C89" s="328" t="s">
        <v>295</v>
      </c>
      <c r="D89" s="329" t="s">
        <v>292</v>
      </c>
      <c r="E89" s="330"/>
      <c r="F89" s="335" t="s">
        <v>297</v>
      </c>
      <c r="G89" s="331">
        <v>3300</v>
      </c>
      <c r="H89" s="331"/>
      <c r="I89" s="331"/>
      <c r="J89" s="331"/>
      <c r="K89" s="331"/>
      <c r="L89" s="331"/>
      <c r="M89" s="331"/>
      <c r="N89" s="331"/>
      <c r="O89" s="331"/>
      <c r="P89" s="331"/>
      <c r="Q89" s="331"/>
      <c r="R89" s="332">
        <f>SUM(E89:Q89)</f>
        <v>3300</v>
      </c>
    </row>
    <row r="90" spans="1:18" ht="23.25" customHeight="1">
      <c r="A90" s="290"/>
      <c r="B90" s="267"/>
      <c r="C90" s="267" t="s">
        <v>296</v>
      </c>
      <c r="D90" s="273" t="s">
        <v>284</v>
      </c>
      <c r="E90" s="301"/>
      <c r="F90" s="274">
        <v>4000</v>
      </c>
      <c r="G90" s="301"/>
      <c r="H90" s="274"/>
      <c r="I90" s="274"/>
      <c r="J90" s="274"/>
      <c r="K90" s="274"/>
      <c r="L90" s="274"/>
      <c r="M90" s="274"/>
      <c r="N90" s="274"/>
      <c r="O90" s="274"/>
      <c r="P90" s="274"/>
      <c r="Q90" s="274"/>
      <c r="R90" s="291">
        <f t="shared" si="2"/>
        <v>4000</v>
      </c>
    </row>
    <row r="91" spans="1:18" ht="23.25" customHeight="1">
      <c r="A91" s="290"/>
      <c r="B91" s="267"/>
      <c r="C91" s="270">
        <v>90</v>
      </c>
      <c r="D91" s="283" t="s">
        <v>161</v>
      </c>
      <c r="E91" s="296"/>
      <c r="F91" s="298">
        <v>1200</v>
      </c>
      <c r="G91" s="301"/>
      <c r="H91" s="274"/>
      <c r="I91" s="274"/>
      <c r="J91" s="274"/>
      <c r="K91" s="274"/>
      <c r="L91" s="274"/>
      <c r="M91" s="274"/>
      <c r="N91" s="274"/>
      <c r="O91" s="274"/>
      <c r="P91" s="274"/>
      <c r="Q91" s="274"/>
      <c r="R91" s="291">
        <f t="shared" si="2"/>
        <v>1200</v>
      </c>
    </row>
    <row r="92" spans="1:18" ht="23.25" customHeight="1">
      <c r="A92" s="290"/>
      <c r="B92" s="267"/>
      <c r="C92" s="270">
        <v>91</v>
      </c>
      <c r="D92" s="283" t="s">
        <v>298</v>
      </c>
      <c r="E92" s="296"/>
      <c r="F92" s="292"/>
      <c r="G92" s="274">
        <v>1600</v>
      </c>
      <c r="H92" s="274"/>
      <c r="I92" s="274"/>
      <c r="J92" s="274">
        <v>1600</v>
      </c>
      <c r="K92" s="274"/>
      <c r="L92" s="274"/>
      <c r="M92" s="274"/>
      <c r="N92" s="274"/>
      <c r="O92" s="274"/>
      <c r="P92" s="274"/>
      <c r="Q92" s="274"/>
      <c r="R92" s="291">
        <f>SUM(E92:Q92)</f>
        <v>3200</v>
      </c>
    </row>
    <row r="93" spans="1:18" ht="23.25" customHeight="1">
      <c r="A93" s="290"/>
      <c r="B93" s="267"/>
      <c r="C93" s="270">
        <v>92</v>
      </c>
      <c r="D93" s="273" t="s">
        <v>299</v>
      </c>
      <c r="E93" s="296"/>
      <c r="F93" s="274"/>
      <c r="G93" s="274">
        <v>1200</v>
      </c>
      <c r="H93" s="274">
        <v>1200</v>
      </c>
      <c r="I93" s="274">
        <v>1200</v>
      </c>
      <c r="J93" s="274">
        <v>1200</v>
      </c>
      <c r="K93" s="274"/>
      <c r="L93" s="274"/>
      <c r="M93" s="274"/>
      <c r="N93" s="274"/>
      <c r="O93" s="274"/>
      <c r="P93" s="274"/>
      <c r="Q93" s="274"/>
      <c r="R93" s="291">
        <f t="shared" si="2"/>
        <v>4800</v>
      </c>
    </row>
    <row r="94" spans="1:18" ht="23.25" customHeight="1">
      <c r="A94" s="290"/>
      <c r="B94" s="267"/>
      <c r="C94" s="270">
        <v>93</v>
      </c>
      <c r="D94" s="283" t="s">
        <v>338</v>
      </c>
      <c r="E94" s="296"/>
      <c r="F94" s="274"/>
      <c r="G94" s="274"/>
      <c r="H94" s="274"/>
      <c r="I94" s="274">
        <v>1200</v>
      </c>
      <c r="J94" s="274">
        <v>2400</v>
      </c>
      <c r="K94" s="274"/>
      <c r="L94" s="274"/>
      <c r="M94" s="274"/>
      <c r="N94" s="274"/>
      <c r="O94" s="274"/>
      <c r="P94" s="274"/>
      <c r="Q94" s="274"/>
      <c r="R94" s="291">
        <f t="shared" si="2"/>
        <v>3600</v>
      </c>
    </row>
    <row r="95" spans="1:18" ht="23.25" customHeight="1">
      <c r="A95" s="290"/>
      <c r="B95" s="267"/>
      <c r="C95" s="270">
        <v>94</v>
      </c>
      <c r="D95" s="283" t="s">
        <v>339</v>
      </c>
      <c r="E95" s="296"/>
      <c r="F95" s="298"/>
      <c r="G95" s="301"/>
      <c r="H95" s="274"/>
      <c r="I95" s="274">
        <v>400</v>
      </c>
      <c r="J95" s="274">
        <v>1200</v>
      </c>
      <c r="K95" s="274"/>
      <c r="L95" s="274"/>
      <c r="M95" s="274"/>
      <c r="N95" s="274"/>
      <c r="O95" s="274"/>
      <c r="P95" s="274"/>
      <c r="Q95" s="274"/>
      <c r="R95" s="291">
        <f t="shared" si="2"/>
        <v>1600</v>
      </c>
    </row>
    <row r="96" spans="1:18" ht="23.25" customHeight="1">
      <c r="A96" s="290"/>
      <c r="B96" s="267"/>
      <c r="C96" s="270">
        <v>95</v>
      </c>
      <c r="D96" s="273" t="s">
        <v>340</v>
      </c>
      <c r="E96" s="274"/>
      <c r="F96" s="274"/>
      <c r="G96" s="301"/>
      <c r="H96" s="274"/>
      <c r="I96" s="274">
        <v>800</v>
      </c>
      <c r="J96" s="274">
        <v>400</v>
      </c>
      <c r="K96" s="274"/>
      <c r="L96" s="274"/>
      <c r="M96" s="274"/>
      <c r="N96" s="274"/>
      <c r="O96" s="274"/>
      <c r="P96" s="274"/>
      <c r="Q96" s="274"/>
      <c r="R96" s="291">
        <f t="shared" si="2"/>
        <v>1200</v>
      </c>
    </row>
    <row r="97" spans="1:18" s="277" customFormat="1" ht="23.25" customHeight="1">
      <c r="A97" s="267"/>
      <c r="B97" s="267"/>
      <c r="C97" s="270">
        <v>96</v>
      </c>
      <c r="D97" s="273" t="s">
        <v>342</v>
      </c>
      <c r="E97" s="301"/>
      <c r="F97" s="274"/>
      <c r="G97" s="301"/>
      <c r="H97" s="274"/>
      <c r="I97" s="274">
        <v>3300</v>
      </c>
      <c r="J97" s="274">
        <v>3000</v>
      </c>
      <c r="K97" s="274"/>
      <c r="L97" s="274"/>
      <c r="M97" s="274"/>
      <c r="N97" s="274"/>
      <c r="O97" s="274"/>
      <c r="P97" s="274"/>
      <c r="Q97" s="274"/>
      <c r="R97" s="291">
        <f t="shared" ref="R97:R103" si="6">SUM(E97:Q97)</f>
        <v>6300</v>
      </c>
    </row>
    <row r="98" spans="1:18" s="277" customFormat="1" ht="23.25" customHeight="1">
      <c r="A98" s="267"/>
      <c r="B98" s="267"/>
      <c r="C98" s="270">
        <v>97</v>
      </c>
      <c r="D98" s="273" t="s">
        <v>341</v>
      </c>
      <c r="E98" s="301"/>
      <c r="F98" s="274"/>
      <c r="G98" s="301"/>
      <c r="H98" s="274"/>
      <c r="I98" s="274">
        <v>2300</v>
      </c>
      <c r="J98" s="274">
        <v>3000</v>
      </c>
      <c r="K98" s="274"/>
      <c r="L98" s="274"/>
      <c r="M98" s="274"/>
      <c r="N98" s="274"/>
      <c r="O98" s="274"/>
      <c r="P98" s="274"/>
      <c r="Q98" s="274"/>
      <c r="R98" s="291">
        <f t="shared" si="6"/>
        <v>5300</v>
      </c>
    </row>
    <row r="99" spans="1:18" s="277" customFormat="1" ht="23.25" customHeight="1">
      <c r="A99" s="267"/>
      <c r="B99" s="267"/>
      <c r="C99" s="270">
        <v>98</v>
      </c>
      <c r="D99" s="273" t="s">
        <v>343</v>
      </c>
      <c r="E99" s="301"/>
      <c r="F99" s="274"/>
      <c r="G99" s="301"/>
      <c r="H99" s="283"/>
      <c r="I99" s="296">
        <v>2300</v>
      </c>
      <c r="J99" s="274">
        <v>3000</v>
      </c>
      <c r="K99" s="274"/>
      <c r="L99" s="274"/>
      <c r="M99" s="274"/>
      <c r="N99" s="274"/>
      <c r="O99" s="274"/>
      <c r="P99" s="274"/>
      <c r="Q99" s="274"/>
      <c r="R99" s="291">
        <f t="shared" si="6"/>
        <v>5300</v>
      </c>
    </row>
    <row r="100" spans="1:18" s="277" customFormat="1" ht="23.25" customHeight="1">
      <c r="A100" s="267"/>
      <c r="B100" s="267"/>
      <c r="C100" s="270">
        <v>99</v>
      </c>
      <c r="D100" s="273" t="s">
        <v>380</v>
      </c>
      <c r="E100" s="301"/>
      <c r="F100" s="274"/>
      <c r="G100" s="301"/>
      <c r="H100" s="273"/>
      <c r="I100" s="274">
        <v>2300</v>
      </c>
      <c r="J100" s="274">
        <v>3000</v>
      </c>
      <c r="K100" s="274"/>
      <c r="L100" s="274"/>
      <c r="M100" s="274"/>
      <c r="N100" s="274"/>
      <c r="O100" s="274"/>
      <c r="P100" s="274"/>
      <c r="Q100" s="274"/>
      <c r="R100" s="291">
        <f t="shared" si="6"/>
        <v>5300</v>
      </c>
    </row>
    <row r="101" spans="1:18" s="277" customFormat="1" ht="23.25" customHeight="1">
      <c r="A101" s="267"/>
      <c r="B101" s="267"/>
      <c r="C101" s="270">
        <v>100</v>
      </c>
      <c r="D101" s="273" t="s">
        <v>383</v>
      </c>
      <c r="E101" s="301"/>
      <c r="F101" s="274"/>
      <c r="G101" s="301"/>
      <c r="H101" s="273"/>
      <c r="I101" s="274">
        <v>2300</v>
      </c>
      <c r="J101" s="274">
        <v>3000</v>
      </c>
      <c r="K101" s="274"/>
      <c r="L101" s="274"/>
      <c r="M101" s="274"/>
      <c r="N101" s="274"/>
      <c r="O101" s="274"/>
      <c r="P101" s="274"/>
      <c r="Q101" s="274"/>
      <c r="R101" s="291">
        <f t="shared" si="6"/>
        <v>5300</v>
      </c>
    </row>
    <row r="102" spans="1:18" s="277" customFormat="1" ht="23.25" customHeight="1">
      <c r="A102" s="267"/>
      <c r="B102" s="267"/>
      <c r="C102" s="270">
        <v>101</v>
      </c>
      <c r="D102" s="273" t="s">
        <v>344</v>
      </c>
      <c r="E102" s="301"/>
      <c r="F102" s="274"/>
      <c r="G102" s="301"/>
      <c r="H102" s="273"/>
      <c r="I102" s="274">
        <v>2300</v>
      </c>
      <c r="J102" s="274">
        <v>3000</v>
      </c>
      <c r="K102" s="274"/>
      <c r="L102" s="274"/>
      <c r="M102" s="274"/>
      <c r="N102" s="274"/>
      <c r="O102" s="274"/>
      <c r="P102" s="274"/>
      <c r="Q102" s="274"/>
      <c r="R102" s="291">
        <f t="shared" si="6"/>
        <v>5300</v>
      </c>
    </row>
    <row r="103" spans="1:18" s="277" customFormat="1" ht="23.25" customHeight="1">
      <c r="A103" s="267"/>
      <c r="B103" s="267"/>
      <c r="C103" s="270">
        <v>102</v>
      </c>
      <c r="D103" s="273" t="s">
        <v>348</v>
      </c>
      <c r="E103" s="301"/>
      <c r="F103" s="274"/>
      <c r="G103" s="301"/>
      <c r="H103" s="273"/>
      <c r="I103" s="274">
        <v>800</v>
      </c>
      <c r="J103" s="274"/>
      <c r="K103" s="301"/>
      <c r="L103" s="301"/>
      <c r="M103" s="301"/>
      <c r="N103" s="301"/>
      <c r="O103" s="301"/>
      <c r="P103" s="301"/>
      <c r="Q103" s="301"/>
      <c r="R103" s="291">
        <f t="shared" si="6"/>
        <v>800</v>
      </c>
    </row>
    <row r="104" spans="1:18" s="277" customFormat="1" ht="23.25" customHeight="1">
      <c r="A104" s="267"/>
      <c r="B104" s="267"/>
      <c r="C104" s="267" t="s">
        <v>381</v>
      </c>
      <c r="D104" s="273" t="s">
        <v>382</v>
      </c>
      <c r="E104" s="301"/>
      <c r="F104" s="274"/>
      <c r="G104" s="301"/>
      <c r="H104" s="273"/>
      <c r="I104" s="301"/>
      <c r="J104" s="274">
        <v>1200</v>
      </c>
      <c r="K104" s="301"/>
      <c r="L104" s="301"/>
      <c r="M104" s="301"/>
      <c r="N104" s="301"/>
      <c r="O104" s="301"/>
      <c r="P104" s="301"/>
      <c r="Q104" s="301"/>
      <c r="R104" s="291">
        <f>SUM(E104:Q104)</f>
        <v>1200</v>
      </c>
    </row>
    <row r="105" spans="1:18" s="277" customFormat="1" ht="23.25" customHeight="1">
      <c r="A105" s="267"/>
      <c r="B105" s="267"/>
      <c r="C105" s="267"/>
      <c r="D105" s="273"/>
      <c r="E105" s="301"/>
      <c r="F105" s="274"/>
      <c r="G105" s="301"/>
      <c r="H105" s="301"/>
      <c r="I105" s="301"/>
      <c r="J105" s="301"/>
      <c r="K105" s="301"/>
      <c r="L105" s="301"/>
      <c r="M105" s="301"/>
      <c r="N105" s="301"/>
      <c r="O105" s="301"/>
      <c r="P105" s="301"/>
      <c r="Q105" s="301"/>
      <c r="R105" s="291"/>
    </row>
    <row r="106" spans="1:18" s="277" customFormat="1" ht="23.25" customHeight="1">
      <c r="A106" s="267"/>
      <c r="B106" s="267"/>
      <c r="C106" s="267"/>
      <c r="D106" s="273"/>
      <c r="E106" s="301"/>
      <c r="F106" s="274"/>
      <c r="G106" s="301"/>
      <c r="H106" s="301"/>
      <c r="I106" s="301"/>
      <c r="J106" s="301"/>
      <c r="K106" s="301"/>
      <c r="L106" s="301"/>
      <c r="M106" s="301"/>
      <c r="N106" s="301"/>
      <c r="O106" s="301"/>
      <c r="P106" s="301"/>
      <c r="Q106" s="301"/>
      <c r="R106" s="291"/>
    </row>
    <row r="107" spans="1:18" s="277" customFormat="1" ht="23.25" customHeight="1">
      <c r="A107" s="267"/>
      <c r="B107" s="267"/>
      <c r="C107" s="267"/>
      <c r="D107" s="273"/>
      <c r="E107" s="301"/>
      <c r="F107" s="274"/>
      <c r="G107" s="301"/>
      <c r="H107" s="301"/>
      <c r="I107" s="301"/>
      <c r="J107" s="301"/>
      <c r="K107" s="301"/>
      <c r="L107" s="301"/>
      <c r="M107" s="301"/>
      <c r="N107" s="301"/>
      <c r="O107" s="301"/>
      <c r="P107" s="301"/>
      <c r="Q107" s="301"/>
      <c r="R107" s="291"/>
    </row>
    <row r="108" spans="1:18" s="277" customFormat="1" ht="23.25" customHeight="1">
      <c r="A108" s="267"/>
      <c r="B108" s="267"/>
      <c r="C108" s="267"/>
      <c r="D108" s="273"/>
      <c r="E108" s="301"/>
      <c r="F108" s="274"/>
      <c r="G108" s="301"/>
      <c r="H108" s="301"/>
      <c r="I108" s="301"/>
      <c r="J108" s="301"/>
      <c r="K108" s="301"/>
      <c r="L108" s="301"/>
      <c r="M108" s="301"/>
      <c r="N108" s="301"/>
      <c r="O108" s="301"/>
      <c r="P108" s="301"/>
      <c r="Q108" s="301"/>
      <c r="R108" s="291"/>
    </row>
    <row r="109" spans="1:18" s="277" customFormat="1" ht="23.25" customHeight="1">
      <c r="A109" s="267"/>
      <c r="B109" s="267"/>
      <c r="C109" s="267"/>
      <c r="D109" s="273"/>
      <c r="E109" s="301"/>
      <c r="F109" s="274"/>
      <c r="G109" s="301"/>
      <c r="H109" s="301"/>
      <c r="I109" s="301"/>
      <c r="J109" s="301"/>
      <c r="K109" s="301"/>
      <c r="L109" s="301"/>
      <c r="M109" s="301"/>
      <c r="N109" s="301"/>
      <c r="O109" s="301"/>
      <c r="P109" s="301"/>
      <c r="Q109" s="301"/>
      <c r="R109" s="291"/>
    </row>
    <row r="110" spans="1:18" s="277" customFormat="1" ht="23.25" customHeight="1">
      <c r="A110" s="267"/>
      <c r="B110" s="267"/>
      <c r="C110" s="267"/>
      <c r="D110" s="273"/>
      <c r="E110" s="301"/>
      <c r="F110" s="274"/>
      <c r="G110" s="301"/>
      <c r="H110" s="301"/>
      <c r="I110" s="301"/>
      <c r="J110" s="301"/>
      <c r="K110" s="301"/>
      <c r="L110" s="301"/>
      <c r="M110" s="301"/>
      <c r="N110" s="301"/>
      <c r="O110" s="301"/>
      <c r="P110" s="301"/>
      <c r="Q110" s="301"/>
      <c r="R110" s="291"/>
    </row>
    <row r="111" spans="1:18" s="277" customFormat="1" ht="23.25" customHeight="1">
      <c r="A111" s="267"/>
      <c r="B111" s="267"/>
      <c r="C111" s="267"/>
      <c r="D111" s="273"/>
      <c r="E111" s="301"/>
      <c r="F111" s="274"/>
      <c r="G111" s="301"/>
      <c r="H111" s="301"/>
      <c r="I111" s="301"/>
      <c r="J111" s="301"/>
      <c r="K111" s="301"/>
      <c r="L111" s="301"/>
      <c r="M111" s="301"/>
      <c r="N111" s="301"/>
      <c r="O111" s="301"/>
      <c r="P111" s="301"/>
      <c r="Q111" s="301"/>
      <c r="R111" s="291"/>
    </row>
    <row r="112" spans="1:18" s="277" customFormat="1" ht="23.25" customHeight="1">
      <c r="A112" s="267"/>
      <c r="B112" s="267"/>
      <c r="C112" s="267"/>
      <c r="D112" s="273"/>
      <c r="E112" s="301"/>
      <c r="F112" s="274"/>
      <c r="G112" s="301"/>
      <c r="H112" s="301"/>
      <c r="I112" s="301"/>
      <c r="J112" s="301"/>
      <c r="K112" s="301"/>
      <c r="L112" s="301"/>
      <c r="M112" s="301"/>
      <c r="N112" s="301"/>
      <c r="O112" s="301"/>
      <c r="P112" s="301"/>
      <c r="Q112" s="301"/>
      <c r="R112" s="291"/>
    </row>
    <row r="113" spans="1:18" s="277" customFormat="1" ht="23.25" customHeight="1">
      <c r="A113" s="267"/>
      <c r="B113" s="267"/>
      <c r="C113" s="267"/>
      <c r="D113" s="273"/>
      <c r="E113" s="302"/>
      <c r="F113" s="301"/>
      <c r="G113" s="301"/>
      <c r="H113" s="301"/>
      <c r="I113" s="301"/>
      <c r="J113" s="301"/>
      <c r="K113" s="301"/>
      <c r="L113" s="301"/>
      <c r="M113" s="301"/>
      <c r="N113" s="301"/>
      <c r="O113" s="301"/>
      <c r="P113" s="301"/>
      <c r="Q113" s="301"/>
      <c r="R113" s="291"/>
    </row>
    <row r="114" spans="1:18" s="277" customFormat="1" ht="23.25" customHeight="1">
      <c r="A114" s="267"/>
      <c r="B114" s="267"/>
      <c r="C114" s="267"/>
      <c r="D114" s="273"/>
      <c r="E114" s="302"/>
      <c r="F114" s="302"/>
      <c r="G114" s="302"/>
      <c r="H114" s="302"/>
      <c r="I114" s="302"/>
      <c r="J114" s="302"/>
      <c r="K114" s="302"/>
      <c r="L114" s="302"/>
      <c r="M114" s="302"/>
      <c r="N114" s="302"/>
      <c r="O114" s="302"/>
      <c r="P114" s="302"/>
      <c r="Q114" s="302"/>
      <c r="R114" s="276"/>
    </row>
    <row r="115" spans="1:18" s="277" customFormat="1" ht="23.25" customHeight="1">
      <c r="A115" s="267"/>
      <c r="B115" s="267"/>
      <c r="C115" s="267"/>
      <c r="D115" s="273"/>
      <c r="E115" s="302"/>
      <c r="F115" s="302"/>
      <c r="G115" s="302"/>
      <c r="H115" s="302"/>
      <c r="I115" s="302"/>
      <c r="J115" s="302"/>
      <c r="K115" s="302"/>
      <c r="L115" s="302"/>
      <c r="M115" s="302"/>
      <c r="N115" s="302"/>
      <c r="O115" s="302"/>
      <c r="P115" s="302"/>
      <c r="Q115" s="302"/>
      <c r="R115" s="276"/>
    </row>
    <row r="116" spans="1:18" s="277" customFormat="1" ht="23.25" customHeight="1">
      <c r="A116" s="267"/>
      <c r="B116" s="267"/>
      <c r="C116" s="267"/>
      <c r="D116" s="273"/>
      <c r="E116" s="302"/>
      <c r="F116" s="302"/>
      <c r="G116" s="302"/>
      <c r="H116" s="302"/>
      <c r="I116" s="302"/>
      <c r="J116" s="302"/>
      <c r="K116" s="302"/>
      <c r="L116" s="302"/>
      <c r="M116" s="302"/>
      <c r="N116" s="302"/>
      <c r="O116" s="302"/>
      <c r="P116" s="302"/>
      <c r="Q116" s="302"/>
      <c r="R116" s="276"/>
    </row>
    <row r="117" spans="1:18" s="277" customFormat="1" ht="23.25" customHeight="1">
      <c r="A117" s="267"/>
      <c r="B117" s="267"/>
      <c r="C117" s="267"/>
      <c r="D117" s="273"/>
      <c r="E117" s="302"/>
      <c r="F117" s="302"/>
      <c r="G117" s="302"/>
      <c r="H117" s="302"/>
      <c r="I117" s="302"/>
      <c r="J117" s="302"/>
      <c r="K117" s="302"/>
      <c r="L117" s="302"/>
      <c r="M117" s="302"/>
      <c r="N117" s="302"/>
      <c r="O117" s="302"/>
      <c r="P117" s="302"/>
      <c r="Q117" s="302"/>
      <c r="R117" s="276"/>
    </row>
    <row r="118" spans="1:18" s="277" customFormat="1" ht="23.25" customHeight="1">
      <c r="A118" s="267"/>
      <c r="B118" s="267"/>
      <c r="C118" s="267"/>
      <c r="D118" s="273"/>
      <c r="E118" s="302"/>
      <c r="F118" s="302"/>
      <c r="G118" s="302"/>
      <c r="H118" s="302"/>
      <c r="I118" s="302"/>
      <c r="J118" s="302"/>
      <c r="K118" s="302"/>
      <c r="L118" s="302"/>
      <c r="M118" s="302"/>
      <c r="N118" s="302"/>
      <c r="O118" s="302"/>
      <c r="P118" s="302"/>
      <c r="Q118" s="302"/>
      <c r="R118" s="276"/>
    </row>
    <row r="119" spans="1:18" s="277" customFormat="1" ht="23.25" customHeight="1">
      <c r="A119" s="267"/>
      <c r="B119" s="267"/>
      <c r="C119" s="267"/>
      <c r="D119" s="303"/>
      <c r="E119" s="302"/>
      <c r="F119" s="302"/>
      <c r="G119" s="302"/>
      <c r="H119" s="302"/>
      <c r="I119" s="302"/>
      <c r="J119" s="302"/>
      <c r="K119" s="302"/>
      <c r="L119" s="302"/>
      <c r="M119" s="302"/>
      <c r="N119" s="302"/>
      <c r="O119" s="302"/>
      <c r="P119" s="302"/>
      <c r="Q119" s="302"/>
      <c r="R119" s="276"/>
    </row>
    <row r="120" spans="1:18" s="277" customFormat="1" ht="23.25" customHeight="1">
      <c r="A120" s="267"/>
      <c r="B120" s="267"/>
      <c r="C120" s="267"/>
      <c r="D120" s="303"/>
      <c r="E120" s="302"/>
      <c r="F120" s="302"/>
      <c r="G120" s="302"/>
      <c r="H120" s="302"/>
      <c r="I120" s="302"/>
      <c r="J120" s="302"/>
      <c r="K120" s="302"/>
      <c r="L120" s="302"/>
      <c r="M120" s="302"/>
      <c r="N120" s="302"/>
      <c r="O120" s="302"/>
      <c r="P120" s="302"/>
      <c r="Q120" s="302"/>
      <c r="R120" s="276"/>
    </row>
    <row r="121" spans="1:18" s="277" customFormat="1" ht="23.25" customHeight="1">
      <c r="A121" s="267"/>
      <c r="B121" s="267"/>
      <c r="C121" s="267"/>
      <c r="D121" s="272"/>
      <c r="E121" s="302"/>
      <c r="F121" s="302"/>
      <c r="G121" s="302"/>
      <c r="H121" s="302"/>
      <c r="I121" s="302"/>
      <c r="J121" s="302"/>
      <c r="K121" s="302"/>
      <c r="L121" s="302"/>
      <c r="M121" s="302"/>
      <c r="N121" s="302"/>
      <c r="O121" s="302"/>
      <c r="P121" s="302"/>
      <c r="Q121" s="302"/>
      <c r="R121" s="276"/>
    </row>
    <row r="122" spans="1:18" s="277" customFormat="1" ht="23.25" customHeight="1">
      <c r="A122" s="267"/>
      <c r="B122" s="267"/>
      <c r="C122" s="267"/>
      <c r="D122" s="272"/>
      <c r="E122" s="302"/>
      <c r="F122" s="302"/>
      <c r="G122" s="302"/>
      <c r="H122" s="302"/>
      <c r="I122" s="302"/>
      <c r="J122" s="302"/>
      <c r="K122" s="302"/>
      <c r="L122" s="302"/>
      <c r="M122" s="302"/>
      <c r="N122" s="302"/>
      <c r="O122" s="302"/>
      <c r="P122" s="302"/>
      <c r="Q122" s="302"/>
      <c r="R122" s="276"/>
    </row>
    <row r="123" spans="1:18" s="277" customFormat="1" ht="23.25" customHeight="1">
      <c r="A123" s="267"/>
      <c r="B123" s="267"/>
      <c r="C123" s="267"/>
      <c r="D123" s="272"/>
      <c r="E123" s="302"/>
      <c r="F123" s="302"/>
      <c r="G123" s="302"/>
      <c r="H123" s="302"/>
      <c r="I123" s="302"/>
      <c r="J123" s="302"/>
      <c r="K123" s="302"/>
      <c r="L123" s="302"/>
      <c r="M123" s="302"/>
      <c r="N123" s="302"/>
      <c r="O123" s="302"/>
      <c r="P123" s="302"/>
      <c r="Q123" s="302"/>
      <c r="R123" s="276"/>
    </row>
    <row r="124" spans="1:18" s="277" customFormat="1" ht="23.25" customHeight="1">
      <c r="A124" s="267"/>
      <c r="B124" s="267"/>
      <c r="C124" s="267"/>
      <c r="D124" s="272"/>
      <c r="E124" s="302"/>
      <c r="F124" s="302"/>
      <c r="G124" s="302"/>
      <c r="H124" s="302"/>
      <c r="I124" s="302"/>
      <c r="J124" s="302"/>
      <c r="K124" s="302"/>
      <c r="L124" s="302"/>
      <c r="M124" s="302"/>
      <c r="N124" s="302"/>
      <c r="O124" s="302"/>
      <c r="P124" s="302"/>
      <c r="Q124" s="302"/>
      <c r="R124" s="276"/>
    </row>
    <row r="125" spans="1:18" s="277" customFormat="1" ht="24" customHeight="1">
      <c r="A125" s="267"/>
      <c r="B125" s="267"/>
      <c r="C125" s="267"/>
      <c r="D125" s="272"/>
      <c r="E125" s="302"/>
      <c r="F125" s="302"/>
      <c r="G125" s="302"/>
      <c r="H125" s="302"/>
      <c r="I125" s="302"/>
      <c r="J125" s="302"/>
      <c r="K125" s="302"/>
      <c r="L125" s="302"/>
      <c r="M125" s="302"/>
      <c r="N125" s="302"/>
      <c r="O125" s="302"/>
      <c r="P125" s="302"/>
      <c r="Q125" s="302"/>
      <c r="R125" s="276"/>
    </row>
    <row r="126" spans="1:18" s="277" customFormat="1" ht="24" customHeight="1">
      <c r="A126" s="267"/>
      <c r="B126" s="267"/>
      <c r="C126" s="267"/>
      <c r="D126" s="272"/>
      <c r="E126" s="302"/>
      <c r="F126" s="302"/>
      <c r="G126" s="302"/>
      <c r="H126" s="302"/>
      <c r="I126" s="302"/>
      <c r="J126" s="302"/>
      <c r="K126" s="302"/>
      <c r="L126" s="302"/>
      <c r="M126" s="302"/>
      <c r="N126" s="302"/>
      <c r="O126" s="302"/>
      <c r="P126" s="302"/>
      <c r="Q126" s="302"/>
      <c r="R126" s="276"/>
    </row>
    <row r="127" spans="1:18" s="277" customFormat="1" ht="23.25" customHeight="1">
      <c r="A127" s="267"/>
      <c r="B127" s="267"/>
      <c r="C127" s="267"/>
      <c r="D127" s="272"/>
      <c r="E127" s="302"/>
      <c r="F127" s="302"/>
      <c r="G127" s="302"/>
      <c r="H127" s="302"/>
      <c r="I127" s="302"/>
      <c r="J127" s="302"/>
      <c r="K127" s="302"/>
      <c r="L127" s="302"/>
      <c r="M127" s="302"/>
      <c r="N127" s="302"/>
      <c r="O127" s="302"/>
      <c r="P127" s="302"/>
      <c r="Q127" s="302"/>
      <c r="R127" s="276"/>
    </row>
    <row r="128" spans="1:18" s="277" customFormat="1" ht="23.25" customHeight="1">
      <c r="A128" s="267"/>
      <c r="B128" s="267"/>
      <c r="C128" s="267"/>
      <c r="D128" s="272"/>
      <c r="E128" s="302"/>
      <c r="F128" s="302"/>
      <c r="G128" s="302"/>
      <c r="H128" s="302"/>
      <c r="I128" s="302"/>
      <c r="J128" s="302"/>
      <c r="K128" s="302"/>
      <c r="L128" s="302"/>
      <c r="M128" s="302"/>
      <c r="N128" s="302"/>
      <c r="O128" s="302"/>
      <c r="P128" s="302"/>
      <c r="Q128" s="302"/>
      <c r="R128" s="276"/>
    </row>
    <row r="129" spans="1:18" ht="23.25" customHeight="1">
      <c r="A129" s="304"/>
      <c r="B129" s="304"/>
      <c r="C129" s="304"/>
      <c r="D129" s="305"/>
      <c r="E129" s="306">
        <f>SUM(E2:E95)</f>
        <v>188900</v>
      </c>
      <c r="F129" s="307">
        <f>SUM(F2:F105)</f>
        <v>203200</v>
      </c>
      <c r="G129" s="302">
        <f>SUM(G2:G97)</f>
        <v>124900</v>
      </c>
      <c r="H129" s="302">
        <f>SUM(H2:H100)</f>
        <v>207300</v>
      </c>
      <c r="I129" s="302">
        <f t="shared" ref="I129:R129" si="7">SUM(I2:I104)</f>
        <v>201600</v>
      </c>
      <c r="J129" s="302">
        <f t="shared" si="7"/>
        <v>222300</v>
      </c>
      <c r="K129" s="302">
        <f t="shared" si="7"/>
        <v>0</v>
      </c>
      <c r="L129" s="302">
        <f t="shared" si="7"/>
        <v>0</v>
      </c>
      <c r="M129" s="302">
        <f t="shared" si="7"/>
        <v>0</v>
      </c>
      <c r="N129" s="302">
        <f t="shared" si="7"/>
        <v>0</v>
      </c>
      <c r="O129" s="302">
        <f t="shared" si="7"/>
        <v>0</v>
      </c>
      <c r="P129" s="302">
        <f t="shared" si="7"/>
        <v>0</v>
      </c>
      <c r="Q129" s="302">
        <f t="shared" si="7"/>
        <v>0</v>
      </c>
      <c r="R129" s="306">
        <f t="shared" si="7"/>
        <v>1148200</v>
      </c>
    </row>
    <row r="130" spans="1:18" ht="23.25" customHeight="1">
      <c r="D130" s="285"/>
      <c r="L130" s="311"/>
      <c r="M130" s="312"/>
      <c r="Q130" s="313"/>
    </row>
    <row r="131" spans="1:18" ht="16.5" customHeight="1">
      <c r="L131" s="314"/>
      <c r="M131" s="312"/>
    </row>
    <row r="132" spans="1:18" ht="16.5" customHeight="1">
      <c r="L132" s="311"/>
      <c r="M132" s="312"/>
    </row>
    <row r="133" spans="1:18" ht="16.5" customHeight="1">
      <c r="L133" s="311"/>
      <c r="M133" s="312"/>
    </row>
    <row r="134" spans="1:18" ht="16.5" customHeight="1">
      <c r="L134" s="311"/>
      <c r="M134" s="312"/>
    </row>
    <row r="135" spans="1:18" ht="16.5" customHeight="1">
      <c r="L135" s="311"/>
      <c r="M135" s="312"/>
    </row>
    <row r="136" spans="1:18" ht="16.5" customHeight="1">
      <c r="L136" s="311"/>
      <c r="M136" s="312"/>
    </row>
    <row r="137" spans="1:18" ht="16.5" customHeight="1">
      <c r="L137" s="314"/>
      <c r="M137" s="312"/>
    </row>
    <row r="138" spans="1:18" ht="16.5" customHeight="1">
      <c r="L138" s="311"/>
      <c r="M138" s="312"/>
    </row>
    <row r="139" spans="1:18" ht="16.5" customHeight="1">
      <c r="L139" s="311"/>
      <c r="M139" s="312"/>
    </row>
    <row r="140" spans="1:18" ht="16.5" customHeight="1">
      <c r="L140" s="311"/>
      <c r="M140" s="312"/>
    </row>
    <row r="141" spans="1:18" ht="16.5" customHeight="1">
      <c r="L141" s="311"/>
      <c r="M141" s="312"/>
    </row>
    <row r="142" spans="1:18" ht="16.5" customHeight="1">
      <c r="L142" s="311"/>
      <c r="M142" s="312"/>
    </row>
    <row r="143" spans="1:18" ht="16.5" customHeight="1">
      <c r="L143" s="311"/>
      <c r="M143" s="312"/>
    </row>
    <row r="144" spans="1:18" ht="16.5" customHeight="1">
      <c r="L144" s="314"/>
      <c r="M144" s="312"/>
    </row>
    <row r="145" spans="12:13" ht="16.5" customHeight="1">
      <c r="L145" s="314"/>
      <c r="M145" s="312"/>
    </row>
    <row r="146" spans="12:13" ht="16.5" customHeight="1">
      <c r="L146" s="314"/>
      <c r="M146" s="312"/>
    </row>
    <row r="147" spans="12:13" ht="16.5" customHeight="1">
      <c r="L147" s="314"/>
      <c r="M147" s="312"/>
    </row>
    <row r="148" spans="12:13" ht="16.5" customHeight="1">
      <c r="L148" s="311"/>
      <c r="M148" s="312"/>
    </row>
    <row r="149" spans="12:13" ht="16.5" customHeight="1">
      <c r="L149" s="311"/>
      <c r="M149" s="312"/>
    </row>
    <row r="150" spans="12:13" ht="16.5" customHeight="1">
      <c r="L150" s="314"/>
      <c r="M150" s="312"/>
    </row>
    <row r="151" spans="12:13" ht="16.5" customHeight="1">
      <c r="L151" s="314"/>
      <c r="M151" s="312"/>
    </row>
    <row r="152" spans="12:13" ht="16.5" customHeight="1">
      <c r="L152" s="314"/>
      <c r="M152" s="312"/>
    </row>
    <row r="153" spans="12:13" ht="16.5" customHeight="1">
      <c r="L153" s="314"/>
      <c r="M153" s="312"/>
    </row>
    <row r="154" spans="12:13" ht="16.5" customHeight="1">
      <c r="L154" s="314"/>
      <c r="M154" s="312"/>
    </row>
    <row r="155" spans="12:13" ht="16.5" customHeight="1">
      <c r="L155" s="314"/>
      <c r="M155" s="312"/>
    </row>
    <row r="156" spans="12:13" ht="16.5" customHeight="1">
      <c r="L156" s="314"/>
      <c r="M156" s="312"/>
    </row>
    <row r="157" spans="12:13" ht="16.5" customHeight="1">
      <c r="L157" s="311"/>
      <c r="M157" s="312"/>
    </row>
    <row r="158" spans="12:13" ht="16.5" customHeight="1">
      <c r="L158" s="314"/>
      <c r="M158" s="312"/>
    </row>
    <row r="159" spans="12:13" ht="16.5" customHeight="1">
      <c r="L159" s="314"/>
      <c r="M159" s="312"/>
    </row>
    <row r="160" spans="12:13" ht="16.5" customHeight="1">
      <c r="L160" s="314"/>
      <c r="M160" s="312"/>
    </row>
    <row r="161" spans="12:13" ht="16.5" customHeight="1">
      <c r="L161" s="314"/>
      <c r="M161" s="312"/>
    </row>
    <row r="162" spans="12:13" ht="16.5" customHeight="1">
      <c r="L162" s="314"/>
      <c r="M162" s="312"/>
    </row>
    <row r="163" spans="12:13" ht="16.5" customHeight="1">
      <c r="L163" s="314"/>
      <c r="M163" s="312"/>
    </row>
    <row r="164" spans="12:13" ht="16.5" customHeight="1">
      <c r="L164" s="314"/>
      <c r="M164" s="312"/>
    </row>
    <row r="165" spans="12:13" ht="16.5" customHeight="1">
      <c r="L165" s="314"/>
      <c r="M165" s="312"/>
    </row>
  </sheetData>
  <phoneticPr fontId="2" type="noConversion"/>
  <conditionalFormatting sqref="D2:D5 D7 E31:E128">
    <cfRule type="cellIs" dxfId="4" priority="3" stopIfTrue="1" operator="lessThan">
      <formula>0</formula>
    </cfRule>
  </conditionalFormatting>
  <conditionalFormatting sqref="G37">
    <cfRule type="cellIs" dxfId="3" priority="4" stopIfTrue="1" operator="lessThan">
      <formula>0</formula>
    </cfRule>
  </conditionalFormatting>
  <conditionalFormatting sqref="G94:G128">
    <cfRule type="cellIs" dxfId="2" priority="2" stopIfTrue="1" operator="lessThan">
      <formula>0</formula>
    </cfRule>
  </conditionalFormatting>
  <conditionalFormatting sqref="I99:I104">
    <cfRule type="cellIs" dxfId="1" priority="1" stopIfTrue="1" operator="lessThan">
      <formula>0</formula>
    </cfRule>
  </conditionalFormatting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5">
    <pageSetUpPr fitToPage="1"/>
  </sheetPr>
  <dimension ref="A1:IV18"/>
  <sheetViews>
    <sheetView showGridLines="0" showRuler="0" zoomScale="120" zoomScaleNormal="120" zoomScalePageLayoutView="112" workbookViewId="0">
      <pane xSplit="2" ySplit="2" topLeftCell="C7" activePane="bottomRight" state="frozen"/>
      <selection pane="topRight" activeCell="C1" sqref="C1"/>
      <selection pane="bottomLeft" activeCell="A3" sqref="A3"/>
      <selection pane="bottomRight" activeCell="G18" sqref="G18"/>
    </sheetView>
  </sheetViews>
  <sheetFormatPr defaultColWidth="8.81640625" defaultRowHeight="16.5" customHeight="1"/>
  <cols>
    <col min="1" max="1" width="5" style="1" customWidth="1"/>
    <col min="2" max="2" width="8.1796875" style="1" customWidth="1"/>
    <col min="3" max="11" width="7.6328125" style="1" customWidth="1"/>
    <col min="12" max="12" width="8" style="1" customWidth="1"/>
    <col min="13" max="13" width="7.6328125" style="1" customWidth="1"/>
    <col min="14" max="14" width="8" style="1" customWidth="1"/>
    <col min="15" max="15" width="9.6328125" style="1" customWidth="1"/>
    <col min="16" max="256" width="8.81640625" style="1" customWidth="1"/>
    <col min="257" max="16384" width="8.81640625" style="2"/>
  </cols>
  <sheetData>
    <row r="1" spans="1:15" s="1" customFormat="1" ht="32.25" customHeight="1" thickBot="1">
      <c r="A1" s="419" t="s">
        <v>58</v>
      </c>
      <c r="B1" s="420"/>
      <c r="C1" s="421"/>
      <c r="D1" s="421"/>
      <c r="E1" s="421"/>
      <c r="F1" s="420"/>
      <c r="G1" s="420"/>
      <c r="H1" s="420"/>
      <c r="I1" s="420"/>
      <c r="J1" s="420"/>
      <c r="K1" s="420"/>
      <c r="L1" s="420"/>
      <c r="M1" s="420"/>
      <c r="N1" s="420"/>
      <c r="O1" s="15"/>
    </row>
    <row r="2" spans="1:15" s="1" customFormat="1" ht="21" customHeight="1" thickTop="1">
      <c r="A2" s="16" t="s">
        <v>32</v>
      </c>
      <c r="B2" s="17" t="s">
        <v>41</v>
      </c>
      <c r="C2" s="27" t="s">
        <v>54</v>
      </c>
      <c r="D2" s="167" t="s">
        <v>52</v>
      </c>
      <c r="E2" s="27" t="s">
        <v>53</v>
      </c>
      <c r="F2" s="27" t="s">
        <v>33</v>
      </c>
      <c r="G2" s="27" t="s">
        <v>34</v>
      </c>
      <c r="H2" s="27" t="s">
        <v>35</v>
      </c>
      <c r="I2" s="27" t="s">
        <v>36</v>
      </c>
      <c r="J2" s="27" t="s">
        <v>37</v>
      </c>
      <c r="K2" s="27" t="s">
        <v>38</v>
      </c>
      <c r="L2" s="27" t="s">
        <v>39</v>
      </c>
      <c r="M2" s="27" t="s">
        <v>40</v>
      </c>
      <c r="N2" s="27" t="s">
        <v>55</v>
      </c>
      <c r="O2" s="18" t="s">
        <v>42</v>
      </c>
    </row>
    <row r="3" spans="1:15" s="1" customFormat="1" ht="19.95" customHeight="1">
      <c r="A3" s="19">
        <v>1</v>
      </c>
      <c r="B3" s="212" t="s">
        <v>43</v>
      </c>
      <c r="C3" s="20">
        <v>52245</v>
      </c>
      <c r="D3" s="20">
        <v>61914</v>
      </c>
      <c r="E3" s="20">
        <v>49800</v>
      </c>
      <c r="F3" s="20">
        <v>49500</v>
      </c>
      <c r="G3" s="20">
        <v>53700</v>
      </c>
      <c r="H3" s="20"/>
      <c r="I3" s="20"/>
      <c r="J3" s="20"/>
      <c r="K3" s="20"/>
      <c r="L3" s="20"/>
      <c r="M3" s="20"/>
      <c r="N3" s="20"/>
      <c r="O3" s="21">
        <f t="shared" ref="O3:O17" si="0">SUM(C3:N3)</f>
        <v>267159</v>
      </c>
    </row>
    <row r="4" spans="1:15" s="1" customFormat="1" ht="19.95" customHeight="1">
      <c r="A4" s="19">
        <v>2</v>
      </c>
      <c r="B4" s="212" t="s">
        <v>44</v>
      </c>
      <c r="C4" s="20">
        <v>48724</v>
      </c>
      <c r="D4" s="20">
        <v>57729</v>
      </c>
      <c r="E4" s="20">
        <v>45400</v>
      </c>
      <c r="F4" s="20">
        <v>43600</v>
      </c>
      <c r="G4" s="20">
        <v>48850</v>
      </c>
      <c r="H4" s="20"/>
      <c r="I4" s="20"/>
      <c r="J4" s="20"/>
      <c r="K4" s="20"/>
      <c r="L4" s="20"/>
      <c r="M4" s="20"/>
      <c r="N4" s="20"/>
      <c r="O4" s="21">
        <f t="shared" si="0"/>
        <v>244303</v>
      </c>
    </row>
    <row r="5" spans="1:15" s="1" customFormat="1" ht="19.95" customHeight="1">
      <c r="A5" s="19">
        <v>3</v>
      </c>
      <c r="B5" s="212" t="s">
        <v>46</v>
      </c>
      <c r="C5" s="334">
        <v>36500</v>
      </c>
      <c r="D5" s="20">
        <v>51321</v>
      </c>
      <c r="E5" s="20">
        <v>33000</v>
      </c>
      <c r="F5" s="20">
        <v>41400</v>
      </c>
      <c r="G5" s="20">
        <v>38700</v>
      </c>
      <c r="H5" s="20"/>
      <c r="I5" s="20"/>
      <c r="J5" s="20"/>
      <c r="K5" s="20"/>
      <c r="L5" s="20"/>
      <c r="M5" s="20"/>
      <c r="N5" s="20"/>
      <c r="O5" s="21">
        <f>SUM(C5:N5)</f>
        <v>200921</v>
      </c>
    </row>
    <row r="6" spans="1:15" s="1" customFormat="1" ht="19.95" customHeight="1">
      <c r="A6" s="19">
        <v>4</v>
      </c>
      <c r="B6" s="212" t="s">
        <v>45</v>
      </c>
      <c r="C6" s="374">
        <v>22100</v>
      </c>
      <c r="D6" s="20">
        <v>12500</v>
      </c>
      <c r="E6" s="20">
        <v>23000</v>
      </c>
      <c r="F6" s="20">
        <v>22400</v>
      </c>
      <c r="G6" s="20">
        <v>29600</v>
      </c>
      <c r="H6" s="20"/>
      <c r="I6" s="20"/>
      <c r="J6" s="20"/>
      <c r="K6" s="20"/>
      <c r="L6" s="20"/>
      <c r="M6" s="20"/>
      <c r="N6" s="20"/>
      <c r="O6" s="21">
        <f t="shared" si="0"/>
        <v>109600</v>
      </c>
    </row>
    <row r="7" spans="1:15" s="1" customFormat="1" ht="19.95" customHeight="1">
      <c r="A7" s="369">
        <v>5</v>
      </c>
      <c r="B7" s="370" t="s">
        <v>332</v>
      </c>
      <c r="C7" s="333"/>
      <c r="D7" s="371"/>
      <c r="E7" s="371">
        <v>19800</v>
      </c>
      <c r="F7" s="371">
        <v>19200</v>
      </c>
      <c r="G7" s="371">
        <v>18600</v>
      </c>
      <c r="H7" s="371"/>
      <c r="I7" s="371"/>
      <c r="J7" s="371"/>
      <c r="K7" s="373"/>
      <c r="L7" s="371"/>
      <c r="M7" s="371"/>
      <c r="N7" s="371"/>
      <c r="O7" s="372">
        <f>SUM(C7:N7)</f>
        <v>57600</v>
      </c>
    </row>
    <row r="8" spans="1:15" s="1" customFormat="1" ht="19.95" customHeight="1">
      <c r="A8" s="19">
        <v>6</v>
      </c>
      <c r="B8" s="38" t="s">
        <v>269</v>
      </c>
      <c r="C8" s="20">
        <v>14400</v>
      </c>
      <c r="D8" s="20">
        <v>16950</v>
      </c>
      <c r="E8" s="20">
        <v>9000</v>
      </c>
      <c r="F8" s="20">
        <v>6300</v>
      </c>
      <c r="G8" s="20">
        <v>8400</v>
      </c>
      <c r="H8" s="20"/>
      <c r="I8" s="20"/>
      <c r="J8" s="20"/>
      <c r="K8" s="122"/>
      <c r="L8" s="20"/>
      <c r="M8" s="20"/>
      <c r="N8" s="20"/>
      <c r="O8" s="21">
        <f t="shared" si="0"/>
        <v>55050</v>
      </c>
    </row>
    <row r="9" spans="1:15" s="1" customFormat="1" ht="19.95" customHeight="1">
      <c r="A9" s="19">
        <v>7</v>
      </c>
      <c r="B9" s="38" t="s">
        <v>270</v>
      </c>
      <c r="C9" s="20">
        <v>5850</v>
      </c>
      <c r="D9" s="20">
        <v>16650</v>
      </c>
      <c r="E9" s="20">
        <v>15300</v>
      </c>
      <c r="F9" s="20">
        <v>11400</v>
      </c>
      <c r="G9" s="20">
        <v>16200</v>
      </c>
      <c r="H9" s="20"/>
      <c r="I9" s="20"/>
      <c r="J9" s="121"/>
      <c r="K9" s="124"/>
      <c r="L9" s="26"/>
      <c r="M9" s="20"/>
      <c r="N9" s="20"/>
      <c r="O9" s="21">
        <f t="shared" si="0"/>
        <v>65400</v>
      </c>
    </row>
    <row r="10" spans="1:15" s="1" customFormat="1" ht="19.95" customHeight="1">
      <c r="A10" s="19">
        <v>8</v>
      </c>
      <c r="B10" s="33" t="s">
        <v>271</v>
      </c>
      <c r="C10" s="20">
        <v>9750</v>
      </c>
      <c r="D10" s="20">
        <v>9000</v>
      </c>
      <c r="E10" s="20">
        <v>1800</v>
      </c>
      <c r="F10" s="20"/>
      <c r="G10" s="20">
        <v>2700</v>
      </c>
      <c r="H10" s="20"/>
      <c r="I10" s="20"/>
      <c r="J10" s="20"/>
      <c r="K10" s="20"/>
      <c r="L10" s="20"/>
      <c r="M10" s="20"/>
      <c r="N10" s="20"/>
      <c r="O10" s="21">
        <f>SUM(C10:N10)</f>
        <v>23250</v>
      </c>
    </row>
    <row r="11" spans="1:15" s="1" customFormat="1" ht="19.95" customHeight="1">
      <c r="A11" s="19">
        <v>9</v>
      </c>
      <c r="B11" s="38" t="s">
        <v>293</v>
      </c>
      <c r="C11" s="20">
        <v>17850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1">
        <f>SUM(C11:N11)</f>
        <v>17850</v>
      </c>
    </row>
    <row r="12" spans="1:15" s="1" customFormat="1" ht="19.95" customHeight="1">
      <c r="A12" s="19">
        <v>10</v>
      </c>
      <c r="B12" s="130" t="s">
        <v>294</v>
      </c>
      <c r="C12" s="26">
        <v>17850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1">
        <f t="shared" si="0"/>
        <v>17850</v>
      </c>
    </row>
    <row r="13" spans="1:15" s="1" customFormat="1" ht="19.95" customHeight="1">
      <c r="A13" s="19">
        <v>11</v>
      </c>
      <c r="B13" s="38" t="s">
        <v>316</v>
      </c>
      <c r="C13" s="20"/>
      <c r="D13" s="20">
        <v>3000</v>
      </c>
      <c r="E13" s="20"/>
      <c r="F13" s="20"/>
      <c r="G13" s="20"/>
      <c r="H13" s="20"/>
      <c r="I13" s="20"/>
      <c r="J13" s="20"/>
      <c r="K13" s="122"/>
      <c r="L13" s="20"/>
      <c r="M13" s="20"/>
      <c r="N13" s="20"/>
      <c r="O13" s="21">
        <f t="shared" si="0"/>
        <v>3000</v>
      </c>
    </row>
    <row r="14" spans="1:15" s="1" customFormat="1" ht="19.95" customHeight="1">
      <c r="A14" s="19">
        <v>12</v>
      </c>
      <c r="B14" s="38" t="s">
        <v>317</v>
      </c>
      <c r="C14" s="20"/>
      <c r="D14" s="20">
        <v>3000</v>
      </c>
      <c r="E14" s="20"/>
      <c r="F14" s="20"/>
      <c r="G14" s="20"/>
      <c r="H14" s="20"/>
      <c r="I14" s="20"/>
      <c r="J14" s="121"/>
      <c r="K14" s="124"/>
      <c r="L14" s="26"/>
      <c r="M14" s="20"/>
      <c r="N14" s="20"/>
      <c r="O14" s="21">
        <f t="shared" si="0"/>
        <v>3000</v>
      </c>
    </row>
    <row r="15" spans="1:15" s="1" customFormat="1" ht="19.95" customHeight="1">
      <c r="A15" s="19"/>
      <c r="B15" s="130"/>
      <c r="C15" s="131"/>
      <c r="D15" s="131"/>
      <c r="E15" s="131"/>
      <c r="F15" s="131"/>
      <c r="G15" s="131"/>
      <c r="H15" s="131"/>
      <c r="I15" s="131"/>
      <c r="J15" s="132"/>
      <c r="K15" s="133"/>
      <c r="L15" s="131"/>
      <c r="M15" s="131"/>
      <c r="N15" s="131"/>
      <c r="O15" s="21">
        <f t="shared" si="0"/>
        <v>0</v>
      </c>
    </row>
    <row r="16" spans="1:15" s="1" customFormat="1" ht="21" customHeight="1" thickBot="1">
      <c r="A16" s="19"/>
      <c r="B16" s="127"/>
      <c r="C16" s="128"/>
      <c r="D16" s="128"/>
      <c r="E16" s="128"/>
      <c r="F16" s="128"/>
      <c r="G16" s="128"/>
      <c r="H16" s="128"/>
      <c r="I16" s="128"/>
      <c r="J16" s="129"/>
      <c r="K16" s="123"/>
      <c r="L16" s="128"/>
      <c r="M16" s="128"/>
      <c r="N16" s="128"/>
      <c r="O16" s="21">
        <f t="shared" si="0"/>
        <v>0</v>
      </c>
    </row>
    <row r="17" spans="1:15" s="1" customFormat="1" ht="23.25" customHeight="1" thickTop="1" thickBot="1">
      <c r="A17" s="22"/>
      <c r="B17" s="125" t="s">
        <v>48</v>
      </c>
      <c r="C17" s="26">
        <v>105</v>
      </c>
      <c r="D17" s="23">
        <v>105</v>
      </c>
      <c r="E17" s="23">
        <v>90</v>
      </c>
      <c r="F17" s="23">
        <v>75</v>
      </c>
      <c r="G17" s="23">
        <v>90</v>
      </c>
      <c r="H17" s="23"/>
      <c r="I17" s="23"/>
      <c r="J17" s="23"/>
      <c r="K17" s="23"/>
      <c r="L17" s="23"/>
      <c r="M17" s="23"/>
      <c r="N17" s="23"/>
      <c r="O17" s="126">
        <f t="shared" si="0"/>
        <v>465</v>
      </c>
    </row>
    <row r="18" spans="1:15" s="1" customFormat="1" ht="28.5" customHeight="1" thickBot="1">
      <c r="A18" s="422" t="s">
        <v>47</v>
      </c>
      <c r="B18" s="423"/>
      <c r="C18" s="24">
        <f t="shared" ref="C18:O18" si="1">SUM(C3:C17)</f>
        <v>225374</v>
      </c>
      <c r="D18" s="24">
        <f>SUM(D3:D17)</f>
        <v>232169</v>
      </c>
      <c r="E18" s="24">
        <f t="shared" si="1"/>
        <v>197190</v>
      </c>
      <c r="F18" s="24">
        <f>SUM(F3:F17)</f>
        <v>193875</v>
      </c>
      <c r="G18" s="24">
        <f>SUM(G3:G17)</f>
        <v>216840</v>
      </c>
      <c r="H18" s="24">
        <f t="shared" si="1"/>
        <v>0</v>
      </c>
      <c r="I18" s="24">
        <f t="shared" si="1"/>
        <v>0</v>
      </c>
      <c r="J18" s="24">
        <f t="shared" si="1"/>
        <v>0</v>
      </c>
      <c r="K18" s="24">
        <f t="shared" si="1"/>
        <v>0</v>
      </c>
      <c r="L18" s="24">
        <f t="shared" si="1"/>
        <v>0</v>
      </c>
      <c r="M18" s="24">
        <f>SUM(M3:M17)</f>
        <v>0</v>
      </c>
      <c r="N18" s="24">
        <f t="shared" si="1"/>
        <v>0</v>
      </c>
      <c r="O18" s="25">
        <f t="shared" si="1"/>
        <v>1065448</v>
      </c>
    </row>
  </sheetData>
  <mergeCells count="2">
    <mergeCell ref="A1:N1"/>
    <mergeCell ref="A18:B18"/>
  </mergeCells>
  <phoneticPr fontId="2" type="noConversion"/>
  <conditionalFormatting sqref="C3:O4 D5:O7 C8:O18">
    <cfRule type="cellIs" dxfId="0" priority="1" stopIfTrue="1" operator="lessThan">
      <formula>0</formula>
    </cfRule>
  </conditionalFormatting>
  <pageMargins left="0.75" right="0.75" top="1" bottom="1" header="0.5" footer="0.5"/>
  <pageSetup scale="88" orientation="landscape" r:id="rId1"/>
  <headerFooter>
    <oddFooter>&amp;C&amp;"Helvetica Neue,Regular"&amp;12&amp;K000000&amp;P&amp;R&amp;"Helvetica Neue,Regular"&amp;12&amp;K000000製表：方媽  2018年8月9日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115日記帳</vt:lpstr>
      <vt:lpstr>115收支表 </vt:lpstr>
      <vt:lpstr>比賽費用支出</vt:lpstr>
      <vt:lpstr>繳費名單</vt:lpstr>
      <vt:lpstr>教練薪資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</dc:creator>
  <cp:lastModifiedBy>minmin kuo</cp:lastModifiedBy>
  <cp:lastPrinted>2022-01-07T23:30:00Z</cp:lastPrinted>
  <dcterms:created xsi:type="dcterms:W3CDTF">2020-01-02T12:17:06Z</dcterms:created>
  <dcterms:modified xsi:type="dcterms:W3CDTF">2026-06-05T02:43:54Z</dcterms:modified>
</cp:coreProperties>
</file>