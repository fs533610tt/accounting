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F:\冠勳媽112.08.12\日記帳\"/>
    </mc:Choice>
  </mc:AlternateContent>
  <xr:revisionPtr revIDLastSave="0" documentId="13_ncr:1_{154A7223-6EDF-40E4-9A19-04644FD675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13日記帳" sheetId="1" r:id="rId1"/>
    <sheet name="113收支表 " sheetId="2" r:id="rId2"/>
    <sheet name="比賽費用支出" sheetId="3" r:id="rId3"/>
    <sheet name="繳費名單" sheetId="4" r:id="rId4"/>
    <sheet name="教練薪資" sheetId="5" r:id="rId5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32" i="4" l="1"/>
  <c r="N132" i="4"/>
  <c r="M132" i="4"/>
  <c r="K132" i="4"/>
  <c r="E132" i="4"/>
  <c r="J132" i="4"/>
  <c r="R113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4" i="4"/>
  <c r="R75" i="4"/>
  <c r="R76" i="4"/>
  <c r="R77" i="4"/>
  <c r="R78" i="4"/>
  <c r="R79" i="4"/>
  <c r="R80" i="4"/>
  <c r="R81" i="4"/>
  <c r="R82" i="4"/>
  <c r="K17" i="5"/>
  <c r="L17" i="5"/>
  <c r="M17" i="5"/>
  <c r="N17" i="5"/>
  <c r="O11" i="5"/>
  <c r="O9" i="5"/>
  <c r="O10" i="5"/>
  <c r="O12" i="5"/>
  <c r="O13" i="5"/>
  <c r="O14" i="5"/>
  <c r="O15" i="5"/>
  <c r="O8" i="5"/>
  <c r="O7" i="5"/>
  <c r="O6" i="5"/>
  <c r="O4" i="2"/>
  <c r="O7" i="2"/>
  <c r="O4" i="5"/>
  <c r="O5" i="5"/>
  <c r="O16" i="5"/>
  <c r="O3" i="5"/>
  <c r="C17" i="5"/>
  <c r="O18" i="2"/>
  <c r="O9" i="2"/>
  <c r="O14" i="2"/>
  <c r="O6" i="2"/>
  <c r="O10" i="2"/>
  <c r="O15" i="2"/>
  <c r="O19" i="2"/>
  <c r="O16" i="2"/>
  <c r="O12" i="2"/>
  <c r="O17" i="2"/>
  <c r="O13" i="2"/>
  <c r="O11" i="2"/>
  <c r="O8" i="2"/>
  <c r="O17" i="5"/>
  <c r="R15" i="4"/>
  <c r="R2" i="4"/>
  <c r="R7" i="4"/>
  <c r="R6" i="4"/>
  <c r="R8" i="4"/>
  <c r="R9" i="4"/>
  <c r="R10" i="4"/>
  <c r="R11" i="4"/>
  <c r="R13" i="4"/>
  <c r="R14" i="4"/>
  <c r="R16" i="4"/>
  <c r="R17" i="4"/>
  <c r="R18" i="4"/>
  <c r="R1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88697</author>
    <author>user</author>
  </authors>
  <commentList>
    <comment ref="G2" authorId="0" shapeId="0" xr:uid="{B804B344-8F70-420F-8CB8-B6D738934C46}">
      <text>
        <r>
          <rPr>
            <sz val="9"/>
            <color indexed="81"/>
            <rFont val="Tahoma"/>
            <family val="2"/>
          </rPr>
          <t>2/7</t>
        </r>
        <r>
          <rPr>
            <sz val="9"/>
            <color indexed="81"/>
            <rFont val="細明體"/>
            <family val="3"/>
            <charset val="136"/>
          </rPr>
          <t>計次</t>
        </r>
        <r>
          <rPr>
            <sz val="9"/>
            <color indexed="81"/>
            <rFont val="Tahoma"/>
            <family val="2"/>
          </rPr>
          <t xml:space="preserve">400
</t>
        </r>
      </text>
    </comment>
    <comment ref="G9" authorId="1" shapeId="0" xr:uid="{15A20293-077B-4027-8DD0-4BE28F49079A}">
      <text>
        <r>
          <rPr>
            <sz val="9"/>
            <color indexed="81"/>
            <rFont val="Tahoma"/>
            <family val="2"/>
          </rPr>
          <t>1/24,31,2/7</t>
        </r>
        <r>
          <rPr>
            <sz val="9"/>
            <color indexed="81"/>
            <rFont val="細明體"/>
            <family val="3"/>
            <charset val="136"/>
          </rPr>
          <t>計次</t>
        </r>
        <r>
          <rPr>
            <sz val="9"/>
            <color indexed="81"/>
            <rFont val="Tahoma"/>
            <family val="2"/>
          </rPr>
          <t xml:space="preserve">400*3=1200
</t>
        </r>
      </text>
    </comment>
    <comment ref="M17" authorId="1" shapeId="0" xr:uid="{DC48857A-FF64-42A7-8993-0F6AFFF58352}">
      <text>
        <r>
          <rPr>
            <sz val="9"/>
            <color indexed="81"/>
            <rFont val="Tahoma"/>
            <family val="2"/>
          </rPr>
          <t xml:space="preserve">7/8,22,23,29,30,31
</t>
        </r>
      </text>
    </comment>
    <comment ref="G27" authorId="0" shapeId="0" xr:uid="{41EC2CAD-BE7B-4B57-99DE-D67F4C2834CE}">
      <text>
        <r>
          <rPr>
            <sz val="9"/>
            <color indexed="81"/>
            <rFont val="Tahoma"/>
            <family val="2"/>
          </rPr>
          <t>2/3</t>
        </r>
        <r>
          <rPr>
            <sz val="9"/>
            <color indexed="81"/>
            <rFont val="細明體"/>
            <family val="3"/>
            <charset val="136"/>
          </rPr>
          <t>繳寒訓3500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5" authorId="0" shapeId="0" xr:uid="{F52FB0C4-BE40-4A52-B78D-249DD1F7D872}">
      <text>
        <r>
          <rPr>
            <sz val="9"/>
            <color indexed="81"/>
            <rFont val="Tahoma"/>
            <family val="2"/>
          </rPr>
          <t xml:space="preserve">3/6 1800
</t>
        </r>
      </text>
    </comment>
    <comment ref="M35" authorId="1" shapeId="0" xr:uid="{C02678E9-BB44-4753-9B3C-EFA5F95418B8}">
      <text>
        <r>
          <rPr>
            <sz val="9"/>
            <color indexed="81"/>
            <rFont val="Tahoma"/>
            <family val="2"/>
          </rPr>
          <t xml:space="preserve">7/13,31
</t>
        </r>
      </text>
    </comment>
    <comment ref="O35" authorId="1" shapeId="0" xr:uid="{C34A5C57-F5CB-425E-8C4B-BA5666194B6A}">
      <text>
        <r>
          <rPr>
            <sz val="9"/>
            <color indexed="81"/>
            <rFont val="Tahoma"/>
            <family val="2"/>
          </rPr>
          <t xml:space="preserve">9/14,21,28
</t>
        </r>
      </text>
    </comment>
    <comment ref="P35" authorId="1" shapeId="0" xr:uid="{3BAC63F0-E32F-453A-869B-41BAFB7AFD84}">
      <text>
        <r>
          <rPr>
            <sz val="9"/>
            <color indexed="81"/>
            <rFont val="Tahoma"/>
            <family val="2"/>
          </rPr>
          <t xml:space="preserve">10/12,19
</t>
        </r>
      </text>
    </comment>
    <comment ref="Q35" authorId="1" shapeId="0" xr:uid="{01839BD1-C93F-4185-A001-E37D13CC90BB}">
      <text>
        <r>
          <rPr>
            <sz val="9"/>
            <color indexed="81"/>
            <rFont val="Tahoma"/>
            <family val="2"/>
          </rPr>
          <t xml:space="preserve">11/9,23
</t>
        </r>
      </text>
    </comment>
    <comment ref="H47" authorId="0" shapeId="0" xr:uid="{ACFD4CF8-EEAE-4E87-AE53-B12E8C94BAFC}">
      <text>
        <r>
          <rPr>
            <sz val="9"/>
            <color indexed="81"/>
            <rFont val="Tahoma"/>
            <family val="2"/>
          </rPr>
          <t xml:space="preserve">3/7,1300
</t>
        </r>
      </text>
    </comment>
    <comment ref="G48" authorId="1" shapeId="0" xr:uid="{999DA1F4-3FBC-498A-A6F2-702C19EDB32C}">
      <text>
        <r>
          <rPr>
            <sz val="9"/>
            <color indexed="81"/>
            <rFont val="Tahoma"/>
            <family val="2"/>
          </rPr>
          <t>1/24,31,2/7</t>
        </r>
        <r>
          <rPr>
            <sz val="9"/>
            <color indexed="81"/>
            <rFont val="細明體"/>
            <family val="3"/>
            <charset val="136"/>
          </rPr>
          <t>計次</t>
        </r>
        <r>
          <rPr>
            <sz val="9"/>
            <color indexed="81"/>
            <rFont val="Tahoma"/>
            <family val="2"/>
          </rPr>
          <t xml:space="preserve">400*3=1200
</t>
        </r>
      </text>
    </comment>
    <comment ref="O48" authorId="1" shapeId="0" xr:uid="{61474917-05AD-4D8A-BEE9-1CE8E14DA190}">
      <text>
        <r>
          <rPr>
            <sz val="9"/>
            <color indexed="81"/>
            <rFont val="Tahoma"/>
            <family val="2"/>
          </rPr>
          <t xml:space="preserve">9/3,10,24
</t>
        </r>
      </text>
    </comment>
    <comment ref="P48" authorId="1" shapeId="0" xr:uid="{CCFF94E6-BCB0-4863-8588-6AD35800C52E}">
      <text>
        <r>
          <rPr>
            <sz val="9"/>
            <color indexed="81"/>
            <rFont val="Tahoma"/>
            <family val="2"/>
          </rPr>
          <t xml:space="preserve">10/8,15,22
</t>
        </r>
      </text>
    </comment>
    <comment ref="Q48" authorId="1" shapeId="0" xr:uid="{53DBBC9A-F309-4D30-A53D-31DC16BAA72B}">
      <text>
        <r>
          <rPr>
            <sz val="9"/>
            <color indexed="81"/>
            <rFont val="Tahoma"/>
            <family val="2"/>
          </rPr>
          <t xml:space="preserve">11/26
</t>
        </r>
      </text>
    </comment>
    <comment ref="H67" authorId="0" shapeId="0" xr:uid="{8DCEFFF0-7E03-4C9E-B2EA-FC12E15C58BB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O68" authorId="1" shapeId="0" xr:uid="{0D87EDE9-7174-4A87-9D39-F327D81E8E80}">
      <text>
        <r>
          <rPr>
            <sz val="9"/>
            <color indexed="81"/>
            <rFont val="Tahoma"/>
            <family val="2"/>
          </rPr>
          <t xml:space="preserve">9/7,14,21,28
</t>
        </r>
      </text>
    </comment>
    <comment ref="P68" authorId="1" shapeId="0" xr:uid="{77E94143-8378-448A-B6F1-23CE4C9FEC87}">
      <text>
        <r>
          <rPr>
            <sz val="9"/>
            <color indexed="81"/>
            <rFont val="Tahoma"/>
            <family val="2"/>
          </rPr>
          <t xml:space="preserve">10/5,12,19,26
</t>
        </r>
      </text>
    </comment>
    <comment ref="I74" authorId="1" shapeId="0" xr:uid="{DDD0AA65-BA77-4AB6-A15D-025FF87C65D1}">
      <text>
        <r>
          <rPr>
            <sz val="9"/>
            <color indexed="81"/>
            <rFont val="Tahoma"/>
            <family val="2"/>
          </rPr>
          <t xml:space="preserve">2/24,3/2,3/9,3/16,3/23,3/30
</t>
        </r>
      </text>
    </comment>
    <comment ref="J74" authorId="1" shapeId="0" xr:uid="{A226EF9E-3219-461E-BF1A-7F29AC587F2B}">
      <text>
        <r>
          <rPr>
            <sz val="9"/>
            <color indexed="81"/>
            <rFont val="Tahoma"/>
            <family val="2"/>
          </rPr>
          <t xml:space="preserve">4/13,20,27
</t>
        </r>
      </text>
    </comment>
    <comment ref="K74" authorId="1" shapeId="0" xr:uid="{BCEC142E-4F4D-4EB4-80F5-4F6237128B23}">
      <text>
        <r>
          <rPr>
            <sz val="9"/>
            <color indexed="81"/>
            <rFont val="Tahoma"/>
            <family val="2"/>
          </rPr>
          <t xml:space="preserve">5/4,11,18,25
</t>
        </r>
      </text>
    </comment>
    <comment ref="L74" authorId="1" shapeId="0" xr:uid="{D3252715-8004-46FB-8060-96796C385892}">
      <text>
        <r>
          <rPr>
            <sz val="9"/>
            <color indexed="81"/>
            <rFont val="Tahoma"/>
            <family val="2"/>
          </rPr>
          <t xml:space="preserve">6/8,22
</t>
        </r>
      </text>
    </comment>
    <comment ref="O74" authorId="1" shapeId="0" xr:uid="{EFF15D31-4701-40A3-A094-6B69ACAE5311}">
      <text>
        <r>
          <rPr>
            <sz val="9"/>
            <color indexed="81"/>
            <rFont val="Tahoma"/>
            <family val="2"/>
          </rPr>
          <t xml:space="preserve">9/7,14,21,21,28
</t>
        </r>
      </text>
    </comment>
    <comment ref="P74" authorId="1" shapeId="0" xr:uid="{DC905FF4-DD4B-4F92-A3FB-C5AA1CCB365C}">
      <text>
        <r>
          <rPr>
            <sz val="9"/>
            <color indexed="81"/>
            <rFont val="Tahoma"/>
            <family val="2"/>
          </rPr>
          <t xml:space="preserve">10/5,9,19,26
</t>
        </r>
      </text>
    </comment>
    <comment ref="Q74" authorId="1" shapeId="0" xr:uid="{11F2E500-1AC2-4924-BC07-E82057D7C645}">
      <text>
        <r>
          <rPr>
            <sz val="9"/>
            <color indexed="81"/>
            <rFont val="Tahoma"/>
            <family val="2"/>
          </rPr>
          <t xml:space="preserve">11/2,9,16,23
</t>
        </r>
      </text>
    </comment>
    <comment ref="I75" authorId="1" shapeId="0" xr:uid="{E8EC6242-DC07-44D4-95C7-92E87BD6E9A8}">
      <text>
        <r>
          <rPr>
            <sz val="9"/>
            <color indexed="81"/>
            <rFont val="Tahoma"/>
            <family val="2"/>
          </rPr>
          <t xml:space="preserve">2/24,3/2,3/9,3/16,3/23,3/30
</t>
        </r>
      </text>
    </comment>
    <comment ref="J75" authorId="1" shapeId="0" xr:uid="{CC33EB00-F3EA-415E-A5ED-A6F55B31E0B7}">
      <text>
        <r>
          <rPr>
            <sz val="9"/>
            <color indexed="81"/>
            <rFont val="Tahoma"/>
            <family val="2"/>
          </rPr>
          <t xml:space="preserve">4/13,20,27
</t>
        </r>
      </text>
    </comment>
    <comment ref="K75" authorId="1" shapeId="0" xr:uid="{C448D63B-FD07-455D-99FD-7BD046750C26}">
      <text>
        <r>
          <rPr>
            <sz val="9"/>
            <color indexed="81"/>
            <rFont val="Tahoma"/>
            <family val="2"/>
          </rPr>
          <t xml:space="preserve">5/4,11,18,25
</t>
        </r>
      </text>
    </comment>
    <comment ref="L75" authorId="1" shapeId="0" xr:uid="{69DBC627-2F49-455B-A863-7B35F2CC4CB6}">
      <text>
        <r>
          <rPr>
            <sz val="9"/>
            <color indexed="81"/>
            <rFont val="Tahoma"/>
            <family val="2"/>
          </rPr>
          <t xml:space="preserve">6/8,22
</t>
        </r>
      </text>
    </comment>
    <comment ref="O75" authorId="1" shapeId="0" xr:uid="{C2622697-2AE1-4313-A0D4-804A360169F5}">
      <text>
        <r>
          <rPr>
            <sz val="9"/>
            <color indexed="81"/>
            <rFont val="Tahoma"/>
            <family val="2"/>
          </rPr>
          <t xml:space="preserve">9/7,14,21,28
</t>
        </r>
      </text>
    </comment>
    <comment ref="P75" authorId="1" shapeId="0" xr:uid="{F48FB5C5-1BDE-4AD4-832A-47B742441C6E}">
      <text>
        <r>
          <rPr>
            <sz val="9"/>
            <color indexed="81"/>
            <rFont val="Tahoma"/>
            <family val="2"/>
          </rPr>
          <t xml:space="preserve">10/5,9,19,26
</t>
        </r>
      </text>
    </comment>
    <comment ref="Q75" authorId="1" shapeId="0" xr:uid="{85E90676-5BD5-4384-9DEF-BE8989C88FE2}">
      <text>
        <r>
          <rPr>
            <sz val="9"/>
            <color indexed="81"/>
            <rFont val="Tahoma"/>
            <family val="2"/>
          </rPr>
          <t xml:space="preserve">11/2,9,16,23
</t>
        </r>
      </text>
    </comment>
    <comment ref="I76" authorId="1" shapeId="0" xr:uid="{2AD10C22-90A7-4330-82F5-CD54DEBB871D}">
      <text>
        <r>
          <rPr>
            <sz val="9"/>
            <color indexed="81"/>
            <rFont val="Tahoma"/>
            <family val="2"/>
          </rPr>
          <t xml:space="preserve">3/30
</t>
        </r>
      </text>
    </comment>
    <comment ref="J76" authorId="1" shapeId="0" xr:uid="{9BB6E565-E1E0-431C-BBD7-F3E996EB444C}">
      <text>
        <r>
          <rPr>
            <b/>
            <sz val="9"/>
            <color indexed="81"/>
            <rFont val="Tahoma"/>
            <family val="2"/>
          </rPr>
          <t>4/20.27</t>
        </r>
      </text>
    </comment>
    <comment ref="K76" authorId="1" shapeId="0" xr:uid="{8037FEBB-B0AA-414D-8AC5-37434749E34C}">
      <text>
        <r>
          <rPr>
            <sz val="9"/>
            <color indexed="81"/>
            <rFont val="Tahoma"/>
            <family val="2"/>
          </rPr>
          <t xml:space="preserve">5/11
</t>
        </r>
      </text>
    </comment>
    <comment ref="E77" authorId="0" shapeId="0" xr:uid="{A28430F1-24D8-4022-95A4-E0DEF99E7F94}">
      <text>
        <r>
          <rPr>
            <sz val="9"/>
            <color indexed="81"/>
            <rFont val="Tahoma"/>
            <family val="2"/>
          </rPr>
          <t xml:space="preserve">12/16
</t>
        </r>
      </text>
    </comment>
    <comment ref="E78" authorId="0" shapeId="0" xr:uid="{0CAF46D3-FE51-46AD-8721-E305C9CD8A2F}">
      <text>
        <r>
          <rPr>
            <sz val="9"/>
            <color indexed="81"/>
            <rFont val="Tahoma"/>
            <family val="2"/>
          </rPr>
          <t xml:space="preserve">12/16,23,30
</t>
        </r>
      </text>
    </comment>
    <comment ref="H78" authorId="0" shapeId="0" xr:uid="{E180F144-6C95-4E12-8C4D-3FB390459104}">
      <text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會費</t>
        </r>
        <r>
          <rPr>
            <sz val="9"/>
            <color indexed="81"/>
            <rFont val="Tahoma"/>
            <family val="2"/>
          </rPr>
          <t xml:space="preserve">300
</t>
        </r>
      </text>
    </comment>
    <comment ref="M78" authorId="1" shapeId="0" xr:uid="{F57CBA4F-9921-4070-8C84-0A98A4BC8382}">
      <text>
        <r>
          <rPr>
            <sz val="9"/>
            <color indexed="81"/>
            <rFont val="Tahoma"/>
            <family val="2"/>
          </rPr>
          <t xml:space="preserve">7/30,31
</t>
        </r>
      </text>
    </comment>
    <comment ref="E79" authorId="0" shapeId="0" xr:uid="{F87288BF-9B3B-4A75-B9B5-A1A33F1BA748}">
      <text>
        <r>
          <rPr>
            <b/>
            <sz val="9"/>
            <color indexed="81"/>
            <rFont val="Tahoma"/>
            <family val="2"/>
          </rPr>
          <t>12/16,23,30</t>
        </r>
      </text>
    </comment>
    <comment ref="J79" authorId="1" shapeId="0" xr:uid="{0E22E886-98BE-49D2-BBA7-DA3CD9D90C47}">
      <text>
        <r>
          <rPr>
            <sz val="9"/>
            <color indexed="81"/>
            <rFont val="Tahoma"/>
            <family val="2"/>
          </rPr>
          <t xml:space="preserve">2/29,3/2,9                       4/13,20,27                      5/1,11
</t>
        </r>
      </text>
    </comment>
    <comment ref="L79" authorId="1" shapeId="0" xr:uid="{683A54FD-BF06-440B-94BA-E1A82C3EA062}">
      <text>
        <r>
          <rPr>
            <sz val="9"/>
            <color indexed="81"/>
            <rFont val="Tahoma"/>
            <family val="2"/>
          </rPr>
          <t xml:space="preserve">6/8,15
</t>
        </r>
      </text>
    </comment>
    <comment ref="G80" authorId="0" shapeId="0" xr:uid="{2A461FE0-A1F5-48FE-9D5C-BAE7EADEEB66}">
      <text>
        <r>
          <rPr>
            <sz val="9"/>
            <color indexed="81"/>
            <rFont val="Tahoma"/>
            <family val="2"/>
          </rPr>
          <t xml:space="preserve">2/2
</t>
        </r>
      </text>
    </comment>
    <comment ref="J87" authorId="1" shapeId="0" xr:uid="{5D9A03EA-D275-4AA1-886C-FE20C95333AC}">
      <text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細明體"/>
            <family val="3"/>
            <charset val="136"/>
          </rPr>
          <t>月份新生優惠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14" authorId="0" shapeId="0" xr:uid="{E4C9DB62-22CC-43C5-AF9A-A8DC10E77514}">
      <text>
        <r>
          <rPr>
            <sz val="9"/>
            <color indexed="81"/>
            <rFont val="Tahoma"/>
            <family val="2"/>
          </rPr>
          <t xml:space="preserve">11/11,25
</t>
        </r>
      </text>
    </comment>
    <comment ref="F114" authorId="0" shapeId="0" xr:uid="{DA7CA0DB-64D3-413D-BB65-05451F33A8C1}">
      <text>
        <r>
          <rPr>
            <sz val="9"/>
            <color indexed="81"/>
            <rFont val="Tahoma"/>
            <family val="2"/>
          </rPr>
          <t xml:space="preserve">12/16,23
</t>
        </r>
      </text>
    </comment>
    <comment ref="G114" authorId="1" shapeId="0" xr:uid="{05DDE334-6B33-4522-A644-A860443554B2}">
      <text>
        <r>
          <rPr>
            <sz val="9"/>
            <color indexed="81"/>
            <rFont val="Tahoma"/>
            <family val="2"/>
          </rPr>
          <t xml:space="preserve">2/26
</t>
        </r>
      </text>
    </comment>
    <comment ref="J114" authorId="0" shapeId="0" xr:uid="{84CF3113-E4FC-4A45-A011-FCDEA849907A}">
      <text>
        <r>
          <rPr>
            <sz val="9"/>
            <color indexed="81"/>
            <rFont val="Tahoma"/>
            <family val="2"/>
          </rPr>
          <t>2/24,
3/9,16,23,30</t>
        </r>
      </text>
    </comment>
    <comment ref="K114" authorId="1" shapeId="0" xr:uid="{CD070872-6331-45ED-9D83-0446A57B634C}">
      <text>
        <r>
          <rPr>
            <sz val="9"/>
            <color indexed="81"/>
            <rFont val="Tahoma"/>
            <family val="2"/>
          </rPr>
          <t xml:space="preserve">4/13,20,27 
5/4,11,15
</t>
        </r>
      </text>
    </comment>
    <comment ref="F115" authorId="0" shapeId="0" xr:uid="{A87B1264-1415-4E3A-BC4E-CEE4D3D1055E}">
      <text>
        <r>
          <rPr>
            <sz val="9"/>
            <color indexed="81"/>
            <rFont val="Tahoma"/>
            <family val="2"/>
          </rPr>
          <t xml:space="preserve">12/9,16,30
</t>
        </r>
      </text>
    </comment>
    <comment ref="H115" authorId="0" shapeId="0" xr:uid="{23F32BB1-7313-424D-AC8A-6E126C5C327F}">
      <text>
        <r>
          <rPr>
            <sz val="9"/>
            <color indexed="81"/>
            <rFont val="Tahoma"/>
            <family val="2"/>
          </rPr>
          <t xml:space="preserve">1/6,13,27
</t>
        </r>
      </text>
    </comment>
    <comment ref="I115" authorId="1" shapeId="0" xr:uid="{394DF446-E166-4CCB-BFAA-1D290CB2DA12}">
      <text>
        <r>
          <rPr>
            <sz val="9"/>
            <color indexed="81"/>
            <rFont val="Tahoma"/>
            <family val="2"/>
          </rPr>
          <t xml:space="preserve">2/24,3/2,3/9,3/23.3/30
</t>
        </r>
      </text>
    </comment>
    <comment ref="K115" authorId="1" shapeId="0" xr:uid="{7C0C05B4-626F-4ADF-A698-9C598BEC2548}">
      <text>
        <r>
          <rPr>
            <sz val="9"/>
            <color indexed="81"/>
            <rFont val="Tahoma"/>
            <family val="2"/>
          </rPr>
          <t xml:space="preserve">4/20,27 
5/4,11,25
</t>
        </r>
      </text>
    </comment>
    <comment ref="M115" authorId="1" shapeId="0" xr:uid="{27A8DFC9-6B01-4CE3-987B-C884A5523B21}">
      <text>
        <r>
          <rPr>
            <sz val="9"/>
            <color indexed="81"/>
            <rFont val="Tahoma"/>
            <family val="2"/>
          </rPr>
          <t xml:space="preserve">6/1,8,15
</t>
        </r>
      </text>
    </comment>
    <comment ref="O115" authorId="1" shapeId="0" xr:uid="{B4836BF3-519A-41F0-9B0E-592D0D24AA6F}">
      <text>
        <r>
          <rPr>
            <sz val="9"/>
            <color indexed="81"/>
            <rFont val="Tahoma"/>
            <family val="2"/>
          </rPr>
          <t xml:space="preserve">9/7,14,21,28
</t>
        </r>
      </text>
    </comment>
    <comment ref="F116" authorId="0" shapeId="0" xr:uid="{69F68AC7-5D42-4505-AF69-CAECD38539E3}">
      <text>
        <r>
          <rPr>
            <sz val="9"/>
            <color indexed="81"/>
            <rFont val="Tahoma"/>
            <family val="2"/>
          </rPr>
          <t xml:space="preserve">1/31
</t>
        </r>
      </text>
    </comment>
    <comment ref="G116" authorId="1" shapeId="0" xr:uid="{41602DD0-5E25-4AE2-B319-D6646D262DF8}">
      <text>
        <r>
          <rPr>
            <sz val="9"/>
            <color indexed="81"/>
            <rFont val="Tahoma"/>
            <family val="2"/>
          </rPr>
          <t xml:space="preserve">2/1
</t>
        </r>
      </text>
    </comment>
    <comment ref="H117" authorId="0" shapeId="0" xr:uid="{79ED7604-DA00-4480-8639-B2B03764C171}">
      <text>
        <r>
          <rPr>
            <sz val="9"/>
            <color indexed="81"/>
            <rFont val="Tahoma"/>
            <family val="2"/>
          </rPr>
          <t xml:space="preserve">1/13,20,27
</t>
        </r>
      </text>
    </comment>
    <comment ref="J117" authorId="1" shapeId="0" xr:uid="{13B8553D-43E3-445E-9277-842B1CA4D72F}">
      <text>
        <r>
          <rPr>
            <sz val="9"/>
            <color indexed="81"/>
            <rFont val="Tahoma"/>
            <family val="2"/>
          </rPr>
          <t xml:space="preserve">4/13,27
</t>
        </r>
      </text>
    </comment>
    <comment ref="K117" authorId="1" shapeId="0" xr:uid="{4592374E-50CE-438B-A214-25E260D54845}">
      <text>
        <r>
          <rPr>
            <sz val="9"/>
            <color indexed="81"/>
            <rFont val="Tahoma"/>
            <family val="2"/>
          </rPr>
          <t xml:space="preserve">4/13,27 
5/4,18,25
</t>
        </r>
      </text>
    </comment>
    <comment ref="L117" authorId="1" shapeId="0" xr:uid="{7F653ACF-6CFC-4975-AF8E-ED556CCE13EA}">
      <text>
        <r>
          <rPr>
            <sz val="9"/>
            <color indexed="81"/>
            <rFont val="Tahoma"/>
            <family val="2"/>
          </rPr>
          <t xml:space="preserve">6/1,15
</t>
        </r>
      </text>
    </comment>
    <comment ref="N117" authorId="1" shapeId="0" xr:uid="{B6AB11D9-9249-4F59-8EE7-AE43C36C692B}">
      <text>
        <r>
          <rPr>
            <sz val="9"/>
            <color indexed="81"/>
            <rFont val="Tahoma"/>
            <family val="2"/>
          </rPr>
          <t xml:space="preserve">7/13 
8/3,10
</t>
        </r>
      </text>
    </comment>
    <comment ref="O117" authorId="1" shapeId="0" xr:uid="{42E0536D-EBD9-4482-A2B2-27D7F2DEEDA3}">
      <text>
        <r>
          <rPr>
            <sz val="9"/>
            <color indexed="81"/>
            <rFont val="Tahoma"/>
            <family val="2"/>
          </rPr>
          <t xml:space="preserve">9/7,14,21,28
</t>
        </r>
      </text>
    </comment>
    <comment ref="P117" authorId="1" shapeId="0" xr:uid="{3C3BAC02-86D9-4597-A608-8C17A096F354}">
      <text>
        <r>
          <rPr>
            <sz val="9"/>
            <color indexed="81"/>
            <rFont val="Tahoma"/>
            <family val="2"/>
          </rPr>
          <t xml:space="preserve">10/12,19,26
</t>
        </r>
      </text>
    </comment>
    <comment ref="Q117" authorId="1" shapeId="0" xr:uid="{045DE1D8-C5A3-456A-ACC5-86216A8CFA84}">
      <text>
        <r>
          <rPr>
            <sz val="9"/>
            <color indexed="81"/>
            <rFont val="Tahoma"/>
            <family val="2"/>
          </rPr>
          <t xml:space="preserve">11/2,9,23
</t>
        </r>
      </text>
    </comment>
    <comment ref="M118" authorId="1" shapeId="0" xr:uid="{705CE51D-1D76-42F3-A187-CD34012E9142}">
      <text>
        <r>
          <rPr>
            <sz val="9"/>
            <color indexed="81"/>
            <rFont val="Tahoma"/>
            <family val="2"/>
          </rPr>
          <t xml:space="preserve">6/1/,8,29
</t>
        </r>
      </text>
    </comment>
    <comment ref="N118" authorId="1" shapeId="0" xr:uid="{BA82BEDB-2778-4E03-9272-E8375827B8C5}">
      <text>
        <r>
          <rPr>
            <sz val="9"/>
            <color indexed="81"/>
            <rFont val="Tahoma"/>
            <family val="2"/>
          </rPr>
          <t xml:space="preserve">7/11,13,16,18,27,30 
8/1,13,15,22,24,27,29,31
</t>
        </r>
      </text>
    </comment>
    <comment ref="O118" authorId="1" shapeId="0" xr:uid="{DA6DD731-7872-4435-B932-0342CD1D8AD0}">
      <text>
        <r>
          <rPr>
            <sz val="9"/>
            <color indexed="81"/>
            <rFont val="Tahoma"/>
            <family val="2"/>
          </rPr>
          <t xml:space="preserve">9/7,21
</t>
        </r>
      </text>
    </comment>
    <comment ref="Q118" authorId="1" shapeId="0" xr:uid="{C0FD37BD-F418-4869-912C-10AD07C808A1}">
      <text>
        <r>
          <rPr>
            <sz val="9"/>
            <color indexed="81"/>
            <rFont val="Tahoma"/>
            <family val="2"/>
          </rPr>
          <t xml:space="preserve">10/12,19
</t>
        </r>
      </text>
    </comment>
    <comment ref="O119" authorId="1" shapeId="0" xr:uid="{7AFFB7E0-7477-48EE-8E43-64B09209E0B7}">
      <text>
        <r>
          <rPr>
            <sz val="9"/>
            <color indexed="81"/>
            <rFont val="Tahoma"/>
            <family val="2"/>
          </rPr>
          <t xml:space="preserve">9/14,21,28 
10/5,12,26
</t>
        </r>
      </text>
    </comment>
    <comment ref="O120" authorId="1" shapeId="0" xr:uid="{BCE4952F-BFB1-432C-A76D-10A154C323EA}">
      <text>
        <r>
          <rPr>
            <sz val="9"/>
            <color indexed="81"/>
            <rFont val="Tahoma"/>
            <family val="2"/>
          </rPr>
          <t xml:space="preserve">9/14,21,28 
10/5,12,26
</t>
        </r>
      </text>
    </comment>
    <comment ref="P121" authorId="1" shapeId="0" xr:uid="{733F20F9-E04D-4AAD-8E13-B650229E233D}">
      <text>
        <r>
          <rPr>
            <sz val="9"/>
            <color indexed="81"/>
            <rFont val="Tahoma"/>
            <family val="2"/>
          </rPr>
          <t xml:space="preserve">10/5,12
</t>
        </r>
      </text>
    </comment>
    <comment ref="P122" authorId="1" shapeId="0" xr:uid="{67A49BCA-69B0-44E7-BA65-62EB8FFD9438}">
      <text>
        <r>
          <rPr>
            <sz val="9"/>
            <color indexed="81"/>
            <rFont val="Tahoma"/>
            <family val="2"/>
          </rPr>
          <t xml:space="preserve">10/5,12,19,26
</t>
        </r>
      </text>
    </comment>
    <comment ref="Q122" authorId="1" shapeId="0" xr:uid="{40861CA0-E90B-4B70-9081-448C09562769}">
      <text>
        <r>
          <rPr>
            <sz val="9"/>
            <color indexed="81"/>
            <rFont val="Tahoma"/>
            <family val="2"/>
          </rPr>
          <t xml:space="preserve">11/2,9,16,23
</t>
        </r>
      </text>
    </comment>
    <comment ref="P123" authorId="1" shapeId="0" xr:uid="{DCDDA931-4003-4C74-A35E-FFD0BA2FB363}">
      <text>
        <r>
          <rPr>
            <sz val="9"/>
            <color indexed="81"/>
            <rFont val="Tahoma"/>
            <family val="2"/>
          </rPr>
          <t xml:space="preserve">10/5,12,26
</t>
        </r>
      </text>
    </comment>
    <comment ref="Q123" authorId="1" shapeId="0" xr:uid="{7FD0E4F6-BAB8-45CB-B556-5741F9B3B5AB}">
      <text>
        <r>
          <rPr>
            <sz val="9"/>
            <color indexed="81"/>
            <rFont val="Tahoma"/>
            <family val="2"/>
          </rPr>
          <t xml:space="preserve">11/9,16,23
</t>
        </r>
      </text>
    </comment>
    <comment ref="Q124" authorId="1" shapeId="0" xr:uid="{CF0D5FCE-D13F-4CDE-B5F2-C89A99D380FF}">
      <text>
        <r>
          <rPr>
            <sz val="9"/>
            <color indexed="81"/>
            <rFont val="Tahoma"/>
            <family val="2"/>
          </rPr>
          <t xml:space="preserve">11/9,23
</t>
        </r>
      </text>
    </comment>
    <comment ref="Q125" authorId="1" shapeId="0" xr:uid="{BF18E1D4-895E-4DF2-A76C-5BDAA076CFEF}">
      <text>
        <r>
          <rPr>
            <sz val="9"/>
            <color indexed="81"/>
            <rFont val="Tahoma"/>
            <family val="2"/>
          </rPr>
          <t xml:space="preserve">11/14,21,28,29
</t>
        </r>
      </text>
    </comment>
  </commentList>
</comments>
</file>

<file path=xl/sharedStrings.xml><?xml version="1.0" encoding="utf-8"?>
<sst xmlns="http://schemas.openxmlformats.org/spreadsheetml/2006/main" count="795" uniqueCount="602">
  <si>
    <t>月</t>
  </si>
  <si>
    <t>日</t>
  </si>
  <si>
    <t>摘要</t>
  </si>
  <si>
    <t>收入</t>
  </si>
  <si>
    <t>支出</t>
  </si>
  <si>
    <t>餘額</t>
  </si>
  <si>
    <t>備註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</si>
  <si>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</si>
  <si>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</si>
  <si>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</si>
  <si>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</si>
  <si>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</si>
  <si>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</si>
  <si>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</si>
  <si>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</si>
  <si>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</si>
  <si>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</si>
  <si>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總計</t>
  </si>
  <si>
    <t>比率</t>
  </si>
  <si>
    <t>學費收入</t>
  </si>
  <si>
    <t>其他收入</t>
  </si>
  <si>
    <t>收入總額</t>
  </si>
  <si>
    <t>薪資支出</t>
  </si>
  <si>
    <t>文具用品</t>
  </si>
  <si>
    <t>差旅費</t>
  </si>
  <si>
    <t>郵電費</t>
  </si>
  <si>
    <t>修繕費</t>
  </si>
  <si>
    <t>餐費(宿)</t>
  </si>
  <si>
    <t>訓練費(球)</t>
  </si>
  <si>
    <t>獎金支出</t>
  </si>
  <si>
    <t>其他費用</t>
  </si>
  <si>
    <t>支出總額</t>
  </si>
  <si>
    <t>收支相抵</t>
    <phoneticPr fontId="2" type="noConversion"/>
  </si>
  <si>
    <t>項次</t>
  </si>
  <si>
    <t>年級</t>
  </si>
  <si>
    <t>學生姓名</t>
  </si>
  <si>
    <t>一月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</si>
  <si>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</si>
  <si>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</si>
  <si>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</si>
  <si>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</si>
  <si>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</si>
  <si>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</si>
  <si>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</si>
  <si>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</si>
  <si>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</si>
  <si>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劉宇恩</t>
  </si>
  <si>
    <t>蘇子承</t>
  </si>
  <si>
    <t>教練姓名</t>
  </si>
  <si>
    <t>合計</t>
  </si>
  <si>
    <t>許晉得</t>
  </si>
  <si>
    <t>邱鴻祥</t>
  </si>
  <si>
    <t>劉威廷</t>
  </si>
  <si>
    <t>羅婉玲</t>
  </si>
  <si>
    <t>薪資總額</t>
  </si>
  <si>
    <t>班別</t>
    <phoneticPr fontId="2" type="noConversion"/>
  </si>
  <si>
    <t>許珀學</t>
    <phoneticPr fontId="16" type="noConversion"/>
  </si>
  <si>
    <t>林緖煌</t>
  </si>
  <si>
    <t>歐于瑄</t>
    <phoneticPr fontId="2" type="noConversion"/>
  </si>
  <si>
    <t>高湘惟</t>
    <phoneticPr fontId="2" type="noConversion"/>
  </si>
  <si>
    <t>匯費</t>
    <phoneticPr fontId="2" type="noConversion"/>
  </si>
  <si>
    <t>趙珩聿</t>
    <phoneticPr fontId="16" type="noConversion"/>
  </si>
  <si>
    <t>莊秉衡</t>
    <phoneticPr fontId="16" type="noConversion"/>
  </si>
  <si>
    <t>寒訓</t>
    <phoneticPr fontId="2" type="noConversion"/>
  </si>
  <si>
    <t>四月</t>
    <phoneticPr fontId="2" type="noConversion"/>
  </si>
  <si>
    <t>五月</t>
    <phoneticPr fontId="2" type="noConversion"/>
  </si>
  <si>
    <t>六月</t>
    <phoneticPr fontId="2" type="noConversion"/>
  </si>
  <si>
    <t>交通費</t>
    <phoneticPr fontId="2" type="noConversion"/>
  </si>
  <si>
    <t>電費</t>
    <phoneticPr fontId="2" type="noConversion"/>
  </si>
  <si>
    <t>羅子宸</t>
    <phoneticPr fontId="16" type="noConversion"/>
  </si>
  <si>
    <t>林群倫</t>
    <phoneticPr fontId="16" type="noConversion"/>
  </si>
  <si>
    <t>三月</t>
    <phoneticPr fontId="2" type="noConversion"/>
  </si>
  <si>
    <t>＋</t>
    <phoneticPr fontId="2" type="noConversion"/>
  </si>
  <si>
    <t>張元祈</t>
    <phoneticPr fontId="2" type="noConversion"/>
  </si>
  <si>
    <t>三月</t>
    <phoneticPr fontId="2" type="noConversion"/>
  </si>
  <si>
    <t>盧筠杰</t>
    <phoneticPr fontId="16" type="noConversion"/>
  </si>
  <si>
    <t>劉貞妤</t>
    <phoneticPr fontId="16" type="noConversion"/>
  </si>
  <si>
    <t>廖楷淯</t>
    <phoneticPr fontId="2" type="noConversion"/>
  </si>
  <si>
    <t>顏椲珣</t>
    <phoneticPr fontId="2" type="noConversion"/>
  </si>
  <si>
    <t>高鈺蓉</t>
    <phoneticPr fontId="2" type="noConversion"/>
  </si>
  <si>
    <t>陳毅展</t>
    <phoneticPr fontId="2" type="noConversion"/>
  </si>
  <si>
    <t>陳妍禎</t>
    <phoneticPr fontId="16" type="noConversion"/>
  </si>
  <si>
    <t>李依瑾</t>
    <phoneticPr fontId="16" type="noConversion"/>
  </si>
  <si>
    <t>吳澐叡</t>
    <phoneticPr fontId="16" type="noConversion"/>
  </si>
  <si>
    <t>羅宥晴</t>
    <phoneticPr fontId="16" type="noConversion"/>
  </si>
  <si>
    <t>盧易宏</t>
    <phoneticPr fontId="2" type="noConversion"/>
  </si>
  <si>
    <t>劉思澄</t>
    <phoneticPr fontId="2" type="noConversion"/>
  </si>
  <si>
    <t>蘇品云</t>
    <phoneticPr fontId="16" type="noConversion"/>
  </si>
  <si>
    <t>黃貞喜</t>
    <phoneticPr fontId="2" type="noConversion"/>
  </si>
  <si>
    <t>李漢莛</t>
    <phoneticPr fontId="2" type="noConversion"/>
  </si>
  <si>
    <t>羅允蔚</t>
    <phoneticPr fontId="2" type="noConversion"/>
  </si>
  <si>
    <t>林逸芮</t>
    <phoneticPr fontId="2" type="noConversion"/>
  </si>
  <si>
    <t>王睿駿</t>
    <phoneticPr fontId="2" type="noConversion"/>
  </si>
  <si>
    <t>胡茗心</t>
    <phoneticPr fontId="2" type="noConversion"/>
  </si>
  <si>
    <t>林牧謙</t>
    <phoneticPr fontId="2" type="noConversion"/>
  </si>
  <si>
    <t>黃圓量</t>
    <phoneticPr fontId="2" type="noConversion"/>
  </si>
  <si>
    <t>劉履善</t>
    <phoneticPr fontId="2" type="noConversion"/>
  </si>
  <si>
    <t>梁逸廷</t>
    <phoneticPr fontId="2" type="noConversion"/>
  </si>
  <si>
    <t>顏敬恆</t>
    <phoneticPr fontId="2" type="noConversion"/>
  </si>
  <si>
    <t>顏敬庭</t>
    <phoneticPr fontId="2" type="noConversion"/>
  </si>
  <si>
    <t>楊欣桐</t>
    <phoneticPr fontId="2" type="noConversion"/>
  </si>
  <si>
    <t>楊舒云</t>
    <phoneticPr fontId="2" type="noConversion"/>
  </si>
  <si>
    <t>許珈甄</t>
    <phoneticPr fontId="2" type="noConversion"/>
  </si>
  <si>
    <t>許晴寧</t>
    <phoneticPr fontId="2" type="noConversion"/>
  </si>
  <si>
    <t xml:space="preserve"> 陳楷恩 </t>
    <phoneticPr fontId="2" type="noConversion"/>
  </si>
  <si>
    <t>吳昀霏</t>
    <phoneticPr fontId="2" type="noConversion"/>
  </si>
  <si>
    <t>陳昱丞</t>
    <phoneticPr fontId="2" type="noConversion"/>
  </si>
  <si>
    <t>總計</t>
    <phoneticPr fontId="2" type="noConversion"/>
  </si>
  <si>
    <t>傅冠勳</t>
    <phoneticPr fontId="2" type="noConversion"/>
  </si>
  <si>
    <t>十二月</t>
    <phoneticPr fontId="2" type="noConversion"/>
  </si>
  <si>
    <t>邱敬能</t>
  </si>
  <si>
    <t>林昱琁</t>
    <phoneticPr fontId="2" type="noConversion"/>
  </si>
  <si>
    <t>呂奕甫</t>
    <phoneticPr fontId="2" type="noConversion"/>
  </si>
  <si>
    <t>王星皓</t>
    <phoneticPr fontId="16" type="noConversion"/>
  </si>
  <si>
    <t>許立臻</t>
    <phoneticPr fontId="2" type="noConversion"/>
  </si>
  <si>
    <t>吳畇鱳</t>
  </si>
  <si>
    <t>林柏睿</t>
    <phoneticPr fontId="2" type="noConversion"/>
  </si>
  <si>
    <t>施沛平</t>
    <phoneticPr fontId="2" type="noConversion"/>
  </si>
  <si>
    <t>七月暑訓</t>
    <phoneticPr fontId="2" type="noConversion"/>
  </si>
  <si>
    <t>八月暑訓</t>
    <phoneticPr fontId="2" type="noConversion"/>
  </si>
  <si>
    <t>暫付款</t>
    <phoneticPr fontId="2" type="noConversion"/>
  </si>
  <si>
    <t>翁羚瑄</t>
    <phoneticPr fontId="2" type="noConversion"/>
  </si>
  <si>
    <t>張倢菱</t>
    <phoneticPr fontId="2" type="noConversion"/>
  </si>
  <si>
    <t>王姿云</t>
    <phoneticPr fontId="2" type="noConversion"/>
  </si>
  <si>
    <t>趙嘉甫</t>
    <phoneticPr fontId="2" type="noConversion"/>
  </si>
  <si>
    <t>順序</t>
    <phoneticPr fontId="2" type="noConversion"/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</si>
  <si>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</si>
  <si>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</si>
  <si>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</si>
  <si>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</si>
  <si>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</si>
  <si>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</si>
  <si>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</si>
  <si>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</si>
  <si>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</si>
  <si>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</si>
  <si>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</si>
  <si>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</si>
  <si>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</si>
  <si>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</si>
  <si>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</si>
  <si>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</si>
  <si>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</si>
  <si>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</si>
  <si>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</si>
  <si>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</si>
  <si>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</si>
  <si>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</si>
  <si>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</si>
  <si>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</si>
  <si>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</si>
  <si>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羅允曄</t>
    <phoneticPr fontId="2" type="noConversion"/>
  </si>
  <si>
    <t>唐筠熙</t>
    <phoneticPr fontId="2" type="noConversion"/>
  </si>
  <si>
    <t>陳妍安</t>
    <phoneticPr fontId="2" type="noConversion"/>
  </si>
  <si>
    <t>陳亞祥</t>
    <phoneticPr fontId="2" type="noConversion"/>
  </si>
  <si>
    <r>
      <t>113</t>
    </r>
    <r>
      <rPr>
        <sz val="18"/>
        <color indexed="8"/>
        <rFont val="細明體"/>
        <family val="3"/>
        <charset val="136"/>
      </rPr>
      <t>年度收支表</t>
    </r>
    <phoneticPr fontId="2" type="noConversion"/>
  </si>
  <si>
    <t>宋承臻</t>
    <phoneticPr fontId="2" type="noConversion"/>
  </si>
  <si>
    <t>鄧皓元</t>
    <phoneticPr fontId="2" type="noConversion"/>
  </si>
  <si>
    <t>鄧詠欣</t>
    <phoneticPr fontId="2" type="noConversion"/>
  </si>
  <si>
    <t>吳昭賢</t>
    <phoneticPr fontId="2" type="noConversion"/>
  </si>
  <si>
    <t>陳裕翰</t>
    <phoneticPr fontId="2" type="noConversion"/>
  </si>
  <si>
    <t>1</t>
    <phoneticPr fontId="2" type="noConversion"/>
  </si>
  <si>
    <t>2</t>
    <phoneticPr fontId="2" type="noConversion"/>
  </si>
  <si>
    <t>3</t>
    <phoneticPr fontId="2" type="noConversion"/>
  </si>
  <si>
    <t>4</t>
  </si>
  <si>
    <t>5</t>
  </si>
  <si>
    <t>6</t>
  </si>
  <si>
    <t>7</t>
  </si>
  <si>
    <t>8</t>
  </si>
  <si>
    <t>9</t>
  </si>
  <si>
    <t>10</t>
  </si>
  <si>
    <t>11</t>
  </si>
  <si>
    <t>12</t>
  </si>
  <si>
    <r>
      <t>113</t>
    </r>
    <r>
      <rPr>
        <sz val="14"/>
        <color indexed="8"/>
        <rFont val="細明體"/>
        <family val="3"/>
        <charset val="136"/>
      </rPr>
      <t>年教練薪資名單</t>
    </r>
    <phoneticPr fontId="2" type="noConversion"/>
  </si>
  <si>
    <t>55</t>
    <phoneticPr fontId="2" type="noConversion"/>
  </si>
  <si>
    <t>56</t>
    <phoneticPr fontId="2" type="noConversion"/>
  </si>
  <si>
    <t>57</t>
    <phoneticPr fontId="2" type="noConversion"/>
  </si>
  <si>
    <t>58</t>
    <phoneticPr fontId="2" type="noConversion"/>
  </si>
  <si>
    <t>59</t>
    <phoneticPr fontId="2" type="noConversion"/>
  </si>
  <si>
    <t>60</t>
    <phoneticPr fontId="2" type="noConversion"/>
  </si>
  <si>
    <t>61</t>
    <phoneticPr fontId="2" type="noConversion"/>
  </si>
  <si>
    <t>62</t>
    <phoneticPr fontId="2" type="noConversion"/>
  </si>
  <si>
    <t>63</t>
    <phoneticPr fontId="2" type="noConversion"/>
  </si>
  <si>
    <t>64</t>
    <phoneticPr fontId="2" type="noConversion"/>
  </si>
  <si>
    <t>高浤均</t>
    <phoneticPr fontId="2" type="noConversion"/>
  </si>
  <si>
    <t>羅千晴</t>
    <phoneticPr fontId="2" type="noConversion"/>
  </si>
  <si>
    <t>銀行收入-黃貞喜+黃圓量</t>
    <phoneticPr fontId="2" type="noConversion"/>
  </si>
  <si>
    <t>112年餘額</t>
    <phoneticPr fontId="2" type="noConversion"/>
  </si>
  <si>
    <t>銀行收入-宋承臻</t>
    <phoneticPr fontId="2" type="noConversion"/>
  </si>
  <si>
    <t>陳又綸(11/11,25)計次400*2=800</t>
    <phoneticPr fontId="2" type="noConversion"/>
  </si>
  <si>
    <t>吳昭賢(12/16,23,30)計次400*3=1200</t>
    <phoneticPr fontId="2" type="noConversion"/>
  </si>
  <si>
    <t>銀行收入-張元祈</t>
    <phoneticPr fontId="2" type="noConversion"/>
  </si>
  <si>
    <t>銀行收入-顏椲珣</t>
    <phoneticPr fontId="2" type="noConversion"/>
  </si>
  <si>
    <t>銀行收入-廖楷淯</t>
    <phoneticPr fontId="2" type="noConversion"/>
  </si>
  <si>
    <t>羅千晴(12/16)計次400*1=400</t>
    <phoneticPr fontId="2" type="noConversion"/>
  </si>
  <si>
    <t>銀行收入-施沛平</t>
    <phoneticPr fontId="2" type="noConversion"/>
  </si>
  <si>
    <t>梁采甯(12/16,23,30)計次400*3=1200</t>
    <phoneticPr fontId="2" type="noConversion"/>
  </si>
  <si>
    <t>梁采甯</t>
    <phoneticPr fontId="2" type="noConversion"/>
  </si>
  <si>
    <t>陳又綸</t>
    <phoneticPr fontId="2" type="noConversion"/>
  </si>
  <si>
    <t>賴奕全</t>
    <phoneticPr fontId="2" type="noConversion"/>
  </si>
  <si>
    <t>請假</t>
    <phoneticPr fontId="2" type="noConversion"/>
  </si>
  <si>
    <t>現金一批(1月)月費</t>
    <phoneticPr fontId="2" type="noConversion"/>
  </si>
  <si>
    <t>莊博椉</t>
    <phoneticPr fontId="2" type="noConversion"/>
  </si>
  <si>
    <t>鄭羽彤</t>
    <phoneticPr fontId="2" type="noConversion"/>
  </si>
  <si>
    <t>郭宥呈</t>
    <phoneticPr fontId="2" type="noConversion"/>
  </si>
  <si>
    <t>銀行收入-鄧皓元+鄧詠欣</t>
    <phoneticPr fontId="2" type="noConversion"/>
  </si>
  <si>
    <t>請假</t>
    <phoneticPr fontId="2" type="noConversion"/>
  </si>
  <si>
    <t>銀行收入-宋承甄</t>
    <phoneticPr fontId="2" type="noConversion"/>
  </si>
  <si>
    <t>慶生蛋糕</t>
    <phoneticPr fontId="2" type="noConversion"/>
  </si>
  <si>
    <t>王廷豪</t>
    <phoneticPr fontId="2" type="noConversion"/>
  </si>
  <si>
    <t>113年第九屆歐克盃餐費</t>
    <phoneticPr fontId="2" type="noConversion"/>
  </si>
  <si>
    <t>現金收入-陳又綸(12/16,23)計次400*2=800</t>
    <phoneticPr fontId="2" type="noConversion"/>
  </si>
  <si>
    <t>銀行收入-許珈甄+許晴甯</t>
    <phoneticPr fontId="2" type="noConversion"/>
  </si>
  <si>
    <t>銀行支出-第九屆歐克盃交通費+午餐費</t>
    <phoneticPr fontId="2" type="noConversion"/>
  </si>
  <si>
    <t>113年第九屆歐克盃交通費</t>
    <phoneticPr fontId="2" type="noConversion"/>
  </si>
  <si>
    <t>銀行收入-廖楷淯+莊秉衡</t>
    <phoneticPr fontId="2" type="noConversion"/>
  </si>
  <si>
    <t>現金收入-王廷豪(12/9,16,30)=1200</t>
    <phoneticPr fontId="2" type="noConversion"/>
  </si>
  <si>
    <t>陳子謙</t>
    <phoneticPr fontId="2" type="noConversion"/>
  </si>
  <si>
    <t>呂奕辰</t>
    <phoneticPr fontId="2" type="noConversion"/>
  </si>
  <si>
    <t>莊喬媗</t>
    <phoneticPr fontId="2" type="noConversion"/>
  </si>
  <si>
    <t>周柏呈</t>
    <phoneticPr fontId="2" type="noConversion"/>
  </si>
  <si>
    <t>葉又嘉</t>
    <phoneticPr fontId="2" type="noConversion"/>
  </si>
  <si>
    <t>李淯臣</t>
    <phoneticPr fontId="2" type="noConversion"/>
  </si>
  <si>
    <t>葉智允</t>
    <phoneticPr fontId="2" type="noConversion"/>
  </si>
  <si>
    <t>賴彥瑋</t>
    <phoneticPr fontId="2" type="noConversion"/>
  </si>
  <si>
    <t>賴品瑋</t>
    <phoneticPr fontId="2" type="noConversion"/>
  </si>
  <si>
    <t>王弘文</t>
    <phoneticPr fontId="2" type="noConversion"/>
  </si>
  <si>
    <t>方詠緁</t>
    <phoneticPr fontId="2" type="noConversion"/>
  </si>
  <si>
    <t>請假</t>
    <phoneticPr fontId="2" type="noConversion"/>
  </si>
  <si>
    <t>未參加</t>
    <phoneticPr fontId="2" type="noConversion"/>
  </si>
  <si>
    <t>銀行收入-施沛平</t>
    <phoneticPr fontId="2" type="noConversion"/>
  </si>
  <si>
    <t>現金一批(寒訓)</t>
    <phoneticPr fontId="2" type="noConversion"/>
  </si>
  <si>
    <t>收費袋*2</t>
    <phoneticPr fontId="2" type="noConversion"/>
  </si>
  <si>
    <t>銀行收入-張元祈+顏椲珣</t>
    <phoneticPr fontId="2" type="noConversion"/>
  </si>
  <si>
    <t>銀行支出-教練7名寒訓+1月份薪資(含匯費)</t>
    <phoneticPr fontId="2" type="noConversion"/>
  </si>
  <si>
    <t>1月+寒訓</t>
    <phoneticPr fontId="2" type="noConversion"/>
  </si>
  <si>
    <t>113年收支表</t>
    <phoneticPr fontId="2" type="noConversion"/>
  </si>
  <si>
    <t>上年度結餘274183</t>
    <phoneticPr fontId="2" type="noConversion"/>
  </si>
  <si>
    <t>65</t>
    <phoneticPr fontId="2" type="noConversion"/>
  </si>
  <si>
    <t>66</t>
    <phoneticPr fontId="2" type="noConversion"/>
  </si>
  <si>
    <t>67</t>
    <phoneticPr fontId="2" type="noConversion"/>
  </si>
  <si>
    <t>68</t>
    <phoneticPr fontId="2" type="noConversion"/>
  </si>
  <si>
    <t>69</t>
    <phoneticPr fontId="2" type="noConversion"/>
  </si>
  <si>
    <t>70</t>
    <phoneticPr fontId="2" type="noConversion"/>
  </si>
  <si>
    <t>71</t>
    <phoneticPr fontId="2" type="noConversion"/>
  </si>
  <si>
    <t>72</t>
    <phoneticPr fontId="2" type="noConversion"/>
  </si>
  <si>
    <t>73</t>
    <phoneticPr fontId="2" type="noConversion"/>
  </si>
  <si>
    <t>74</t>
    <phoneticPr fontId="2" type="noConversion"/>
  </si>
  <si>
    <t>75</t>
    <phoneticPr fontId="2" type="noConversion"/>
  </si>
  <si>
    <t>76</t>
    <phoneticPr fontId="2" type="noConversion"/>
  </si>
  <si>
    <t>77</t>
    <phoneticPr fontId="2" type="noConversion"/>
  </si>
  <si>
    <t>78</t>
    <phoneticPr fontId="2" type="noConversion"/>
  </si>
  <si>
    <t>79</t>
    <phoneticPr fontId="2" type="noConversion"/>
  </si>
  <si>
    <t>80</t>
    <phoneticPr fontId="2" type="noConversion"/>
  </si>
  <si>
    <t>81</t>
    <phoneticPr fontId="2" type="noConversion"/>
  </si>
  <si>
    <t>一月+寒訓</t>
    <phoneticPr fontId="2" type="noConversion"/>
  </si>
  <si>
    <t>過年紅包教練8名*2000=16000(許教練,邱教練各多加2000)=20000元</t>
    <phoneticPr fontId="2" type="noConversion"/>
  </si>
  <si>
    <t>現金收入-方詠緁(2/1)計次400*1=400</t>
    <phoneticPr fontId="2" type="noConversion"/>
  </si>
  <si>
    <t>現金收入-唐筠熙(寒訓)</t>
    <phoneticPr fontId="2" type="noConversion"/>
  </si>
  <si>
    <t>2月繳</t>
    <phoneticPr fontId="2" type="noConversion"/>
  </si>
  <si>
    <t>林詠恩</t>
    <phoneticPr fontId="2" type="noConversion"/>
  </si>
  <si>
    <t>計次</t>
    <phoneticPr fontId="2" type="noConversion"/>
  </si>
  <si>
    <t>現金收入-林詠恩(寒訓)</t>
    <phoneticPr fontId="2" type="noConversion"/>
  </si>
  <si>
    <t>現金收入-林群倫(寒訓)</t>
    <phoneticPr fontId="2" type="noConversion"/>
  </si>
  <si>
    <t>現金收入-郭宇恩(寒訓)</t>
    <phoneticPr fontId="2" type="noConversion"/>
  </si>
  <si>
    <t>郭宇恩</t>
    <phoneticPr fontId="2" type="noConversion"/>
  </si>
  <si>
    <t>現金收入-羅宥晴(2/7)計次400*1=400</t>
    <phoneticPr fontId="2" type="noConversion"/>
  </si>
  <si>
    <t>銀行收入-趙珩聿</t>
    <phoneticPr fontId="2" type="noConversion"/>
  </si>
  <si>
    <t>銀行支出-影印費$375元</t>
    <phoneticPr fontId="2" type="noConversion"/>
  </si>
  <si>
    <t>銀行收入-張元祈+施沛平+宋承臻</t>
    <phoneticPr fontId="2" type="noConversion"/>
  </si>
  <si>
    <t>銀行收入-鄧詠欣+鄧皓元</t>
    <phoneticPr fontId="2" type="noConversion"/>
  </si>
  <si>
    <t>陳亞駿</t>
    <phoneticPr fontId="2" type="noConversion"/>
  </si>
  <si>
    <t>現金收入-王睿駿(寒訓3500+2月份月費1000+會費300)</t>
    <phoneticPr fontId="2" type="noConversion"/>
  </si>
  <si>
    <t>現金收入-吳澐叡+吳畇樂(1/24,31,2/7)計次400*6=2400</t>
    <phoneticPr fontId="2" type="noConversion"/>
  </si>
  <si>
    <t>現金收入-高湘惟+高鈺蓉=2400+高浤鈞1300</t>
    <phoneticPr fontId="2" type="noConversion"/>
  </si>
  <si>
    <t>銀行收入-莊秉衡(多匯500元)</t>
    <phoneticPr fontId="2" type="noConversion"/>
  </si>
  <si>
    <t>現金收入-吳澐叡+吳畇樂(2月份月費1000*+會費300*2=2600</t>
    <phoneticPr fontId="2" type="noConversion"/>
  </si>
  <si>
    <t>2月+寒訓</t>
    <phoneticPr fontId="2" type="noConversion"/>
  </si>
  <si>
    <t>二月+寒訓</t>
    <phoneticPr fontId="2" type="noConversion"/>
  </si>
  <si>
    <t>陳子謙(2月月費+會費)</t>
    <phoneticPr fontId="2" type="noConversion"/>
  </si>
  <si>
    <t>王庭豪(1/6,13,27)計次400*3=1200</t>
    <phoneticPr fontId="2" type="noConversion"/>
  </si>
  <si>
    <t>陳又綸(1/6,13,27)計次*3=1200</t>
    <phoneticPr fontId="2" type="noConversion"/>
  </si>
  <si>
    <t>3月繳</t>
    <phoneticPr fontId="2" type="noConversion"/>
  </si>
  <si>
    <t>銀行收入-廖楷淯(2月月費+會費)</t>
    <phoneticPr fontId="2" type="noConversion"/>
  </si>
  <si>
    <t>現金收入-梁逸廷(2月月費+會費)</t>
    <phoneticPr fontId="2" type="noConversion"/>
  </si>
  <si>
    <t>現金收入-王星皓(2月月費+會費)</t>
    <phoneticPr fontId="2" type="noConversion"/>
  </si>
  <si>
    <t>銀行收入-劉思澄+宋承臻+廖楷淯</t>
    <phoneticPr fontId="2" type="noConversion"/>
  </si>
  <si>
    <t>謝康倫</t>
    <phoneticPr fontId="2" type="noConversion"/>
  </si>
  <si>
    <t>現金收入-謝康倫(1/13,20,27)計次400*3=1200</t>
    <phoneticPr fontId="2" type="noConversion"/>
  </si>
  <si>
    <t>銀行支出-8名教練寒訓+2月份薪資(含匯費75元)</t>
    <phoneticPr fontId="2" type="noConversion"/>
  </si>
  <si>
    <t>退隊</t>
    <phoneticPr fontId="2" type="noConversion"/>
  </si>
  <si>
    <t>現金一批(3月份)月費</t>
    <phoneticPr fontId="2" type="noConversion"/>
  </si>
  <si>
    <t>現金收入-吳昀霏+梁逸廷</t>
    <phoneticPr fontId="2" type="noConversion"/>
  </si>
  <si>
    <t>現金收入-王睿駿</t>
    <phoneticPr fontId="2" type="noConversion"/>
  </si>
  <si>
    <t>銀行支出-教練9名3月份薪資(含匯費85元)</t>
    <phoneticPr fontId="2" type="noConversion"/>
  </si>
  <si>
    <t>銀行收入-張元祈(3月)月費</t>
    <phoneticPr fontId="2" type="noConversion"/>
  </si>
  <si>
    <t>4月繳</t>
    <phoneticPr fontId="2" type="noConversion"/>
  </si>
  <si>
    <t>銀行收入-趙珩聿+宋承臻</t>
    <phoneticPr fontId="2" type="noConversion"/>
  </si>
  <si>
    <t>銀行收入-黃貞喜+黃圓量+施沛平</t>
    <phoneticPr fontId="2" type="noConversion"/>
  </si>
  <si>
    <t>銀行收入-廖楷淯+顏椲珣</t>
    <phoneticPr fontId="2" type="noConversion"/>
  </si>
  <si>
    <t>銀行收入-莊秉衡+張元祈</t>
    <phoneticPr fontId="2" type="noConversion"/>
  </si>
  <si>
    <t>82</t>
    <phoneticPr fontId="2" type="noConversion"/>
  </si>
  <si>
    <t>83</t>
    <phoneticPr fontId="2" type="noConversion"/>
  </si>
  <si>
    <t>84</t>
    <phoneticPr fontId="2" type="noConversion"/>
  </si>
  <si>
    <t>劉馥瑤</t>
    <phoneticPr fontId="2" type="noConversion"/>
  </si>
  <si>
    <t>吳羽喬</t>
    <phoneticPr fontId="2" type="noConversion"/>
  </si>
  <si>
    <t>馮筠凱</t>
    <phoneticPr fontId="2" type="noConversion"/>
  </si>
  <si>
    <t>85</t>
    <phoneticPr fontId="2" type="noConversion"/>
  </si>
  <si>
    <t>李惟逸</t>
    <phoneticPr fontId="2" type="noConversion"/>
  </si>
  <si>
    <t>現金收入-賴奕全+吳昀霏+吳澐叡+吳畇魚樂</t>
    <phoneticPr fontId="2" type="noConversion"/>
  </si>
  <si>
    <t>現金一批(4月份)月費</t>
    <phoneticPr fontId="2" type="noConversion"/>
  </si>
  <si>
    <t>吳勝凱</t>
    <phoneticPr fontId="2" type="noConversion"/>
  </si>
  <si>
    <t>銀行支出-教練9名4月份薪資(含匯費90元)</t>
    <phoneticPr fontId="2" type="noConversion"/>
  </si>
  <si>
    <t>現金收入-陳又綸2/24,3/9,16,23,30</t>
    <phoneticPr fontId="2" type="noConversion"/>
  </si>
  <si>
    <t>小運會午餐退費</t>
    <phoneticPr fontId="2" type="noConversion"/>
  </si>
  <si>
    <t>銀行收入-劉思澄+顏椲珣</t>
    <phoneticPr fontId="2" type="noConversion"/>
  </si>
  <si>
    <t>銀行收入-莊秉衡+張元祈+施沛平</t>
    <phoneticPr fontId="2" type="noConversion"/>
  </si>
  <si>
    <t>畢業生</t>
    <phoneticPr fontId="2" type="noConversion"/>
  </si>
  <si>
    <t>現金一批(5月份)月費</t>
    <phoneticPr fontId="2" type="noConversion"/>
  </si>
  <si>
    <t>陳定宏</t>
    <phoneticPr fontId="2" type="noConversion"/>
  </si>
  <si>
    <t>現金收入-楊千綸1500+會費300元</t>
    <phoneticPr fontId="2" type="noConversion"/>
  </si>
  <si>
    <t>楊千綸</t>
    <phoneticPr fontId="2" type="noConversion"/>
  </si>
  <si>
    <t>現金收入-郭宥呈+唐筠熙</t>
    <phoneticPr fontId="2" type="noConversion"/>
  </si>
  <si>
    <t>現金收入-陳定宏</t>
    <phoneticPr fontId="2" type="noConversion"/>
  </si>
  <si>
    <t>現金收入-謝康倫(4/13,27)計次400*2</t>
    <phoneticPr fontId="2" type="noConversion"/>
  </si>
  <si>
    <t>現金收入-王弘文(4/20,27)計次400*2</t>
    <phoneticPr fontId="2" type="noConversion"/>
  </si>
  <si>
    <t>賴彥瑋+賴品瑋(4/13,20,27)計次400*6</t>
    <phoneticPr fontId="2" type="noConversion"/>
  </si>
  <si>
    <t>113年自由盃團體賽教練團-交通費</t>
    <phoneticPr fontId="2" type="noConversion"/>
  </si>
  <si>
    <t>113年自由盃團體賽教練團-餐宿費</t>
    <phoneticPr fontId="2" type="noConversion"/>
  </si>
  <si>
    <t>海報製作費</t>
    <phoneticPr fontId="2" type="noConversion"/>
  </si>
  <si>
    <t>暑期訓練招生影印通知單</t>
    <phoneticPr fontId="2" type="noConversion"/>
  </si>
  <si>
    <t>113年自由盃團體賽(5/8~16)報名費</t>
    <phoneticPr fontId="2" type="noConversion"/>
  </si>
  <si>
    <t>現金收入-王星皓</t>
    <phoneticPr fontId="2" type="noConversion"/>
  </si>
  <si>
    <t>現金收入-吳昭賢(2/29,3/2,9)(4/13,20,27)(5/1,11)計次400*8</t>
    <phoneticPr fontId="2" type="noConversion"/>
  </si>
  <si>
    <t>畢業</t>
    <phoneticPr fontId="2" type="noConversion"/>
  </si>
  <si>
    <t>38</t>
    <phoneticPr fontId="2" type="noConversion"/>
  </si>
  <si>
    <t>39</t>
    <phoneticPr fontId="2" type="noConversion"/>
  </si>
  <si>
    <t>40</t>
    <phoneticPr fontId="2" type="noConversion"/>
  </si>
  <si>
    <t>41</t>
    <phoneticPr fontId="2" type="noConversion"/>
  </si>
  <si>
    <t>42</t>
    <phoneticPr fontId="2" type="noConversion"/>
  </si>
  <si>
    <t>43</t>
    <phoneticPr fontId="2" type="noConversion"/>
  </si>
  <si>
    <t>44</t>
    <phoneticPr fontId="2" type="noConversion"/>
  </si>
  <si>
    <t>45</t>
    <phoneticPr fontId="2" type="noConversion"/>
  </si>
  <si>
    <t>46</t>
    <phoneticPr fontId="2" type="noConversion"/>
  </si>
  <si>
    <t>47</t>
    <phoneticPr fontId="2" type="noConversion"/>
  </si>
  <si>
    <t>48</t>
    <phoneticPr fontId="2" type="noConversion"/>
  </si>
  <si>
    <t>49</t>
    <phoneticPr fontId="2" type="noConversion"/>
  </si>
  <si>
    <t>50</t>
    <phoneticPr fontId="2" type="noConversion"/>
  </si>
  <si>
    <t>51</t>
    <phoneticPr fontId="2" type="noConversion"/>
  </si>
  <si>
    <t>52</t>
    <phoneticPr fontId="2" type="noConversion"/>
  </si>
  <si>
    <t>53</t>
    <phoneticPr fontId="2" type="noConversion"/>
  </si>
  <si>
    <t>54</t>
    <phoneticPr fontId="2" type="noConversion"/>
  </si>
  <si>
    <t>預支付畢業餐會</t>
    <phoneticPr fontId="2" type="noConversion"/>
  </si>
  <si>
    <t>現金收入-莊博椉</t>
    <phoneticPr fontId="2" type="noConversion"/>
  </si>
  <si>
    <t>畢業生紀念品+包裝紙</t>
    <phoneticPr fontId="2" type="noConversion"/>
  </si>
  <si>
    <t>期末會議茶水費用</t>
    <phoneticPr fontId="2" type="noConversion"/>
  </si>
  <si>
    <t>銀行支出-教練10名5月份薪資(含匯費105元)</t>
    <phoneticPr fontId="2" type="noConversion"/>
  </si>
  <si>
    <t>端午節禮金-教練8名*1000元</t>
    <phoneticPr fontId="2" type="noConversion"/>
  </si>
  <si>
    <t>現金收入-陳又綸(4/13,20,27)計次400*3</t>
    <phoneticPr fontId="2" type="noConversion"/>
  </si>
  <si>
    <t>現金收入-黃子芯(5/18,25)計次400*2</t>
    <phoneticPr fontId="2" type="noConversion"/>
  </si>
  <si>
    <t>113年自由盃團體賽-午餐退費</t>
    <phoneticPr fontId="2" type="noConversion"/>
  </si>
  <si>
    <t>黃子芯</t>
    <phoneticPr fontId="2" type="noConversion"/>
  </si>
  <si>
    <t xml:space="preserve">佈置畢業餐會會場-瓦楞板+字體印刷        </t>
    <phoneticPr fontId="2" type="noConversion"/>
  </si>
  <si>
    <t xml:space="preserve">佈置畢業餐會會場裝飾品   </t>
    <phoneticPr fontId="2" type="noConversion"/>
  </si>
  <si>
    <t>傅傳硯</t>
    <phoneticPr fontId="2" type="noConversion"/>
  </si>
  <si>
    <t>113年小運會甲組女第二名-教練團獎金$4000元</t>
    <phoneticPr fontId="2" type="noConversion"/>
  </si>
  <si>
    <t>113年小運會甲組女第二名-8名*100選手獎勵金</t>
    <phoneticPr fontId="2" type="noConversion"/>
  </si>
  <si>
    <t>銀行收入-宋承臻</t>
    <phoneticPr fontId="2" type="noConversion"/>
  </si>
  <si>
    <t>紅包袋*2</t>
    <phoneticPr fontId="2" type="noConversion"/>
  </si>
  <si>
    <t>113年小運會甲組女第二名-教練團獎金</t>
    <phoneticPr fontId="2" type="noConversion"/>
  </si>
  <si>
    <t>銀行收入-莊秉衡</t>
    <phoneticPr fontId="2" type="noConversion"/>
  </si>
  <si>
    <t>113年小運會甲組男第三名-8*100元選手獎勵金</t>
    <phoneticPr fontId="2" type="noConversion"/>
  </si>
  <si>
    <t>銀行收入-黃貞喜+黃圓量</t>
    <phoneticPr fontId="2" type="noConversion"/>
  </si>
  <si>
    <t>家委會贊助畢業餐會$10000元</t>
    <phoneticPr fontId="2" type="noConversion"/>
  </si>
  <si>
    <t>畢業餐會家長自付$5800元</t>
    <phoneticPr fontId="2" type="noConversion"/>
  </si>
  <si>
    <t>銀行收入- 施沛平+顏椲珣</t>
    <phoneticPr fontId="2" type="noConversion"/>
  </si>
  <si>
    <t>銀行支出-補畢業餐會費用</t>
    <phoneticPr fontId="2" type="noConversion"/>
  </si>
  <si>
    <t>銀行收入-廖楷淯</t>
    <phoneticPr fontId="2" type="noConversion"/>
  </si>
  <si>
    <t>銀行收入-鄧皓元+鄧詠欣</t>
    <phoneticPr fontId="2" type="noConversion"/>
  </si>
  <si>
    <t>現金收入-王弘文(5/11)計次400</t>
    <phoneticPr fontId="2" type="noConversion"/>
  </si>
  <si>
    <t>銀行收入-陳亞祥+陳亞駿</t>
    <phoneticPr fontId="2" type="noConversion"/>
  </si>
  <si>
    <t>現金收入-王廷豪(5/4,11,25)計次400*3</t>
    <phoneticPr fontId="2" type="noConversion"/>
  </si>
  <si>
    <t>現金收入-王廷豪(4/20,27)計次400*2</t>
    <phoneticPr fontId="2" type="noConversion"/>
  </si>
  <si>
    <t>86</t>
    <phoneticPr fontId="2" type="noConversion"/>
  </si>
  <si>
    <t>87</t>
    <phoneticPr fontId="2" type="noConversion"/>
  </si>
  <si>
    <t>蔡昀云</t>
    <phoneticPr fontId="2" type="noConversion"/>
  </si>
  <si>
    <t>張瑞芸</t>
    <phoneticPr fontId="2" type="noConversion"/>
  </si>
  <si>
    <t>現金一批(6月份)月費</t>
    <phoneticPr fontId="2" type="noConversion"/>
  </si>
  <si>
    <t>現金收入-吳羽喬</t>
    <phoneticPr fontId="2" type="noConversion"/>
  </si>
  <si>
    <t>銀行支出-教練11名6月份薪資(含匯費120元)</t>
    <phoneticPr fontId="2" type="noConversion"/>
  </si>
  <si>
    <t>利息</t>
    <phoneticPr fontId="2" type="noConversion"/>
  </si>
  <si>
    <t>現金收入-賴彥瑋+賴品瑋(5/4,11,18,25)計次400*4x2</t>
    <phoneticPr fontId="2" type="noConversion"/>
  </si>
  <si>
    <t>現金收入-陳又綸(5/4,11,15)計次400*3</t>
    <phoneticPr fontId="2" type="noConversion"/>
  </si>
  <si>
    <t>現金收入-謝康倫(5/4,18,25)計次400*3</t>
    <phoneticPr fontId="2" type="noConversion"/>
  </si>
  <si>
    <t>銀行收入-劉思澄+張元祈+莊秉衡</t>
    <phoneticPr fontId="2" type="noConversion"/>
  </si>
  <si>
    <t>現金收入-謝康倫(6/1,15)計次400*2</t>
    <phoneticPr fontId="2" type="noConversion"/>
  </si>
  <si>
    <t>銀行收入- 施沛平</t>
    <phoneticPr fontId="2" type="noConversion"/>
  </si>
  <si>
    <t>陳韋廷</t>
    <phoneticPr fontId="2" type="noConversion"/>
  </si>
  <si>
    <t>現金一批(暑訓7月)月費</t>
    <phoneticPr fontId="2" type="noConversion"/>
  </si>
  <si>
    <t>陳秉權</t>
    <phoneticPr fontId="2" type="noConversion"/>
  </si>
  <si>
    <t>杜晨玥</t>
    <phoneticPr fontId="2" type="noConversion"/>
  </si>
  <si>
    <t>莊浩瑄</t>
    <phoneticPr fontId="2" type="noConversion"/>
  </si>
  <si>
    <t>莊哲瑄</t>
    <phoneticPr fontId="2" type="noConversion"/>
  </si>
  <si>
    <t>許橙</t>
    <phoneticPr fontId="2" type="noConversion"/>
  </si>
  <si>
    <t>許檸</t>
    <phoneticPr fontId="2" type="noConversion"/>
  </si>
  <si>
    <t>溫幸恩</t>
    <phoneticPr fontId="2" type="noConversion"/>
  </si>
  <si>
    <t>潘為</t>
    <phoneticPr fontId="2" type="noConversion"/>
  </si>
  <si>
    <t>陳詠晴</t>
    <phoneticPr fontId="2" type="noConversion"/>
  </si>
  <si>
    <t>楊昱辰</t>
    <phoneticPr fontId="2" type="noConversion"/>
  </si>
  <si>
    <t>劉罡桓</t>
    <phoneticPr fontId="2" type="noConversion"/>
  </si>
  <si>
    <t>護球桌桌邊材料</t>
    <phoneticPr fontId="2" type="noConversion"/>
  </si>
  <si>
    <t>現金收入-盧易宏</t>
    <phoneticPr fontId="2" type="noConversion"/>
  </si>
  <si>
    <t>銀行支出-教練11名7月份薪資(含匯費120元)</t>
    <phoneticPr fontId="2" type="noConversion"/>
  </si>
  <si>
    <t>現金收入-林昱琁(7/8,22,23,29,30,31)計次400*6=2400</t>
    <phoneticPr fontId="2" type="noConversion"/>
  </si>
  <si>
    <t>現金收入-梁采甯(7/30,31)計次400*2=800</t>
    <phoneticPr fontId="2" type="noConversion"/>
  </si>
  <si>
    <t>現金收入-梁逸廷(7/13,31)計次400*2=800</t>
    <phoneticPr fontId="2" type="noConversion"/>
  </si>
  <si>
    <t>銀行收入-顏椲珣+施沛平+張元祈+莊秉衡</t>
    <phoneticPr fontId="2" type="noConversion"/>
  </si>
  <si>
    <t>銀行支出-招生海報印刷費</t>
    <phoneticPr fontId="2" type="noConversion"/>
  </si>
  <si>
    <t>銀行支出-飲水機清潔保養費</t>
    <phoneticPr fontId="2" type="noConversion"/>
  </si>
  <si>
    <t>銀行收入-宋承臻+陳亞祥+陳亞駿</t>
    <phoneticPr fontId="2" type="noConversion"/>
  </si>
  <si>
    <t>銀行收入-劉思澄</t>
    <phoneticPr fontId="2" type="noConversion"/>
  </si>
  <si>
    <t>8/1~8/4日精英賽教練午餐費$1970元+8/20日鉅明盃餐費$2400元</t>
    <phoneticPr fontId="2" type="noConversion"/>
  </si>
  <si>
    <t>8/1~8/4日精英賽車資$12600元+8/20日鉅明盃車資$4725元(匯費15元)</t>
    <phoneticPr fontId="2" type="noConversion"/>
  </si>
  <si>
    <t>8月繳</t>
    <phoneticPr fontId="2" type="noConversion"/>
  </si>
  <si>
    <r>
      <t>113</t>
    </r>
    <r>
      <rPr>
        <sz val="16"/>
        <color rgb="FF000000"/>
        <rFont val="細明體"/>
        <family val="3"/>
        <charset val="136"/>
      </rPr>
      <t>年小運會選手獎勵金-16名*100</t>
    </r>
    <phoneticPr fontId="2" type="noConversion"/>
  </si>
  <si>
    <t>113年精英賽教練餐費(8/1~8/4)日</t>
    <phoneticPr fontId="2" type="noConversion"/>
  </si>
  <si>
    <t>113年自由盃團體賽教練團交通費(5/8~16)日</t>
    <phoneticPr fontId="2" type="noConversion"/>
  </si>
  <si>
    <t>113年自由盃團體桌球錦標賽(5/8~16)日</t>
    <phoneticPr fontId="2" type="noConversion"/>
  </si>
  <si>
    <t>113年自由盃團體賽餐宿費(5/8~16)日</t>
    <phoneticPr fontId="2" type="noConversion"/>
  </si>
  <si>
    <t>113年精英賽教練車資(8/1~8/4)日</t>
    <phoneticPr fontId="2" type="noConversion"/>
  </si>
  <si>
    <t>113鉅明盃餐費</t>
    <phoneticPr fontId="2" type="noConversion"/>
  </si>
  <si>
    <t>113鉅明盃車資</t>
    <phoneticPr fontId="2" type="noConversion"/>
  </si>
  <si>
    <t>許均宥</t>
    <phoneticPr fontId="2" type="noConversion"/>
  </si>
  <si>
    <t>88</t>
    <phoneticPr fontId="2" type="noConversion"/>
  </si>
  <si>
    <t>89</t>
    <phoneticPr fontId="2" type="noConversion"/>
  </si>
  <si>
    <t>90</t>
    <phoneticPr fontId="2" type="noConversion"/>
  </si>
  <si>
    <t>91</t>
    <phoneticPr fontId="2" type="noConversion"/>
  </si>
  <si>
    <t>92</t>
    <phoneticPr fontId="2" type="noConversion"/>
  </si>
  <si>
    <t>93</t>
    <phoneticPr fontId="2" type="noConversion"/>
  </si>
  <si>
    <t>94</t>
    <phoneticPr fontId="2" type="noConversion"/>
  </si>
  <si>
    <t>95</t>
    <phoneticPr fontId="2" type="noConversion"/>
  </si>
  <si>
    <t>96</t>
    <phoneticPr fontId="2" type="noConversion"/>
  </si>
  <si>
    <t>97</t>
    <phoneticPr fontId="2" type="noConversion"/>
  </si>
  <si>
    <t>98</t>
    <phoneticPr fontId="2" type="noConversion"/>
  </si>
  <si>
    <t>99</t>
    <phoneticPr fontId="2" type="noConversion"/>
  </si>
  <si>
    <t>現金一批(暑訓8月)</t>
    <phoneticPr fontId="2" type="noConversion"/>
  </si>
  <si>
    <t>銀行支出-立扇+前網</t>
    <phoneticPr fontId="2" type="noConversion"/>
  </si>
  <si>
    <t>合併8月</t>
    <phoneticPr fontId="2" type="noConversion"/>
  </si>
  <si>
    <t>現金收入-林昱琁+林逸芮</t>
    <phoneticPr fontId="2" type="noConversion"/>
  </si>
  <si>
    <t>現金收入-劉履善</t>
    <phoneticPr fontId="2" type="noConversion"/>
  </si>
  <si>
    <t>新生招生單</t>
    <phoneticPr fontId="2" type="noConversion"/>
  </si>
  <si>
    <t>現金收入-蔡昀蓁+蔡卉築(7/12,19,27,8/16,31)計次400*5</t>
    <phoneticPr fontId="2" type="noConversion"/>
  </si>
  <si>
    <t>蔡昀蓁</t>
    <phoneticPr fontId="2" type="noConversion"/>
  </si>
  <si>
    <t>蔡卉築</t>
    <phoneticPr fontId="2" type="noConversion"/>
  </si>
  <si>
    <t>銀行支出-教練11名8月份薪資(含匯費120元)</t>
    <phoneticPr fontId="2" type="noConversion"/>
  </si>
  <si>
    <t>銀行收入-宋承臻</t>
    <phoneticPr fontId="2" type="noConversion"/>
  </si>
  <si>
    <t>銀行收入-陳亞祥+陳亞駿</t>
    <phoneticPr fontId="2" type="noConversion"/>
  </si>
  <si>
    <t>現金收入-黃子芯(7/11,13,16,18,27,30//8/1,13,15,22,24,27,29,31)</t>
    <phoneticPr fontId="2" type="noConversion"/>
  </si>
  <si>
    <t>現金收入-吳畇鱳(8月份暑訓)</t>
    <phoneticPr fontId="2" type="noConversion"/>
  </si>
  <si>
    <t>9/5~6日總統盃-中男選手6名*300元住宿費補貼</t>
    <phoneticPr fontId="2" type="noConversion"/>
  </si>
  <si>
    <t>銀行收入-顏椲珣</t>
    <phoneticPr fontId="2" type="noConversion"/>
  </si>
  <si>
    <t>銀行收入-施沛平</t>
    <phoneticPr fontId="2" type="noConversion"/>
  </si>
  <si>
    <t>銀行收入-黃貞喜+黃圓量</t>
    <phoneticPr fontId="2" type="noConversion"/>
  </si>
  <si>
    <t>中秋節教練團禮金-教練7名*1000元</t>
    <phoneticPr fontId="2" type="noConversion"/>
  </si>
  <si>
    <t>9/5~6日總統盃-中男教練1名餐宿交通費</t>
    <phoneticPr fontId="2" type="noConversion"/>
  </si>
  <si>
    <t>銀行收入-莊秉衡+張元祈</t>
    <phoneticPr fontId="2" type="noConversion"/>
  </si>
  <si>
    <t>113年總統盃9/5~6日選手6名*300住宿補貼</t>
    <phoneticPr fontId="2" type="noConversion"/>
  </si>
  <si>
    <r>
      <t>113</t>
    </r>
    <r>
      <rPr>
        <sz val="16"/>
        <color rgb="FF000000"/>
        <rFont val="MS Gothic"/>
        <family val="3"/>
        <charset val="128"/>
      </rPr>
      <t>年總統盃</t>
    </r>
    <r>
      <rPr>
        <sz val="16"/>
        <color rgb="FF000000"/>
        <rFont val="Arial"/>
        <family val="2"/>
      </rPr>
      <t>9/5~6</t>
    </r>
    <r>
      <rPr>
        <sz val="16"/>
        <color rgb="FF000000"/>
        <rFont val="MS Gothic"/>
        <family val="3"/>
        <charset val="128"/>
      </rPr>
      <t>日</t>
    </r>
    <r>
      <rPr>
        <sz val="16"/>
        <color rgb="FF000000"/>
        <rFont val="Songti TC Regular"/>
        <family val="3"/>
      </rPr>
      <t>教練1名餐宿交通費</t>
    </r>
    <phoneticPr fontId="2" type="noConversion"/>
  </si>
  <si>
    <t>銀行收入-廖楷淯</t>
    <phoneticPr fontId="2" type="noConversion"/>
  </si>
  <si>
    <t>9/14~15日議長盃餐費</t>
    <phoneticPr fontId="2" type="noConversion"/>
  </si>
  <si>
    <t>9/3~4日總統盃-高男選手6名*300元住宿補貼</t>
    <phoneticPr fontId="2" type="noConversion"/>
  </si>
  <si>
    <t>9/3~4日總統盃-高男教練1名餐宿費</t>
    <phoneticPr fontId="2" type="noConversion"/>
  </si>
  <si>
    <t>9/7~8日總統盃-中女選手6名*300元住宿補貼</t>
    <phoneticPr fontId="2" type="noConversion"/>
  </si>
  <si>
    <t>9/7~8日總統盃-中女教練2名餐宿費</t>
    <phoneticPr fontId="2" type="noConversion"/>
  </si>
  <si>
    <t>9/14日議長盃交通費(含匯費15元)</t>
    <phoneticPr fontId="2" type="noConversion"/>
  </si>
  <si>
    <r>
      <rPr>
        <sz val="16"/>
        <color indexed="8"/>
        <rFont val="細明體"/>
        <family val="3"/>
        <charset val="136"/>
      </rPr>
      <t>總統盃</t>
    </r>
    <r>
      <rPr>
        <sz val="16"/>
        <color indexed="8"/>
        <rFont val="Segoe UI Variable Small Semibol"/>
      </rPr>
      <t>-9/3,4,7,8</t>
    </r>
    <r>
      <rPr>
        <sz val="16"/>
        <color indexed="8"/>
        <rFont val="細明體"/>
        <family val="3"/>
        <charset val="136"/>
      </rPr>
      <t>高男</t>
    </r>
    <r>
      <rPr>
        <sz val="16"/>
        <color indexed="8"/>
        <rFont val="Segoe UI Variable Small Semibol"/>
      </rPr>
      <t>,</t>
    </r>
    <r>
      <rPr>
        <sz val="16"/>
        <color indexed="8"/>
        <rFont val="細明體"/>
        <family val="3"/>
        <charset val="136"/>
      </rPr>
      <t>中女選手</t>
    </r>
    <r>
      <rPr>
        <sz val="16"/>
        <color indexed="8"/>
        <rFont val="Segoe UI Variable Small Semibol"/>
      </rPr>
      <t>12</t>
    </r>
    <r>
      <rPr>
        <sz val="16"/>
        <color indexed="8"/>
        <rFont val="細明體"/>
        <family val="3"/>
        <charset val="136"/>
      </rPr>
      <t>名</t>
    </r>
    <r>
      <rPr>
        <sz val="16"/>
        <color indexed="8"/>
        <rFont val="Segoe UI Variable Small Semibol"/>
      </rPr>
      <t>*300</t>
    </r>
    <r>
      <rPr>
        <sz val="16"/>
        <color indexed="8"/>
        <rFont val="細明體"/>
        <family val="3"/>
        <charset val="136"/>
      </rPr>
      <t>住宿補貼</t>
    </r>
    <phoneticPr fontId="2" type="noConversion"/>
  </si>
  <si>
    <r>
      <rPr>
        <sz val="16"/>
        <color indexed="8"/>
        <rFont val="細明體"/>
        <family val="3"/>
        <charset val="136"/>
      </rPr>
      <t>總統盃</t>
    </r>
    <r>
      <rPr>
        <sz val="16"/>
        <color indexed="8"/>
        <rFont val="Segoe UI Variable Display Semib"/>
      </rPr>
      <t>9/7~8</t>
    </r>
    <r>
      <rPr>
        <sz val="16"/>
        <color indexed="8"/>
        <rFont val="細明體"/>
        <family val="3"/>
        <charset val="136"/>
      </rPr>
      <t>日教練</t>
    </r>
    <r>
      <rPr>
        <sz val="16"/>
        <color indexed="8"/>
        <rFont val="Segoe UI Variable Display Semib"/>
      </rPr>
      <t>2</t>
    </r>
    <r>
      <rPr>
        <sz val="16"/>
        <color indexed="8"/>
        <rFont val="細明體"/>
        <family val="3"/>
        <charset val="136"/>
      </rPr>
      <t>名餐宿交通費</t>
    </r>
    <phoneticPr fontId="2" type="noConversion"/>
  </si>
  <si>
    <t>9/14日議長盃交通費</t>
    <phoneticPr fontId="2" type="noConversion"/>
  </si>
  <si>
    <t>銀行支出-維修水龍頭材料費</t>
    <phoneticPr fontId="2" type="noConversion"/>
  </si>
  <si>
    <t>現金支出-慶生蛋糕</t>
    <phoneticPr fontId="2" type="noConversion"/>
  </si>
  <si>
    <t>銀行支出-補總統盃中男</t>
    <phoneticPr fontId="2" type="noConversion"/>
  </si>
  <si>
    <t>邱鴻祥教練</t>
    <phoneticPr fontId="2" type="noConversion"/>
  </si>
  <si>
    <t>邱俞潔</t>
    <phoneticPr fontId="2" type="noConversion"/>
  </si>
  <si>
    <t>陳睿曦</t>
    <phoneticPr fontId="2" type="noConversion"/>
  </si>
  <si>
    <t>孫晟睿</t>
    <phoneticPr fontId="2" type="noConversion"/>
  </si>
  <si>
    <t>9月繳</t>
    <phoneticPr fontId="2" type="noConversion"/>
  </si>
  <si>
    <t>總統盃-高,中年級男組午餐退費</t>
    <phoneticPr fontId="2" type="noConversion"/>
  </si>
  <si>
    <t>現金一批(9月)月+會費</t>
    <phoneticPr fontId="2" type="noConversion"/>
  </si>
  <si>
    <t>銀行支出-文具用品費用</t>
    <phoneticPr fontId="2" type="noConversion"/>
  </si>
  <si>
    <t>現金收入-謝康倫(7/13,8/3,10)計次400*3</t>
    <phoneticPr fontId="2" type="noConversion"/>
  </si>
  <si>
    <r>
      <rPr>
        <sz val="16"/>
        <color indexed="8"/>
        <rFont val="細明體"/>
        <family val="3"/>
        <charset val="136"/>
      </rPr>
      <t>總統盃</t>
    </r>
    <r>
      <rPr>
        <sz val="16"/>
        <color indexed="8"/>
        <rFont val="Segoe UI Variable Display Semib"/>
      </rPr>
      <t>9/3~4</t>
    </r>
    <r>
      <rPr>
        <sz val="16"/>
        <color indexed="8"/>
        <rFont val="細明體"/>
        <family val="3"/>
        <charset val="136"/>
      </rPr>
      <t>日</t>
    </r>
    <r>
      <rPr>
        <sz val="16"/>
        <color rgb="FF000000"/>
        <rFont val="Microsoft JhengHei"/>
        <family val="3"/>
      </rPr>
      <t>高男</t>
    </r>
    <r>
      <rPr>
        <sz val="16"/>
        <color indexed="8"/>
        <rFont val="細明體"/>
        <family val="3"/>
        <charset val="136"/>
      </rPr>
      <t>教練</t>
    </r>
    <r>
      <rPr>
        <sz val="16"/>
        <color indexed="8"/>
        <rFont val="Segoe UI Variable Display Semib"/>
      </rPr>
      <t>1</t>
    </r>
    <r>
      <rPr>
        <sz val="16"/>
        <color indexed="8"/>
        <rFont val="細明體"/>
        <family val="3"/>
        <charset val="136"/>
      </rPr>
      <t>名餐宿交通費</t>
    </r>
    <phoneticPr fontId="2" type="noConversion"/>
  </si>
  <si>
    <t>報名費3000元</t>
    <phoneticPr fontId="2" type="noConversion"/>
  </si>
  <si>
    <t>教練費2日1000元,租借球桌100元</t>
    <phoneticPr fontId="2" type="noConversion"/>
  </si>
  <si>
    <t>教練費2日500*2=1000/租借球桌100</t>
    <phoneticPr fontId="2" type="noConversion"/>
  </si>
  <si>
    <t>銀行支出-教練8名9月份薪資(含匯費70元)</t>
    <phoneticPr fontId="2" type="noConversion"/>
  </si>
  <si>
    <t>銀行收入-顏椲珣+廖楷淯</t>
    <phoneticPr fontId="2" type="noConversion"/>
  </si>
  <si>
    <t>現金收入-尹荀(9月+會費)</t>
    <phoneticPr fontId="2" type="noConversion"/>
  </si>
  <si>
    <t>現金收入-吳畇鱳(9/3,10,24)計次400*3</t>
    <phoneticPr fontId="2" type="noConversion"/>
  </si>
  <si>
    <t>現金收入-謝康倫(9/7,14,21,28)計次400*4</t>
    <phoneticPr fontId="2" type="noConversion"/>
  </si>
  <si>
    <t>10月繳</t>
    <phoneticPr fontId="2" type="noConversion"/>
  </si>
  <si>
    <t>113年日記帳</t>
    <phoneticPr fontId="2" type="noConversion"/>
  </si>
  <si>
    <t>獎金5000元(選手6名*500,回饋球隊2000)</t>
    <phoneticPr fontId="2" type="noConversion"/>
  </si>
  <si>
    <t>福德盃中男第五名獎金</t>
    <phoneticPr fontId="2" type="noConversion"/>
  </si>
  <si>
    <t>福德盃高男餐費</t>
    <phoneticPr fontId="2" type="noConversion"/>
  </si>
  <si>
    <t>福德盃油資-邱鴻祥教練</t>
    <phoneticPr fontId="2" type="noConversion"/>
  </si>
  <si>
    <t>福德盃油資-許晉得教練</t>
    <phoneticPr fontId="2" type="noConversion"/>
  </si>
  <si>
    <t>福德盃-中年級男.女生團體賽餐費</t>
    <phoneticPr fontId="2" type="noConversion"/>
  </si>
  <si>
    <t>113年議長盃-國小女童組第三名選手6名*100元</t>
    <phoneticPr fontId="2" type="noConversion"/>
  </si>
  <si>
    <t>113年議長盃-國小女童組第三名教練團獎金</t>
    <phoneticPr fontId="2" type="noConversion"/>
  </si>
  <si>
    <t>113年福德盃-中年級組團體賽第五名選手6名*500</t>
    <phoneticPr fontId="2" type="noConversion"/>
  </si>
  <si>
    <t>銀行支出-JET盃10/20日許晉得教練交通費</t>
    <phoneticPr fontId="2" type="noConversion"/>
  </si>
  <si>
    <t>銀行支出-JET盃10/20~23日餐費</t>
    <phoneticPr fontId="2" type="noConversion"/>
  </si>
  <si>
    <t>銀行支出-JET盃10/21日許晉得教練+邱鴻祥教練交通費</t>
    <phoneticPr fontId="2" type="noConversion"/>
  </si>
  <si>
    <t>銀行支出-JET盃10/22日許晉得教練+羅婉玲教練交通費</t>
    <phoneticPr fontId="2" type="noConversion"/>
  </si>
  <si>
    <t>銀行支出-JET盃10/23日邱鴻祥教練交通費</t>
    <phoneticPr fontId="2" type="noConversion"/>
  </si>
  <si>
    <t>陳芯緹</t>
    <phoneticPr fontId="2" type="noConversion"/>
  </si>
  <si>
    <t>尹荀</t>
    <phoneticPr fontId="2" type="noConversion"/>
  </si>
  <si>
    <t>轉退</t>
    <phoneticPr fontId="2" type="noConversion"/>
  </si>
  <si>
    <t>現金收入-王星皓(9月費+會費)</t>
    <phoneticPr fontId="2" type="noConversion"/>
  </si>
  <si>
    <t>10月繳</t>
    <phoneticPr fontId="2" type="noConversion"/>
  </si>
  <si>
    <t>新任會長(筠凱爸)贊助球隊</t>
    <phoneticPr fontId="2" type="noConversion"/>
  </si>
  <si>
    <t>福德盃午餐退費</t>
    <phoneticPr fontId="2" type="noConversion"/>
  </si>
  <si>
    <t>現金一批(10月份)月費</t>
    <phoneticPr fontId="2" type="noConversion"/>
  </si>
  <si>
    <t>10/10~12日福德盃餐費</t>
    <phoneticPr fontId="2" type="noConversion"/>
  </si>
  <si>
    <t>10/10~12日福德盃教練2名交通費</t>
    <phoneticPr fontId="2" type="noConversion"/>
  </si>
  <si>
    <r>
      <t>JET</t>
    </r>
    <r>
      <rPr>
        <sz val="16"/>
        <color rgb="FF000000"/>
        <rFont val="微軟正黑體"/>
        <family val="2"/>
        <charset val="136"/>
      </rPr>
      <t>盃</t>
    </r>
    <r>
      <rPr>
        <sz val="16"/>
        <color rgb="FF000000"/>
        <rFont val="Arial"/>
        <family val="2"/>
      </rPr>
      <t>10/20~23</t>
    </r>
    <r>
      <rPr>
        <sz val="16"/>
        <color rgb="FF000000"/>
        <rFont val="微軟正黑體"/>
        <family val="2"/>
        <charset val="136"/>
      </rPr>
      <t>日</t>
    </r>
    <r>
      <rPr>
        <sz val="16"/>
        <color indexed="8"/>
        <rFont val="Songti TC Regular"/>
        <family val="3"/>
        <charset val="136"/>
      </rPr>
      <t>餐費</t>
    </r>
    <phoneticPr fontId="2" type="noConversion"/>
  </si>
  <si>
    <r>
      <t>JET</t>
    </r>
    <r>
      <rPr>
        <sz val="16"/>
        <color rgb="FF000000"/>
        <rFont val="微軟正黑體"/>
        <family val="2"/>
        <charset val="136"/>
      </rPr>
      <t>盃</t>
    </r>
    <r>
      <rPr>
        <sz val="16"/>
        <color rgb="FF000000"/>
        <rFont val="Arial"/>
        <family val="2"/>
      </rPr>
      <t>10/20~23</t>
    </r>
    <r>
      <rPr>
        <sz val="16"/>
        <color rgb="FF000000"/>
        <rFont val="微軟正黑體"/>
        <family val="2"/>
        <charset val="136"/>
      </rPr>
      <t>日</t>
    </r>
    <r>
      <rPr>
        <sz val="16"/>
        <color indexed="8"/>
        <rFont val="Songti TC Regular"/>
        <family val="3"/>
        <charset val="136"/>
      </rPr>
      <t>教練3名交通費</t>
    </r>
    <phoneticPr fontId="2" type="noConversion"/>
  </si>
  <si>
    <t>113年議長盃國小女童組第三名-教練團獎金</t>
    <phoneticPr fontId="2" type="noConversion"/>
  </si>
  <si>
    <t>113年議長盃國小女童組第三名-選手6名*100</t>
    <phoneticPr fontId="2" type="noConversion"/>
  </si>
  <si>
    <t>福德盃-中年級組男生團體賽第五名-選手6名*500</t>
    <phoneticPr fontId="2" type="noConversion"/>
  </si>
  <si>
    <r>
      <t>JET</t>
    </r>
    <r>
      <rPr>
        <sz val="16"/>
        <color rgb="FF000000"/>
        <rFont val="微軟正黑體"/>
        <family val="2"/>
        <charset val="136"/>
      </rPr>
      <t>盃</t>
    </r>
    <r>
      <rPr>
        <sz val="16"/>
        <color rgb="FF000000"/>
        <rFont val="Arial"/>
        <family val="2"/>
      </rPr>
      <t>10/20~23</t>
    </r>
    <r>
      <rPr>
        <sz val="16"/>
        <color rgb="FF000000"/>
        <rFont val="微軟正黑體"/>
        <family val="2"/>
        <charset val="136"/>
      </rPr>
      <t>日報名費</t>
    </r>
    <phoneticPr fontId="2" type="noConversion"/>
  </si>
  <si>
    <t>現金收入-唐筠熙+莊喬媗+莊博椉</t>
    <phoneticPr fontId="2" type="noConversion"/>
  </si>
  <si>
    <t>現金收入-黃炳森(月費+會費)</t>
    <phoneticPr fontId="2" type="noConversion"/>
  </si>
  <si>
    <t>銀行支出-福德盃四女.五男報名費</t>
    <phoneticPr fontId="2" type="noConversion"/>
  </si>
  <si>
    <t>JET盃-四男,六女,六男報名費</t>
    <phoneticPr fontId="2" type="noConversion"/>
  </si>
  <si>
    <t>黃炳森</t>
    <phoneticPr fontId="2" type="noConversion"/>
  </si>
  <si>
    <t>100</t>
    <phoneticPr fontId="2" type="noConversion"/>
  </si>
  <si>
    <t>101</t>
    <phoneticPr fontId="2" type="noConversion"/>
  </si>
  <si>
    <t>102</t>
    <phoneticPr fontId="2" type="noConversion"/>
  </si>
  <si>
    <t>103</t>
    <phoneticPr fontId="2" type="noConversion"/>
  </si>
  <si>
    <t>104</t>
    <phoneticPr fontId="2" type="noConversion"/>
  </si>
  <si>
    <t>105</t>
    <phoneticPr fontId="2" type="noConversion"/>
  </si>
  <si>
    <t>銀行支出-教練7名10月份薪資(含匯費60元)</t>
    <phoneticPr fontId="2" type="noConversion"/>
  </si>
  <si>
    <t>銀行收入-施沛平10月,11月</t>
    <phoneticPr fontId="2" type="noConversion"/>
  </si>
  <si>
    <t>銀行收入-張元祈</t>
    <phoneticPr fontId="2" type="noConversion"/>
  </si>
  <si>
    <t>11月繳</t>
    <phoneticPr fontId="2" type="noConversion"/>
  </si>
  <si>
    <t>銀行收入-莊秉衡+顏椲珣</t>
    <phoneticPr fontId="2" type="noConversion"/>
  </si>
  <si>
    <t>銀行收入-廖楷淯</t>
    <phoneticPr fontId="2" type="noConversion"/>
  </si>
  <si>
    <t>潘杰熙</t>
    <phoneticPr fontId="2" type="noConversion"/>
  </si>
  <si>
    <t>陳品睿</t>
    <phoneticPr fontId="2" type="noConversion"/>
  </si>
  <si>
    <t>陳芊妤</t>
    <phoneticPr fontId="2" type="noConversion"/>
  </si>
  <si>
    <t>10/20~23日JET盃午餐退費</t>
    <phoneticPr fontId="2" type="noConversion"/>
  </si>
  <si>
    <t>現金一批(11月)月費</t>
    <phoneticPr fontId="2" type="noConversion"/>
  </si>
  <si>
    <t>會長贊助</t>
    <phoneticPr fontId="2" type="noConversion"/>
  </si>
  <si>
    <t>現金收入-唐筠熙</t>
    <phoneticPr fontId="2" type="noConversion"/>
  </si>
  <si>
    <t>現金支出-慶生蛋糕</t>
    <phoneticPr fontId="2" type="noConversion"/>
  </si>
  <si>
    <t>現金收入-黃彥蓁(10/5,12,26)計次400*3</t>
    <phoneticPr fontId="2" type="noConversion"/>
  </si>
  <si>
    <t>黃彥蓁</t>
    <phoneticPr fontId="2" type="noConversion"/>
  </si>
  <si>
    <t>銀行支出-飲水機保養費</t>
    <phoneticPr fontId="2" type="noConversion"/>
  </si>
  <si>
    <t>現金收入-吳畇鱳(10/8,15,22)計次400*3</t>
    <phoneticPr fontId="2" type="noConversion"/>
  </si>
  <si>
    <t>銀行支出-113年全年度桌球隊電費分攤</t>
    <phoneticPr fontId="2" type="noConversion"/>
  </si>
  <si>
    <t>銀行支出-11/28日諸羅山盃餐費</t>
    <phoneticPr fontId="2" type="noConversion"/>
  </si>
  <si>
    <t>銀行支出-11/28日諸羅山盃教練2名交通費</t>
    <phoneticPr fontId="2" type="noConversion"/>
  </si>
  <si>
    <t>諸羅山盃餐費</t>
    <phoneticPr fontId="2" type="noConversion"/>
  </si>
  <si>
    <t>諸羅山盃教練2名交通費</t>
    <phoneticPr fontId="2" type="noConversion"/>
  </si>
  <si>
    <t>12月繳</t>
    <phoneticPr fontId="2" type="noConversion"/>
  </si>
  <si>
    <t>銀行支付-教練6名11月份薪資(含匯費60元)</t>
    <phoneticPr fontId="2" type="noConversion"/>
  </si>
  <si>
    <t>現金收入-莊博椉(11月月費)</t>
    <phoneticPr fontId="2" type="noConversion"/>
  </si>
  <si>
    <t>銀行支出-購買燈管,矽利康</t>
    <phoneticPr fontId="2" type="noConversion"/>
  </si>
  <si>
    <t>銀行收入-陳亞祥+陳亞駿</t>
    <phoneticPr fontId="2" type="noConversion"/>
  </si>
  <si>
    <t>諸羅山盃-午餐退費</t>
    <phoneticPr fontId="2" type="noConversion"/>
  </si>
  <si>
    <t>銀行收入-莊秉衡</t>
    <phoneticPr fontId="2" type="noConversion"/>
  </si>
  <si>
    <t>銀行收入-張元祈</t>
    <phoneticPr fontId="2" type="noConversion"/>
  </si>
  <si>
    <t>銀行收入-黃貞喜+黃圓量</t>
    <phoneticPr fontId="2" type="noConversion"/>
  </si>
  <si>
    <t>銀行收入-施沛平+顏椲珣</t>
    <phoneticPr fontId="2" type="noConversion"/>
  </si>
  <si>
    <t>銀行收入-廖楷淯</t>
    <phoneticPr fontId="2" type="noConversion"/>
  </si>
  <si>
    <t>銀行支出-生達盃交通費</t>
    <phoneticPr fontId="2" type="noConversion"/>
  </si>
  <si>
    <t>銀行支出-生達盃教練餐費</t>
    <phoneticPr fontId="2" type="noConversion"/>
  </si>
  <si>
    <r>
      <rPr>
        <sz val="16"/>
        <color rgb="FF000000"/>
        <rFont val="微軟正黑體"/>
        <family val="2"/>
        <charset val="136"/>
      </rPr>
      <t>第</t>
    </r>
    <r>
      <rPr>
        <sz val="16"/>
        <color rgb="FF000000"/>
        <rFont val="Arial"/>
        <family val="2"/>
      </rPr>
      <t>39</t>
    </r>
    <r>
      <rPr>
        <sz val="16"/>
        <color rgb="FF000000"/>
        <rFont val="微軟正黑體"/>
        <family val="2"/>
        <charset val="136"/>
      </rPr>
      <t>屆生達盃交通費</t>
    </r>
    <phoneticPr fontId="2" type="noConversion"/>
  </si>
  <si>
    <r>
      <rPr>
        <sz val="16"/>
        <color rgb="FF000000"/>
        <rFont val="微軟正黑體"/>
        <family val="2"/>
        <charset val="136"/>
      </rPr>
      <t>第</t>
    </r>
    <r>
      <rPr>
        <sz val="16"/>
        <color rgb="FF000000"/>
        <rFont val="Arial"/>
        <family val="2"/>
      </rPr>
      <t>39</t>
    </r>
    <r>
      <rPr>
        <sz val="16"/>
        <color rgb="FF000000"/>
        <rFont val="微軟正黑體"/>
        <family val="2"/>
        <charset val="136"/>
      </rPr>
      <t>屆生達盃教練餐費</t>
    </r>
    <phoneticPr fontId="2" type="noConversion"/>
  </si>
  <si>
    <t>銀行支出-聖誕餐會</t>
    <phoneticPr fontId="2" type="noConversion"/>
  </si>
  <si>
    <t>106</t>
    <phoneticPr fontId="2" type="noConversion"/>
  </si>
  <si>
    <t>郭承安</t>
    <phoneticPr fontId="2" type="noConversion"/>
  </si>
  <si>
    <t>.</t>
    <phoneticPr fontId="2" type="noConversion"/>
  </si>
  <si>
    <t>現金收入-陳楚翔</t>
    <phoneticPr fontId="2" type="noConversion"/>
  </si>
  <si>
    <t>陳楚翔</t>
    <phoneticPr fontId="2" type="noConversion"/>
  </si>
  <si>
    <t>107</t>
    <phoneticPr fontId="2" type="noConversion"/>
  </si>
  <si>
    <t>銀行利息</t>
    <phoneticPr fontId="2" type="noConversion"/>
  </si>
  <si>
    <t>聖誕餐會家長自付</t>
    <phoneticPr fontId="2" type="noConversion"/>
  </si>
  <si>
    <t>現金支出-聖誕餐會</t>
    <phoneticPr fontId="2" type="noConversion"/>
  </si>
  <si>
    <t>陳可芯</t>
    <phoneticPr fontId="2" type="noConversion"/>
  </si>
  <si>
    <t>現金收入-陳可芯(11/14,21,28,29)計次400*4</t>
    <phoneticPr fontId="2" type="noConversion"/>
  </si>
  <si>
    <t>現金收入-吳畇鱳(11/26)計次400*1</t>
    <phoneticPr fontId="2" type="noConversion"/>
  </si>
  <si>
    <t>現金收入-陳芊妤(11/9,16,23)計次400*3</t>
    <phoneticPr fontId="2" type="noConversion"/>
  </si>
  <si>
    <t>現金收入-謝康倫(11/2,9,23)計次400*3</t>
    <phoneticPr fontId="2" type="noConversion"/>
  </si>
  <si>
    <t>現金收入-黃彥蓁(11/9,23)計次*2</t>
    <phoneticPr fontId="2" type="noConversion"/>
  </si>
  <si>
    <t>現金一批(11月)月費-含陳品睿(10/5,12,19,26)$1600元</t>
    <phoneticPr fontId="2" type="noConversion"/>
  </si>
  <si>
    <t>現金收入-陳品睿(11/2,9,16,23)</t>
    <phoneticPr fontId="2" type="noConversion"/>
  </si>
  <si>
    <t>現金收入-陳定宏12/12$2500(11月費)</t>
    <phoneticPr fontId="2" type="noConversion"/>
  </si>
  <si>
    <t>結餘</t>
    <phoneticPr fontId="2" type="noConversion"/>
  </si>
  <si>
    <t>1月繳</t>
    <phoneticPr fontId="2" type="noConversion"/>
  </si>
  <si>
    <t>現金收入-黃子芯(10/12,21)計次400*2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</si>
</sst>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76" formatCode="#,##0&quot; &quot;;\(#,##0\)"/>
    <numFmt numFmtId="177" formatCode="#,##0&quot; &quot;"/>
    <numFmt numFmtId="178" formatCode="&quot; &quot;* #,##0&quot; &quot;;&quot;-&quot;* #,##0&quot; &quot;;&quot; &quot;* &quot;-&quot;??&quot; &quot;"/>
    <numFmt numFmtId="179" formatCode="#,##0&quot; &quot;;&quot;-&quot;#,##0&quot; &quot;"/>
    <numFmt numFmtId="180" formatCode="#,##0_ ;[Red]\-#,##0\ "/>
    <numFmt numFmtId="181" formatCode="_-* #,##0_-;\-* #,##0_-;_-* &quot;-&quot;??_-;_-@_-"/>
    <numFmt numFmtId="182" formatCode="#,##0_ "/>
    <numFmt numFmtId="183" formatCode="[$$-404]#,##0"/>
    <numFmt numFmtId="184" formatCode="#,##0.00_ "/>
    <numFmt numFmtId="185" formatCode="#,##0_);[Red]\(#,##0\)"/>
  </numFmts>
  <fonts count="77">
    <font>
      <sz val="12"/>
      <color indexed="8"/>
      <name val="Songti TC Regular"/>
    </font>
    <font>
      <sz val="18"/>
      <color indexed="8"/>
      <name val="細明體"/>
      <family val="3"/>
      <charset val="136"/>
    </font>
    <font>
      <sz val="9"/>
      <name val="細明體"/>
      <family val="3"/>
      <charset val="136"/>
    </font>
    <font>
      <sz val="14"/>
      <color indexed="8"/>
      <name val="細明體"/>
      <family val="3"/>
      <charset val="136"/>
    </font>
    <font>
      <sz val="12"/>
      <color indexed="8"/>
      <name val="細明體"/>
      <family val="3"/>
      <charset val="136"/>
    </font>
    <font>
      <sz val="14"/>
      <color rgb="FFFF0000"/>
      <name val="細明體"/>
      <family val="3"/>
      <charset val="136"/>
    </font>
    <font>
      <sz val="12"/>
      <color rgb="FFFF0000"/>
      <name val="Songti TC Regular"/>
      <family val="3"/>
      <charset val="136"/>
    </font>
    <font>
      <sz val="18"/>
      <color indexed="8"/>
      <name val="Songti TC Bold"/>
      <family val="1"/>
      <charset val="136"/>
    </font>
    <font>
      <sz val="14"/>
      <color indexed="8"/>
      <name val="Songti TC Bold"/>
      <family val="1"/>
    </font>
    <font>
      <sz val="14"/>
      <color indexed="8"/>
      <name val="Songti TC Regular"/>
      <family val="3"/>
      <charset val="136"/>
    </font>
    <font>
      <sz val="16"/>
      <color indexed="8"/>
      <name val="Songti TC Regular"/>
      <family val="3"/>
      <charset val="136"/>
    </font>
    <font>
      <sz val="16"/>
      <color indexed="8"/>
      <name val="細明體"/>
      <family val="3"/>
      <charset val="136"/>
    </font>
    <font>
      <sz val="15"/>
      <color indexed="8"/>
      <name val="Songti TC Regular"/>
      <family val="3"/>
      <charset val="136"/>
    </font>
    <font>
      <sz val="16"/>
      <name val="Songti TC Regular"/>
      <family val="3"/>
      <charset val="136"/>
    </font>
    <font>
      <sz val="14"/>
      <color indexed="16"/>
      <name val="Songti TC Regular"/>
      <family val="3"/>
      <charset val="136"/>
    </font>
    <font>
      <sz val="12"/>
      <color indexed="16"/>
      <name val="Songti TC Regular"/>
      <family val="3"/>
      <charset val="136"/>
    </font>
    <font>
      <sz val="9"/>
      <name val="Helvetica Neue"/>
      <family val="1"/>
      <charset val="136"/>
    </font>
    <font>
      <sz val="14"/>
      <name val="細明體"/>
      <family val="3"/>
      <charset val="136"/>
    </font>
    <font>
      <sz val="14"/>
      <color indexed="8"/>
      <name val="標楷體"/>
      <family val="4"/>
      <charset val="136"/>
    </font>
    <font>
      <u/>
      <sz val="16"/>
      <color rgb="FFFF0000"/>
      <name val="Songti TC Bold"/>
      <family val="1"/>
    </font>
    <font>
      <sz val="16"/>
      <name val="Songti TC Regular"/>
      <family val="2"/>
    </font>
    <font>
      <sz val="12"/>
      <name val="Songti TC Regular"/>
      <family val="2"/>
    </font>
    <font>
      <sz val="16"/>
      <color rgb="FFFF0000"/>
      <name val="Songti TC Regular"/>
      <family val="3"/>
      <charset val="136"/>
    </font>
    <font>
      <sz val="16"/>
      <color rgb="FFFF0000"/>
      <name val="Songti TC Regular"/>
      <family val="2"/>
    </font>
    <font>
      <sz val="12"/>
      <color rgb="FFFF0000"/>
      <name val="Songti TC Regular"/>
      <family val="2"/>
    </font>
    <font>
      <sz val="16"/>
      <color indexed="8"/>
      <name val="標楷體"/>
      <family val="4"/>
      <charset val="136"/>
    </font>
    <font>
      <u/>
      <sz val="16"/>
      <color rgb="FFFF0000"/>
      <name val="Songti TC Regular"/>
      <family val="3"/>
      <charset val="136"/>
    </font>
    <font>
      <sz val="16"/>
      <color indexed="8"/>
      <name val="新細明體"/>
      <family val="1"/>
      <charset val="136"/>
      <scheme val="major"/>
    </font>
    <font>
      <sz val="14"/>
      <name val="Songti TC Bold"/>
      <family val="1"/>
    </font>
    <font>
      <sz val="14"/>
      <name val="Songti TC Regular"/>
      <family val="3"/>
      <charset val="136"/>
    </font>
    <font>
      <sz val="12"/>
      <color indexed="8"/>
      <name val="Songti TC Regular"/>
    </font>
    <font>
      <sz val="16"/>
      <color rgb="FF000000"/>
      <name val="標楷體"/>
      <family val="4"/>
      <charset val="136"/>
    </font>
    <font>
      <sz val="14"/>
      <color theme="1"/>
      <name val="標楷體"/>
      <family val="4"/>
      <charset val="136"/>
    </font>
    <font>
      <sz val="10"/>
      <color indexed="8"/>
      <name val="Helvetica Neue"/>
      <family val="1"/>
      <charset val="136"/>
    </font>
    <font>
      <sz val="12"/>
      <name val="新細明體"/>
      <family val="1"/>
      <charset val="136"/>
    </font>
    <font>
      <sz val="16"/>
      <name val="細明體"/>
      <family val="3"/>
      <charset val="136"/>
    </font>
    <font>
      <sz val="14"/>
      <color rgb="FF000000"/>
      <name val="微軟正黑體"/>
      <family val="2"/>
      <charset val="136"/>
    </font>
    <font>
      <sz val="16"/>
      <color rgb="FF000000"/>
      <name val="微軟正黑體"/>
      <family val="2"/>
      <charset val="136"/>
    </font>
    <font>
      <sz val="14"/>
      <color rgb="FF002060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rgb="FF000000"/>
      <name val="細明體"/>
      <family val="3"/>
      <charset val="136"/>
    </font>
    <font>
      <sz val="11"/>
      <color indexed="8"/>
      <name val="新細明體"/>
      <family val="1"/>
      <charset val="136"/>
    </font>
    <font>
      <sz val="14"/>
      <color rgb="FFFF0000"/>
      <name val="標楷體"/>
      <family val="4"/>
      <charset val="136"/>
    </font>
    <font>
      <sz val="9"/>
      <color indexed="81"/>
      <name val="細明體"/>
      <family val="3"/>
      <charset val="136"/>
    </font>
    <font>
      <sz val="14"/>
      <color rgb="FFC00000"/>
      <name val="標楷體"/>
      <family val="4"/>
      <charset val="136"/>
    </font>
    <font>
      <b/>
      <sz val="14"/>
      <color theme="1"/>
      <name val="標楷體"/>
      <family val="4"/>
      <charset val="136"/>
    </font>
    <font>
      <b/>
      <sz val="14"/>
      <color indexed="8"/>
      <name val="標楷體"/>
      <family val="4"/>
      <charset val="136"/>
    </font>
    <font>
      <sz val="14"/>
      <name val="標楷體"/>
      <family val="4"/>
      <charset val="136"/>
    </font>
    <font>
      <sz val="14"/>
      <color theme="7" tint="-0.499984740745262"/>
      <name val="標楷體"/>
      <family val="4"/>
      <charset val="136"/>
    </font>
    <font>
      <sz val="16"/>
      <name val="標楷體"/>
      <family val="4"/>
      <charset val="136"/>
    </font>
    <font>
      <sz val="14"/>
      <color theme="4" tint="-0.249977111117893"/>
      <name val="標楷體"/>
      <family val="4"/>
      <charset val="136"/>
    </font>
    <font>
      <sz val="14"/>
      <color rgb="FF0070C0"/>
      <name val="標楷體"/>
      <family val="4"/>
      <charset val="136"/>
    </font>
    <font>
      <sz val="16"/>
      <color theme="1" tint="0.34998626667073579"/>
      <name val="標楷體"/>
      <family val="4"/>
      <charset val="136"/>
    </font>
    <font>
      <sz val="12"/>
      <color rgb="FF000000"/>
      <name val="Microsoft JhengHei"/>
      <family val="3"/>
      <charset val="136"/>
    </font>
    <font>
      <sz val="16"/>
      <color rgb="FFFF0000"/>
      <name val="Malgun Gothic"/>
      <family val="2"/>
      <charset val="129"/>
    </font>
    <font>
      <sz val="16"/>
      <color rgb="FFFF0000"/>
      <name val="Segoe UI Variable Text Semibold"/>
    </font>
    <font>
      <sz val="16"/>
      <color rgb="FFFF0000"/>
      <name val="Microsoft YaHei"/>
      <family val="2"/>
      <charset val="134"/>
    </font>
    <font>
      <u/>
      <sz val="16"/>
      <color rgb="FFFF0000"/>
      <name val="Segoe UI Semibold"/>
      <family val="2"/>
    </font>
    <font>
      <sz val="16"/>
      <color rgb="FFFF0000"/>
      <name val="Segoe UI Variable Small Semilig"/>
    </font>
    <font>
      <sz val="16"/>
      <color rgb="FF000000"/>
      <name val="細明體"/>
      <family val="3"/>
      <charset val="136"/>
    </font>
    <font>
      <b/>
      <sz val="16"/>
      <color indexed="8"/>
      <name val="新細明體"/>
      <family val="1"/>
      <charset val="136"/>
      <scheme val="major"/>
    </font>
    <font>
      <u/>
      <sz val="16"/>
      <color rgb="FFFF0000"/>
      <name val="Segoe UI Variable Display Semib"/>
    </font>
    <font>
      <sz val="16"/>
      <color rgb="FFFF0000"/>
      <name val="Microsoft Sans Serif"/>
      <family val="2"/>
    </font>
    <font>
      <b/>
      <sz val="12"/>
      <color indexed="8"/>
      <name val="Songti TC Regular"/>
    </font>
    <font>
      <sz val="16"/>
      <color rgb="FF000000"/>
      <name val="MS Gothic"/>
      <family val="3"/>
      <charset val="128"/>
    </font>
    <font>
      <sz val="16"/>
      <color rgb="FF000000"/>
      <name val="Arial"/>
      <family val="2"/>
    </font>
    <font>
      <sz val="16"/>
      <color rgb="FF000000"/>
      <name val="Songti TC Regular"/>
      <family val="3"/>
    </font>
    <font>
      <sz val="16"/>
      <color rgb="FFFF0000"/>
      <name val="Segoe UI Semibold"/>
      <family val="2"/>
    </font>
    <font>
      <sz val="16"/>
      <color indexed="8"/>
      <name val="Segoe UI Variable Small Semibol"/>
    </font>
    <font>
      <sz val="16"/>
      <color rgb="FFFF0000"/>
      <name val="Segoe UI Variable Display Semib"/>
    </font>
    <font>
      <sz val="16"/>
      <color indexed="8"/>
      <name val="Segoe UI Variable Display Semib"/>
    </font>
    <font>
      <sz val="16"/>
      <color rgb="FF000000"/>
      <name val="Microsoft JhengHei"/>
      <family val="3"/>
    </font>
    <font>
      <sz val="16"/>
      <color indexed="8"/>
      <name val="Segoe UI Variable Display Semib"/>
      <family val="3"/>
      <charset val="136"/>
    </font>
    <font>
      <u/>
      <sz val="16"/>
      <color rgb="FFFF0000"/>
      <name val="Microsoft YaHei"/>
      <family val="2"/>
      <charset val="134"/>
    </font>
    <font>
      <u/>
      <sz val="16"/>
      <color rgb="FFFF0000"/>
      <name val="Segoe UI Variable Display"/>
    </font>
    <font>
      <sz val="16"/>
      <color rgb="FF000000"/>
      <name val="Songti TC Regular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CBAA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64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ck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indexed="18"/>
      </left>
      <right style="thin">
        <color indexed="8"/>
      </right>
      <top style="thick">
        <color indexed="1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18"/>
      </top>
      <bottom style="thin">
        <color indexed="8"/>
      </bottom>
      <diagonal/>
    </border>
    <border>
      <left style="thick">
        <color indexed="1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ck">
        <color indexed="18"/>
      </right>
      <top style="thin">
        <color indexed="8"/>
      </top>
      <bottom style="thin">
        <color indexed="18"/>
      </bottom>
      <diagonal/>
    </border>
    <border>
      <left style="thin">
        <color indexed="18"/>
      </left>
      <right style="thin">
        <color indexed="8"/>
      </right>
      <top style="thin">
        <color indexed="18"/>
      </top>
      <bottom style="thin">
        <color indexed="18"/>
      </bottom>
      <diagonal/>
    </border>
    <border>
      <left style="thin">
        <color indexed="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ck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8"/>
      </bottom>
      <diagonal/>
    </border>
    <border>
      <left style="thick">
        <color indexed="18"/>
      </left>
      <right style="thin">
        <color indexed="17"/>
      </right>
      <top style="thin">
        <color indexed="18"/>
      </top>
      <bottom style="thin">
        <color indexed="18"/>
      </bottom>
      <diagonal/>
    </border>
    <border>
      <left style="thin">
        <color indexed="17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7"/>
      </right>
      <top style="thin">
        <color indexed="18"/>
      </top>
      <bottom style="thin">
        <color indexed="18"/>
      </bottom>
      <diagonal/>
    </border>
    <border>
      <left style="thin">
        <color indexed="17"/>
      </left>
      <right style="thin">
        <color indexed="17"/>
      </right>
      <top style="thin">
        <color indexed="18"/>
      </top>
      <bottom style="thin">
        <color indexed="18"/>
      </bottom>
      <diagonal/>
    </border>
    <border>
      <left style="thin">
        <color indexed="17"/>
      </left>
      <right style="thick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7"/>
      </left>
      <right/>
      <top style="thin">
        <color indexed="18"/>
      </top>
      <bottom style="thin">
        <color indexed="18"/>
      </bottom>
      <diagonal/>
    </border>
    <border>
      <left/>
      <right style="thin">
        <color indexed="17"/>
      </right>
      <top style="thin">
        <color indexed="18"/>
      </top>
      <bottom style="thin">
        <color indexed="18"/>
      </bottom>
      <diagonal/>
    </border>
    <border>
      <left style="thick">
        <color indexed="18"/>
      </left>
      <right style="thin">
        <color indexed="17"/>
      </right>
      <top style="thin">
        <color indexed="18"/>
      </top>
      <bottom/>
      <diagonal/>
    </border>
    <border>
      <left style="thin">
        <color indexed="17"/>
      </left>
      <right style="thin">
        <color indexed="17"/>
      </right>
      <top style="thin">
        <color indexed="18"/>
      </top>
      <bottom/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medium">
        <color indexed="8"/>
      </left>
      <right style="thin">
        <color indexed="17"/>
      </right>
      <top style="medium">
        <color indexed="8"/>
      </top>
      <bottom style="medium">
        <color indexed="8"/>
      </bottom>
      <diagonal/>
    </border>
    <border>
      <left style="thin">
        <color indexed="17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ck">
        <color indexed="18"/>
      </bottom>
      <diagonal/>
    </border>
    <border>
      <left/>
      <right style="thin">
        <color indexed="17"/>
      </right>
      <top style="thin">
        <color indexed="17"/>
      </top>
      <bottom style="thick">
        <color indexed="18"/>
      </bottom>
      <diagonal/>
    </border>
    <border>
      <left style="thick">
        <color indexed="18"/>
      </left>
      <right style="thick">
        <color indexed="18"/>
      </right>
      <top style="thick">
        <color indexed="18"/>
      </top>
      <bottom style="thin">
        <color indexed="8"/>
      </bottom>
      <diagonal/>
    </border>
    <border>
      <left style="thick">
        <color indexed="18"/>
      </left>
      <right style="thick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 style="thin">
        <color indexed="17"/>
      </right>
      <top style="thick">
        <color indexed="1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18"/>
      </top>
      <bottom/>
      <diagonal/>
    </border>
    <border>
      <left style="thin">
        <color indexed="8"/>
      </left>
      <right style="thick">
        <color indexed="18"/>
      </right>
      <top style="thick">
        <color indexed="18"/>
      </top>
      <bottom/>
      <diagonal/>
    </border>
    <border>
      <left style="thin">
        <color indexed="8"/>
      </left>
      <right style="thick">
        <color indexed="18"/>
      </right>
      <top/>
      <bottom style="thin">
        <color indexed="8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indexed="8"/>
      </right>
      <top style="thick">
        <color indexed="18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ck">
        <color indexed="18"/>
      </left>
      <right style="thick">
        <color indexed="1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auto="1"/>
      </bottom>
      <diagonal/>
    </border>
    <border>
      <left style="thin">
        <color indexed="8"/>
      </left>
      <right style="thin">
        <color indexed="8"/>
      </right>
      <top/>
      <bottom style="thick">
        <color indexed="1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ck">
        <color indexed="1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18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ck">
        <color indexed="18"/>
      </right>
      <top style="thin">
        <color auto="1"/>
      </top>
      <bottom style="thin">
        <color auto="1"/>
      </bottom>
      <diagonal/>
    </border>
    <border>
      <left style="thick">
        <color indexed="18"/>
      </left>
      <right style="thin">
        <color indexed="8"/>
      </right>
      <top/>
      <bottom style="thin">
        <color indexed="8"/>
      </bottom>
      <diagonal/>
    </border>
    <border>
      <left style="thick">
        <color indexed="18"/>
      </left>
      <right style="thin">
        <color indexed="8"/>
      </right>
      <top/>
      <bottom style="thin">
        <color auto="1"/>
      </bottom>
      <diagonal/>
    </border>
    <border>
      <left style="thick">
        <color indexed="1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 style="thick">
        <color indexed="18"/>
      </left>
      <right style="thin">
        <color indexed="8"/>
      </right>
      <top style="thin">
        <color auto="1"/>
      </top>
      <bottom style="thin">
        <color indexed="64"/>
      </bottom>
      <diagonal/>
    </border>
    <border>
      <left style="thin">
        <color indexed="18"/>
      </left>
      <right style="thin">
        <color indexed="8"/>
      </right>
      <top/>
      <bottom style="thin">
        <color indexed="18"/>
      </bottom>
      <diagonal/>
    </border>
    <border>
      <left style="thin">
        <color indexed="18"/>
      </left>
      <right style="thin">
        <color indexed="18"/>
      </right>
      <top/>
      <bottom style="thin">
        <color indexed="18"/>
      </bottom>
      <diagonal/>
    </border>
    <border>
      <left style="thick">
        <color indexed="18"/>
      </left>
      <right style="thin">
        <color indexed="18"/>
      </right>
      <top/>
      <bottom style="thin">
        <color indexed="18"/>
      </bottom>
      <diagonal/>
    </border>
    <border>
      <left style="thick">
        <color indexed="18"/>
      </left>
      <right style="thin">
        <color indexed="18"/>
      </right>
      <top style="thin">
        <color indexed="18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64"/>
      </bottom>
      <diagonal/>
    </border>
    <border>
      <left style="thin">
        <color indexed="18"/>
      </left>
      <right style="thick">
        <color indexed="18"/>
      </right>
      <top style="thin">
        <color indexed="18"/>
      </top>
      <bottom style="thin">
        <color indexed="64"/>
      </bottom>
      <diagonal/>
    </border>
    <border>
      <left style="thin">
        <color indexed="8"/>
      </left>
      <right style="thin">
        <color indexed="18"/>
      </right>
      <top/>
      <bottom style="thin">
        <color indexed="18"/>
      </bottom>
      <diagonal/>
    </border>
    <border>
      <left style="thick">
        <color indexed="18"/>
      </left>
      <right style="thin">
        <color indexed="64"/>
      </right>
      <top style="thin">
        <color indexed="64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8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/>
      <bottom/>
      <diagonal/>
    </border>
    <border>
      <left/>
      <right style="thin">
        <color indexed="18"/>
      </right>
      <top/>
      <bottom style="thin">
        <color indexed="18"/>
      </bottom>
      <diagonal/>
    </border>
    <border>
      <left style="thin">
        <color indexed="18"/>
      </left>
      <right style="thick">
        <color indexed="18"/>
      </right>
      <top/>
      <bottom style="thin">
        <color indexed="18"/>
      </bottom>
      <diagonal/>
    </border>
    <border>
      <left style="thin">
        <color indexed="17"/>
      </left>
      <right style="thin">
        <color indexed="18"/>
      </right>
      <top/>
      <bottom style="thin">
        <color indexed="18"/>
      </bottom>
      <diagonal/>
    </border>
    <border>
      <left style="thin">
        <color indexed="17"/>
      </left>
      <right style="thin">
        <color indexed="17"/>
      </right>
      <top/>
      <bottom style="thin">
        <color indexed="18"/>
      </bottom>
      <diagonal/>
    </border>
    <border>
      <left style="thin">
        <color indexed="18"/>
      </left>
      <right style="thin">
        <color indexed="17"/>
      </right>
      <top/>
      <bottom style="thin">
        <color indexed="18"/>
      </bottom>
      <diagonal/>
    </border>
    <border>
      <left style="thick">
        <color indexed="18"/>
      </left>
      <right style="thin">
        <color indexed="17"/>
      </right>
      <top/>
      <bottom style="thin">
        <color indexed="18"/>
      </bottom>
      <diagonal/>
    </border>
    <border>
      <left style="thick">
        <color indexed="18"/>
      </left>
      <right style="thin">
        <color indexed="17"/>
      </right>
      <top/>
      <bottom style="thin">
        <color indexed="64"/>
      </bottom>
      <diagonal/>
    </border>
    <border>
      <left style="thin">
        <color indexed="17"/>
      </left>
      <right style="thin">
        <color indexed="17"/>
      </right>
      <top/>
      <bottom style="thin">
        <color indexed="17"/>
      </bottom>
      <diagonal/>
    </border>
    <border>
      <left style="thin">
        <color indexed="17"/>
      </left>
      <right style="thin">
        <color indexed="17"/>
      </right>
      <top/>
      <bottom style="thin">
        <color indexed="64"/>
      </bottom>
      <diagonal/>
    </border>
    <border>
      <left style="thin">
        <color indexed="17"/>
      </left>
      <right style="thin">
        <color indexed="17"/>
      </right>
      <top style="thin">
        <color auto="1"/>
      </top>
      <bottom style="thin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8"/>
      </top>
      <bottom style="thin">
        <color indexed="64"/>
      </bottom>
      <diagonal/>
    </border>
    <border>
      <left style="thin">
        <color indexed="17"/>
      </left>
      <right style="thick">
        <color indexed="18"/>
      </right>
      <top style="thin">
        <color indexed="18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double">
        <color indexed="64"/>
      </right>
      <top style="thick">
        <color indexed="64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/>
      <bottom/>
      <diagonal/>
    </border>
    <border>
      <left style="thin">
        <color auto="1"/>
      </left>
      <right style="thin">
        <color auto="1"/>
      </right>
      <top style="thick">
        <color theme="1"/>
      </top>
      <bottom style="thin">
        <color auto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/>
      <top style="thin">
        <color auto="1"/>
      </top>
      <bottom style="thick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indexed="17"/>
      </left>
      <right/>
      <top/>
      <bottom/>
      <diagonal/>
    </border>
    <border>
      <left style="thin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17"/>
      </left>
      <right/>
      <top style="thin">
        <color indexed="17"/>
      </top>
      <bottom style="thin">
        <color auto="1"/>
      </bottom>
      <diagonal/>
    </border>
    <border>
      <left/>
      <right/>
      <top style="thin">
        <color indexed="17"/>
      </top>
      <bottom style="thin">
        <color auto="1"/>
      </bottom>
      <diagonal/>
    </border>
    <border>
      <left/>
      <right style="thin">
        <color indexed="17"/>
      </right>
      <top style="thin">
        <color indexed="17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18"/>
      </left>
      <right style="thin">
        <color indexed="8"/>
      </right>
      <top style="thin">
        <color auto="1"/>
      </top>
      <bottom style="thick">
        <color indexed="64"/>
      </bottom>
      <diagonal/>
    </border>
    <border>
      <left style="thick">
        <color indexed="1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ck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ck">
        <color indexed="18"/>
      </right>
      <top style="thin">
        <color auto="1"/>
      </top>
      <bottom style="thick">
        <color indexed="64"/>
      </bottom>
      <diagonal/>
    </border>
    <border>
      <left style="thin">
        <color indexed="8"/>
      </left>
      <right style="thick">
        <color indexed="18"/>
      </right>
      <top/>
      <bottom style="thin">
        <color auto="1"/>
      </bottom>
      <diagonal/>
    </border>
    <border>
      <left style="thin">
        <color indexed="18"/>
      </left>
      <right style="thin">
        <color indexed="18"/>
      </right>
      <top/>
      <bottom style="thin">
        <color indexed="18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ck">
        <color indexed="18"/>
      </left>
      <right style="thin">
        <color indexed="18"/>
      </right>
      <top/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auto="1"/>
      </top>
      <bottom style="thick">
        <color indexed="64"/>
      </bottom>
      <diagonal/>
    </border>
    <border>
      <left style="thin">
        <color indexed="18"/>
      </left>
      <right style="thin">
        <color indexed="8"/>
      </right>
      <top style="thin">
        <color auto="1"/>
      </top>
      <bottom style="thick">
        <color indexed="64"/>
      </bottom>
      <diagonal/>
    </border>
    <border>
      <left style="thin">
        <color indexed="8"/>
      </left>
      <right style="thick">
        <color indexed="18"/>
      </right>
      <top style="thin">
        <color auto="1"/>
      </top>
      <bottom style="thick">
        <color indexed="64"/>
      </bottom>
      <diagonal/>
    </border>
    <border>
      <left style="thin">
        <color indexed="18"/>
      </left>
      <right style="thick">
        <color indexed="18"/>
      </right>
      <top/>
      <bottom style="thin">
        <color indexed="18"/>
      </bottom>
      <diagonal/>
    </border>
    <border>
      <left/>
      <right style="thin">
        <color indexed="18"/>
      </right>
      <top style="thin">
        <color auto="1"/>
      </top>
      <bottom style="thick">
        <color indexed="64"/>
      </bottom>
      <diagonal/>
    </border>
    <border>
      <left style="thick">
        <color indexed="18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18"/>
      </left>
      <right style="thin">
        <color indexed="18"/>
      </right>
      <top style="thick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/>
      <bottom style="thin">
        <color indexed="64"/>
      </bottom>
      <diagonal/>
    </border>
    <border>
      <left style="thick">
        <color indexed="18"/>
      </left>
      <right style="thin">
        <color indexed="18"/>
      </right>
      <top/>
      <bottom style="thin">
        <color indexed="64"/>
      </bottom>
      <diagonal/>
    </border>
    <border>
      <left style="thin">
        <color indexed="18"/>
      </left>
      <right style="thick">
        <color indexed="18"/>
      </right>
      <top/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ck">
        <color indexed="64"/>
      </bottom>
      <diagonal/>
    </border>
    <border>
      <left style="thick">
        <color indexed="18"/>
      </left>
      <right style="thin">
        <color indexed="18"/>
      </right>
      <top style="thin">
        <color indexed="18"/>
      </top>
      <bottom style="thick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ck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64"/>
      </top>
      <bottom style="thick">
        <color indexed="64"/>
      </bottom>
      <diagonal/>
    </border>
    <border>
      <left style="thin">
        <color indexed="18"/>
      </left>
      <right style="thick">
        <color indexed="18"/>
      </right>
      <top style="thin">
        <color indexed="18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</borders>
  <cellStyleXfs count="4">
    <xf numFmtId="0" fontId="0" fillId="0" borderId="0" applyNumberFormat="0" applyFill="0" applyBorder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0" fontId="33" fillId="0" borderId="0" applyNumberFormat="0" applyFill="0" applyBorder="0" applyProtection="0">
      <alignment vertical="top" wrapText="1"/>
    </xf>
    <xf numFmtId="0" fontId="34" fillId="0" borderId="0">
      <alignment vertical="center"/>
    </xf>
  </cellStyleXfs>
  <cellXfs count="573">
    <xf numFmtId="0" fontId="0" fillId="0" borderId="0" xfId="0">
      <alignment vertical="center"/>
    </xf>
    <xf numFmtId="0" fontId="0" fillId="0" borderId="0" xfId="0" applyNumberFormat="1" applyFill="1">
      <alignment vertical="center"/>
    </xf>
    <xf numFmtId="0" fontId="0" fillId="0" borderId="0" xfId="0" applyFill="1">
      <alignment vertical="center"/>
    </xf>
    <xf numFmtId="0" fontId="6" fillId="0" borderId="0" xfId="0" applyNumberFormat="1" applyFont="1" applyFill="1">
      <alignment vertical="center"/>
    </xf>
    <xf numFmtId="0" fontId="3" fillId="0" borderId="3" xfId="0" applyNumberFormat="1" applyFont="1" applyFill="1" applyBorder="1" applyAlignment="1">
      <alignment horizontal="center" vertical="center"/>
    </xf>
    <xf numFmtId="177" fontId="5" fillId="0" borderId="3" xfId="0" applyNumberFormat="1" applyFont="1" applyFill="1" applyBorder="1" applyAlignment="1">
      <alignment horizontal="right" vertical="center"/>
    </xf>
    <xf numFmtId="0" fontId="0" fillId="0" borderId="0" xfId="0" applyNumberForma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 wrapText="1"/>
    </xf>
    <xf numFmtId="49" fontId="9" fillId="0" borderId="3" xfId="0" applyNumberFormat="1" applyFont="1" applyFill="1" applyBorder="1" applyAlignment="1">
      <alignment horizontal="center" vertical="center"/>
    </xf>
    <xf numFmtId="49" fontId="8" fillId="0" borderId="3" xfId="0" applyNumberFormat="1" applyFont="1" applyFill="1" applyBorder="1" applyAlignment="1">
      <alignment horizontal="center" vertical="center" wrapText="1"/>
    </xf>
    <xf numFmtId="9" fontId="8" fillId="0" borderId="3" xfId="0" applyNumberFormat="1" applyFont="1" applyFill="1" applyBorder="1" applyAlignment="1">
      <alignment horizontal="right" vertical="center"/>
    </xf>
    <xf numFmtId="10" fontId="9" fillId="0" borderId="3" xfId="0" applyNumberFormat="1" applyFont="1" applyFill="1" applyBorder="1" applyAlignment="1">
      <alignment horizontal="right" vertical="center"/>
    </xf>
    <xf numFmtId="9" fontId="9" fillId="0" borderId="3" xfId="0" applyNumberFormat="1" applyFont="1" applyFill="1" applyBorder="1" applyAlignment="1">
      <alignment horizontal="right" vertical="center"/>
    </xf>
    <xf numFmtId="0" fontId="9" fillId="0" borderId="3" xfId="0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0" fillId="0" borderId="0" xfId="0" applyNumberFormat="1" applyFill="1" applyBorder="1" applyAlignment="1">
      <alignment horizontal="right" vertical="center"/>
    </xf>
    <xf numFmtId="0" fontId="0" fillId="0" borderId="0" xfId="0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49" fontId="0" fillId="0" borderId="5" xfId="0" applyNumberFormat="1" applyFill="1" applyBorder="1">
      <alignment vertical="center"/>
    </xf>
    <xf numFmtId="49" fontId="0" fillId="0" borderId="6" xfId="0" applyNumberFormat="1" applyFill="1" applyBorder="1" applyAlignment="1">
      <alignment horizontal="center" vertical="center"/>
    </xf>
    <xf numFmtId="49" fontId="15" fillId="0" borderId="31" xfId="0" applyNumberFormat="1" applyFont="1" applyFill="1" applyBorder="1" applyAlignment="1">
      <alignment horizontal="center" vertical="center"/>
    </xf>
    <xf numFmtId="0" fontId="0" fillId="0" borderId="7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176" fontId="15" fillId="0" borderId="32" xfId="0" applyNumberFormat="1" applyFont="1" applyFill="1" applyBorder="1">
      <alignment vertical="center"/>
    </xf>
    <xf numFmtId="0" fontId="0" fillId="0" borderId="33" xfId="0" applyFill="1" applyBorder="1">
      <alignment vertical="center"/>
    </xf>
    <xf numFmtId="176" fontId="0" fillId="0" borderId="33" xfId="0" applyNumberFormat="1" applyFill="1" applyBorder="1">
      <alignment vertical="center"/>
    </xf>
    <xf numFmtId="176" fontId="0" fillId="0" borderId="28" xfId="0" applyNumberFormat="1" applyFill="1" applyBorder="1" applyAlignment="1">
      <alignment horizontal="center" vertical="center"/>
    </xf>
    <xf numFmtId="176" fontId="15" fillId="0" borderId="28" xfId="0" applyNumberFormat="1" applyFont="1" applyFill="1" applyBorder="1" applyAlignment="1">
      <alignment horizontal="center" vertical="center"/>
    </xf>
    <xf numFmtId="176" fontId="0" fillId="0" borderId="34" xfId="0" applyNumberFormat="1" applyFill="1" applyBorder="1">
      <alignment vertical="center"/>
    </xf>
    <xf numFmtId="49" fontId="4" fillId="0" borderId="6" xfId="0" applyNumberFormat="1" applyFont="1" applyFill="1" applyBorder="1" applyAlignment="1">
      <alignment horizontal="center" vertical="center" shrinkToFit="1"/>
    </xf>
    <xf numFmtId="49" fontId="9" fillId="2" borderId="3" xfId="0" applyNumberFormat="1" applyFont="1" applyFill="1" applyBorder="1" applyAlignment="1">
      <alignment horizontal="center" vertical="center" wrapText="1"/>
    </xf>
    <xf numFmtId="49" fontId="8" fillId="2" borderId="3" xfId="0" applyNumberFormat="1" applyFont="1" applyFill="1" applyBorder="1" applyAlignment="1">
      <alignment horizontal="center" vertical="center" wrapText="1"/>
    </xf>
    <xf numFmtId="178" fontId="8" fillId="2" borderId="3" xfId="0" applyNumberFormat="1" applyFont="1" applyFill="1" applyBorder="1" applyAlignment="1">
      <alignment horizontal="right" vertical="center"/>
    </xf>
    <xf numFmtId="178" fontId="9" fillId="2" borderId="3" xfId="0" applyNumberFormat="1" applyFont="1" applyFill="1" applyBorder="1" applyAlignment="1">
      <alignment horizontal="right" vertical="center"/>
    </xf>
    <xf numFmtId="179" fontId="8" fillId="0" borderId="3" xfId="0" applyNumberFormat="1" applyFont="1" applyFill="1" applyBorder="1" applyAlignment="1">
      <alignment horizontal="right" vertical="center"/>
    </xf>
    <xf numFmtId="179" fontId="9" fillId="0" borderId="3" xfId="0" applyNumberFormat="1" applyFont="1" applyFill="1" applyBorder="1" applyAlignment="1">
      <alignment horizontal="right" vertical="center"/>
    </xf>
    <xf numFmtId="178" fontId="8" fillId="0" borderId="3" xfId="0" applyNumberFormat="1" applyFont="1" applyFill="1" applyBorder="1" applyAlignment="1">
      <alignment horizontal="right" vertical="center"/>
    </xf>
    <xf numFmtId="176" fontId="3" fillId="0" borderId="3" xfId="0" applyNumberFormat="1" applyFont="1" applyFill="1" applyBorder="1" applyAlignment="1">
      <alignment horizontal="right" vertical="center"/>
    </xf>
    <xf numFmtId="0" fontId="4" fillId="0" borderId="36" xfId="0" applyFont="1" applyFill="1" applyBorder="1" applyAlignment="1">
      <alignment horizontal="center" vertical="center"/>
    </xf>
    <xf numFmtId="49" fontId="18" fillId="0" borderId="3" xfId="0" applyNumberFormat="1" applyFont="1" applyFill="1" applyBorder="1" applyAlignment="1">
      <alignment horizontal="center" vertical="center"/>
    </xf>
    <xf numFmtId="49" fontId="18" fillId="0" borderId="3" xfId="0" applyNumberFormat="1" applyFont="1" applyFill="1" applyBorder="1" applyAlignment="1">
      <alignment horizontal="center" vertical="center" shrinkToFit="1"/>
    </xf>
    <xf numFmtId="0" fontId="18" fillId="0" borderId="3" xfId="0" applyNumberFormat="1" applyFont="1" applyFill="1" applyBorder="1">
      <alignment vertical="center"/>
    </xf>
    <xf numFmtId="0" fontId="18" fillId="0" borderId="0" xfId="0" applyNumberFormat="1" applyFont="1" applyFill="1" applyBorder="1">
      <alignment vertical="center"/>
    </xf>
    <xf numFmtId="0" fontId="18" fillId="0" borderId="3" xfId="0" applyNumberFormat="1" applyFont="1" applyFill="1" applyBorder="1" applyAlignment="1">
      <alignment horizontal="center" vertical="center"/>
    </xf>
    <xf numFmtId="3" fontId="18" fillId="0" borderId="3" xfId="0" applyNumberFormat="1" applyFont="1" applyFill="1" applyBorder="1">
      <alignment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0" xfId="0" applyFont="1" applyFill="1" applyBorder="1">
      <alignment vertical="center"/>
    </xf>
    <xf numFmtId="0" fontId="18" fillId="0" borderId="0" xfId="0" applyNumberFormat="1" applyFont="1" applyFill="1" applyBorder="1" applyAlignment="1">
      <alignment vertical="center" shrinkToFit="1"/>
    </xf>
    <xf numFmtId="49" fontId="18" fillId="0" borderId="4" xfId="0" applyNumberFormat="1" applyFont="1" applyFill="1" applyBorder="1" applyAlignment="1">
      <alignment horizontal="center" vertical="center"/>
    </xf>
    <xf numFmtId="0" fontId="18" fillId="0" borderId="0" xfId="0" applyNumberFormat="1" applyFont="1" applyFill="1" applyBorder="1" applyAlignment="1">
      <alignment horizontal="right" vertical="center" shrinkToFit="1"/>
    </xf>
    <xf numFmtId="3" fontId="18" fillId="0" borderId="3" xfId="0" applyNumberFormat="1" applyFont="1" applyFill="1" applyBorder="1" applyAlignment="1">
      <alignment horizontal="right" vertical="center" shrinkToFit="1"/>
    </xf>
    <xf numFmtId="0" fontId="18" fillId="0" borderId="3" xfId="0" applyNumberFormat="1" applyFont="1" applyFill="1" applyBorder="1" applyAlignment="1">
      <alignment horizontal="right" vertical="center"/>
    </xf>
    <xf numFmtId="49" fontId="3" fillId="0" borderId="3" xfId="0" applyNumberFormat="1" applyFont="1" applyFill="1" applyBorder="1">
      <alignment vertical="center"/>
    </xf>
    <xf numFmtId="49" fontId="3" fillId="0" borderId="3" xfId="0" applyNumberFormat="1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vertical="center" shrinkToFit="1"/>
    </xf>
    <xf numFmtId="0" fontId="4" fillId="0" borderId="8" xfId="0" applyFont="1" applyFill="1" applyBorder="1" applyAlignment="1">
      <alignment horizontal="center" vertical="center"/>
    </xf>
    <xf numFmtId="49" fontId="10" fillId="0" borderId="8" xfId="0" applyNumberFormat="1" applyFont="1" applyFill="1" applyBorder="1">
      <alignment vertical="center"/>
    </xf>
    <xf numFmtId="0" fontId="10" fillId="0" borderId="8" xfId="0" applyFont="1" applyFill="1" applyBorder="1">
      <alignment vertical="center"/>
    </xf>
    <xf numFmtId="0" fontId="10" fillId="0" borderId="9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0" fillId="0" borderId="1" xfId="0" applyNumberFormat="1" applyFont="1" applyFill="1" applyBorder="1">
      <alignment vertical="center"/>
    </xf>
    <xf numFmtId="0" fontId="10" fillId="0" borderId="10" xfId="0" applyFont="1" applyFill="1" applyBorder="1">
      <alignment vertical="center"/>
    </xf>
    <xf numFmtId="49" fontId="0" fillId="0" borderId="1" xfId="0" applyNumberFormat="1" applyFill="1" applyBorder="1">
      <alignment vertical="center"/>
    </xf>
    <xf numFmtId="0" fontId="10" fillId="0" borderId="2" xfId="0" applyFont="1" applyFill="1" applyBorder="1">
      <alignment vertical="center"/>
    </xf>
    <xf numFmtId="0" fontId="10" fillId="0" borderId="11" xfId="0" applyFont="1" applyFill="1" applyBorder="1" applyAlignment="1">
      <alignment horizontal="center" vertical="center"/>
    </xf>
    <xf numFmtId="0" fontId="10" fillId="0" borderId="13" xfId="0" applyFont="1" applyFill="1" applyBorder="1">
      <alignment vertical="center"/>
    </xf>
    <xf numFmtId="0" fontId="10" fillId="0" borderId="14" xfId="0" applyFont="1" applyFill="1" applyBorder="1">
      <alignment vertical="center"/>
    </xf>
    <xf numFmtId="0" fontId="10" fillId="0" borderId="15" xfId="0" applyFont="1" applyFill="1" applyBorder="1">
      <alignment vertical="center"/>
    </xf>
    <xf numFmtId="0" fontId="11" fillId="0" borderId="1" xfId="0" applyFont="1" applyFill="1" applyBorder="1">
      <alignment vertical="center"/>
    </xf>
    <xf numFmtId="0" fontId="11" fillId="0" borderId="1" xfId="0" applyFont="1" applyFill="1" applyBorder="1" applyAlignment="1">
      <alignment vertical="center" shrinkToFit="1"/>
    </xf>
    <xf numFmtId="0" fontId="10" fillId="0" borderId="16" xfId="0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 shrinkToFit="1"/>
    </xf>
    <xf numFmtId="0" fontId="10" fillId="0" borderId="20" xfId="0" applyFont="1" applyFill="1" applyBorder="1">
      <alignment vertical="center"/>
    </xf>
    <xf numFmtId="0" fontId="10" fillId="0" borderId="21" xfId="0" applyFont="1" applyFill="1" applyBorder="1" applyAlignment="1">
      <alignment horizontal="center" vertical="center"/>
    </xf>
    <xf numFmtId="0" fontId="10" fillId="0" borderId="19" xfId="0" applyFont="1" applyFill="1" applyBorder="1" applyAlignment="1">
      <alignment horizontal="center" vertical="center"/>
    </xf>
    <xf numFmtId="178" fontId="11" fillId="0" borderId="19" xfId="0" applyNumberFormat="1" applyFont="1" applyFill="1" applyBorder="1">
      <alignment vertical="center"/>
    </xf>
    <xf numFmtId="0" fontId="10" fillId="0" borderId="23" xfId="0" applyFont="1" applyFill="1" applyBorder="1" applyAlignment="1">
      <alignment horizontal="center" vertical="center"/>
    </xf>
    <xf numFmtId="0" fontId="10" fillId="0" borderId="24" xfId="0" applyFont="1" applyFill="1" applyBorder="1" applyAlignment="1">
      <alignment horizontal="center" vertical="center"/>
    </xf>
    <xf numFmtId="0" fontId="3" fillId="0" borderId="3" xfId="0" applyFont="1" applyFill="1" applyBorder="1">
      <alignment vertical="center"/>
    </xf>
    <xf numFmtId="0" fontId="10" fillId="0" borderId="25" xfId="0" applyFont="1" applyFill="1" applyBorder="1" applyAlignment="1">
      <alignment horizontal="center" vertical="center"/>
    </xf>
    <xf numFmtId="178" fontId="10" fillId="0" borderId="25" xfId="0" applyNumberFormat="1" applyFont="1" applyFill="1" applyBorder="1">
      <alignment vertical="center"/>
    </xf>
    <xf numFmtId="0" fontId="10" fillId="0" borderId="25" xfId="0" applyFont="1" applyFill="1" applyBorder="1">
      <alignment vertical="center"/>
    </xf>
    <xf numFmtId="49" fontId="10" fillId="0" borderId="37" xfId="0" applyNumberFormat="1" applyFont="1" applyFill="1" applyBorder="1" applyAlignment="1">
      <alignment horizontal="center" vertical="center"/>
    </xf>
    <xf numFmtId="49" fontId="13" fillId="0" borderId="37" xfId="0" applyNumberFormat="1" applyFont="1" applyFill="1" applyBorder="1" applyAlignment="1">
      <alignment horizontal="center" vertical="center"/>
    </xf>
    <xf numFmtId="49" fontId="10" fillId="0" borderId="38" xfId="0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40" xfId="0" applyFont="1" applyFill="1" applyBorder="1">
      <alignment vertical="center"/>
    </xf>
    <xf numFmtId="49" fontId="10" fillId="0" borderId="41" xfId="0" applyNumberFormat="1" applyFont="1" applyFill="1" applyBorder="1" applyAlignment="1">
      <alignment horizontal="center" vertical="center"/>
    </xf>
    <xf numFmtId="0" fontId="10" fillId="0" borderId="42" xfId="0" applyFont="1" applyFill="1" applyBorder="1" applyAlignment="1">
      <alignment horizontal="center" vertical="center"/>
    </xf>
    <xf numFmtId="0" fontId="10" fillId="0" borderId="43" xfId="0" applyFont="1" applyFill="1" applyBorder="1" applyAlignment="1">
      <alignment horizontal="center" vertical="center"/>
    </xf>
    <xf numFmtId="0" fontId="10" fillId="0" borderId="44" xfId="0" applyFont="1" applyFill="1" applyBorder="1" applyAlignment="1">
      <alignment horizontal="center" vertical="center"/>
    </xf>
    <xf numFmtId="0" fontId="10" fillId="0" borderId="45" xfId="0" applyFont="1" applyFill="1" applyBorder="1">
      <alignment vertical="center"/>
    </xf>
    <xf numFmtId="0" fontId="21" fillId="0" borderId="0" xfId="0" applyNumberFormat="1" applyFont="1" applyFill="1">
      <alignment vertical="center"/>
    </xf>
    <xf numFmtId="49" fontId="22" fillId="0" borderId="37" xfId="0" applyNumberFormat="1" applyFont="1" applyFill="1" applyBorder="1" applyAlignment="1">
      <alignment horizontal="center" vertical="center"/>
    </xf>
    <xf numFmtId="3" fontId="23" fillId="0" borderId="3" xfId="0" applyNumberFormat="1" applyFont="1" applyFill="1" applyBorder="1" applyAlignment="1">
      <alignment horizontal="center" vertical="center"/>
    </xf>
    <xf numFmtId="3" fontId="23" fillId="0" borderId="36" xfId="0" applyNumberFormat="1" applyFont="1" applyFill="1" applyBorder="1" applyAlignment="1">
      <alignment horizontal="center" vertical="center"/>
    </xf>
    <xf numFmtId="3" fontId="23" fillId="0" borderId="1" xfId="0" applyNumberFormat="1" applyFont="1" applyFill="1" applyBorder="1" applyAlignment="1">
      <alignment horizontal="center" vertical="center"/>
    </xf>
    <xf numFmtId="3" fontId="23" fillId="0" borderId="19" xfId="0" applyNumberFormat="1" applyFont="1" applyFill="1" applyBorder="1" applyAlignment="1">
      <alignment horizontal="center" vertical="center"/>
    </xf>
    <xf numFmtId="49" fontId="23" fillId="0" borderId="25" xfId="0" applyNumberFormat="1" applyFont="1" applyFill="1" applyBorder="1" applyAlignment="1">
      <alignment horizontal="center" vertical="center"/>
    </xf>
    <xf numFmtId="0" fontId="24" fillId="0" borderId="0" xfId="0" applyNumberFormat="1" applyFont="1" applyFill="1">
      <alignment vertical="center"/>
    </xf>
    <xf numFmtId="177" fontId="20" fillId="0" borderId="3" xfId="0" applyNumberFormat="1" applyFont="1" applyFill="1" applyBorder="1" applyAlignment="1">
      <alignment horizontal="center" vertical="center"/>
    </xf>
    <xf numFmtId="177" fontId="20" fillId="0" borderId="44" xfId="0" applyNumberFormat="1" applyFont="1" applyFill="1" applyBorder="1" applyAlignment="1">
      <alignment horizontal="center" vertical="center"/>
    </xf>
    <xf numFmtId="177" fontId="20" fillId="0" borderId="36" xfId="0" applyNumberFormat="1" applyFont="1" applyFill="1" applyBorder="1" applyAlignment="1">
      <alignment horizontal="center" vertical="center"/>
    </xf>
    <xf numFmtId="177" fontId="20" fillId="0" borderId="1" xfId="0" applyNumberFormat="1" applyFont="1" applyFill="1" applyBorder="1" applyAlignment="1">
      <alignment horizontal="center" vertical="center"/>
    </xf>
    <xf numFmtId="177" fontId="20" fillId="0" borderId="12" xfId="0" applyNumberFormat="1" applyFont="1" applyFill="1" applyBorder="1" applyAlignment="1">
      <alignment horizontal="center" vertical="center"/>
    </xf>
    <xf numFmtId="177" fontId="20" fillId="0" borderId="18" xfId="0" applyNumberFormat="1" applyFont="1" applyFill="1" applyBorder="1" applyAlignment="1">
      <alignment horizontal="center" vertical="center"/>
    </xf>
    <xf numFmtId="177" fontId="20" fillId="0" borderId="22" xfId="0" applyNumberFormat="1" applyFont="1" applyFill="1" applyBorder="1" applyAlignment="1">
      <alignment horizontal="center" vertical="center"/>
    </xf>
    <xf numFmtId="177" fontId="20" fillId="0" borderId="19" xfId="0" applyNumberFormat="1" applyFont="1" applyFill="1" applyBorder="1" applyAlignment="1">
      <alignment horizontal="center" vertical="center"/>
    </xf>
    <xf numFmtId="177" fontId="20" fillId="0" borderId="25" xfId="0" applyNumberFormat="1" applyFont="1" applyFill="1" applyBorder="1" applyAlignment="1">
      <alignment horizontal="center" vertical="center"/>
    </xf>
    <xf numFmtId="3" fontId="22" fillId="0" borderId="3" xfId="0" applyNumberFormat="1" applyFont="1" applyFill="1" applyBorder="1" applyAlignment="1">
      <alignment horizontal="center" vertical="center"/>
    </xf>
    <xf numFmtId="3" fontId="19" fillId="0" borderId="44" xfId="0" applyNumberFormat="1" applyFont="1" applyFill="1" applyBorder="1" applyAlignment="1">
      <alignment horizontal="center" vertical="center"/>
    </xf>
    <xf numFmtId="3" fontId="22" fillId="0" borderId="1" xfId="0" applyNumberFormat="1" applyFont="1" applyFill="1" applyBorder="1" applyAlignment="1">
      <alignment horizontal="center" vertical="center"/>
    </xf>
    <xf numFmtId="3" fontId="19" fillId="0" borderId="1" xfId="0" applyNumberFormat="1" applyFont="1" applyFill="1" applyBorder="1" applyAlignment="1">
      <alignment horizontal="center" vertical="center"/>
    </xf>
    <xf numFmtId="3" fontId="19" fillId="0" borderId="19" xfId="0" applyNumberFormat="1" applyFont="1" applyFill="1" applyBorder="1" applyAlignment="1">
      <alignment horizontal="center" vertical="center"/>
    </xf>
    <xf numFmtId="3" fontId="19" fillId="0" borderId="25" xfId="0" applyNumberFormat="1" applyFont="1" applyFill="1" applyBorder="1" applyAlignment="1">
      <alignment horizontal="center" vertical="center"/>
    </xf>
    <xf numFmtId="176" fontId="0" fillId="0" borderId="47" xfId="0" applyNumberFormat="1" applyFill="1" applyBorder="1">
      <alignment vertical="center"/>
    </xf>
    <xf numFmtId="176" fontId="0" fillId="0" borderId="35" xfId="0" applyNumberFormat="1" applyFill="1" applyBorder="1">
      <alignment vertical="center"/>
    </xf>
    <xf numFmtId="176" fontId="0" fillId="0" borderId="36" xfId="0" applyNumberFormat="1" applyFill="1" applyBorder="1">
      <alignment vertical="center"/>
    </xf>
    <xf numFmtId="180" fontId="0" fillId="0" borderId="3" xfId="0" applyNumberFormat="1" applyFill="1" applyBorder="1">
      <alignment vertical="center"/>
    </xf>
    <xf numFmtId="0" fontId="4" fillId="0" borderId="44" xfId="0" applyNumberFormat="1" applyFont="1" applyFill="1" applyBorder="1" applyAlignment="1">
      <alignment horizontal="center" vertical="center"/>
    </xf>
    <xf numFmtId="176" fontId="15" fillId="0" borderId="48" xfId="0" applyNumberFormat="1" applyFont="1" applyFill="1" applyBorder="1">
      <alignment vertical="center"/>
    </xf>
    <xf numFmtId="0" fontId="4" fillId="0" borderId="49" xfId="0" applyFont="1" applyFill="1" applyBorder="1" applyAlignment="1">
      <alignment horizontal="center" vertical="center"/>
    </xf>
    <xf numFmtId="176" fontId="0" fillId="0" borderId="50" xfId="0" applyNumberFormat="1" applyFill="1" applyBorder="1">
      <alignment vertical="center"/>
    </xf>
    <xf numFmtId="180" fontId="0" fillId="0" borderId="50" xfId="0" applyNumberFormat="1" applyFill="1" applyBorder="1">
      <alignment vertical="center"/>
    </xf>
    <xf numFmtId="0" fontId="4" fillId="0" borderId="51" xfId="0" applyFont="1" applyFill="1" applyBorder="1" applyAlignment="1">
      <alignment horizontal="center" vertical="center"/>
    </xf>
    <xf numFmtId="176" fontId="0" fillId="0" borderId="51" xfId="0" applyNumberFormat="1" applyFill="1" applyBorder="1">
      <alignment vertical="center"/>
    </xf>
    <xf numFmtId="180" fontId="0" fillId="0" borderId="51" xfId="0" applyNumberFormat="1" applyFill="1" applyBorder="1">
      <alignment vertical="center"/>
    </xf>
    <xf numFmtId="176" fontId="0" fillId="0" borderId="52" xfId="0" applyNumberFormat="1" applyFill="1" applyBorder="1">
      <alignment vertical="center"/>
    </xf>
    <xf numFmtId="3" fontId="19" fillId="0" borderId="36" xfId="0" applyNumberFormat="1" applyFont="1" applyFill="1" applyBorder="1" applyAlignment="1">
      <alignment horizontal="center" vertical="center"/>
    </xf>
    <xf numFmtId="3" fontId="23" fillId="0" borderId="54" xfId="0" applyNumberFormat="1" applyFont="1" applyFill="1" applyBorder="1" applyAlignment="1">
      <alignment horizontal="center" vertical="center"/>
    </xf>
    <xf numFmtId="3" fontId="19" fillId="0" borderId="54" xfId="0" applyNumberFormat="1" applyFont="1" applyFill="1" applyBorder="1" applyAlignment="1">
      <alignment horizontal="center" vertical="center"/>
    </xf>
    <xf numFmtId="177" fontId="20" fillId="0" borderId="51" xfId="0" applyNumberFormat="1" applyFont="1" applyFill="1" applyBorder="1" applyAlignment="1">
      <alignment horizontal="center" vertical="center"/>
    </xf>
    <xf numFmtId="3" fontId="23" fillId="0" borderId="51" xfId="0" applyNumberFormat="1" applyFont="1" applyFill="1" applyBorder="1" applyAlignment="1">
      <alignment horizontal="center" vertical="center"/>
    </xf>
    <xf numFmtId="3" fontId="19" fillId="0" borderId="51" xfId="0" applyNumberFormat="1" applyFont="1" applyFill="1" applyBorder="1" applyAlignment="1">
      <alignment horizontal="center" vertical="center"/>
    </xf>
    <xf numFmtId="49" fontId="10" fillId="0" borderId="53" xfId="0" applyNumberFormat="1" applyFont="1" applyFill="1" applyBorder="1">
      <alignment vertical="center"/>
    </xf>
    <xf numFmtId="0" fontId="10" fillId="0" borderId="56" xfId="0" applyFont="1" applyFill="1" applyBorder="1">
      <alignment vertical="center"/>
    </xf>
    <xf numFmtId="177" fontId="20" fillId="0" borderId="57" xfId="0" applyNumberFormat="1" applyFont="1" applyFill="1" applyBorder="1" applyAlignment="1">
      <alignment horizontal="center" vertical="center"/>
    </xf>
    <xf numFmtId="3" fontId="23" fillId="0" borderId="57" xfId="0" applyNumberFormat="1" applyFont="1" applyFill="1" applyBorder="1" applyAlignment="1">
      <alignment horizontal="center" vertical="center"/>
    </xf>
    <xf numFmtId="0" fontId="10" fillId="0" borderId="59" xfId="0" applyNumberFormat="1" applyFont="1" applyFill="1" applyBorder="1" applyAlignment="1">
      <alignment horizontal="center" vertical="center"/>
    </xf>
    <xf numFmtId="0" fontId="10" fillId="0" borderId="36" xfId="0" applyNumberFormat="1" applyFont="1" applyFill="1" applyBorder="1" applyAlignment="1">
      <alignment horizontal="center" vertical="center"/>
    </xf>
    <xf numFmtId="0" fontId="10" fillId="0" borderId="39" xfId="0" applyFont="1" applyFill="1" applyBorder="1">
      <alignment vertical="center"/>
    </xf>
    <xf numFmtId="49" fontId="10" fillId="0" borderId="36" xfId="0" applyNumberFormat="1" applyFont="1" applyFill="1" applyBorder="1">
      <alignment vertical="center"/>
    </xf>
    <xf numFmtId="0" fontId="10" fillId="0" borderId="60" xfId="0" applyNumberFormat="1" applyFont="1" applyFill="1" applyBorder="1" applyAlignment="1">
      <alignment horizontal="center" vertical="center"/>
    </xf>
    <xf numFmtId="0" fontId="10" fillId="0" borderId="52" xfId="0" applyNumberFormat="1" applyFont="1" applyFill="1" applyBorder="1" applyAlignment="1">
      <alignment horizontal="center" vertical="center"/>
    </xf>
    <xf numFmtId="3" fontId="26" fillId="0" borderId="51" xfId="0" applyNumberFormat="1" applyFont="1" applyFill="1" applyBorder="1" applyAlignment="1">
      <alignment horizontal="center" vertical="center"/>
    </xf>
    <xf numFmtId="0" fontId="10" fillId="0" borderId="55" xfId="0" applyFont="1" applyFill="1" applyBorder="1">
      <alignment vertical="center"/>
    </xf>
    <xf numFmtId="0" fontId="10" fillId="0" borderId="61" xfId="0" applyNumberFormat="1" applyFont="1" applyFill="1" applyBorder="1" applyAlignment="1">
      <alignment horizontal="center" vertical="center"/>
    </xf>
    <xf numFmtId="0" fontId="10" fillId="0" borderId="51" xfId="0" applyNumberFormat="1" applyFont="1" applyFill="1" applyBorder="1" applyAlignment="1">
      <alignment horizontal="center" vertical="center"/>
    </xf>
    <xf numFmtId="0" fontId="10" fillId="0" borderId="53" xfId="0" applyFont="1" applyFill="1" applyBorder="1">
      <alignment vertical="center"/>
    </xf>
    <xf numFmtId="49" fontId="10" fillId="0" borderId="57" xfId="0" applyNumberFormat="1" applyFont="1" applyFill="1" applyBorder="1">
      <alignment vertical="center"/>
    </xf>
    <xf numFmtId="176" fontId="3" fillId="0" borderId="3" xfId="0" applyNumberFormat="1" applyFont="1" applyFill="1" applyBorder="1" applyAlignment="1">
      <alignment horizontal="right" vertical="center" shrinkToFit="1"/>
    </xf>
    <xf numFmtId="49" fontId="11" fillId="0" borderId="3" xfId="0" applyNumberFormat="1" applyFont="1" applyFill="1" applyBorder="1" applyAlignment="1">
      <alignment horizontal="center" vertical="center"/>
    </xf>
    <xf numFmtId="49" fontId="11" fillId="0" borderId="0" xfId="0" applyNumberFormat="1" applyFont="1" applyFill="1" applyBorder="1" applyAlignment="1">
      <alignment horizontal="center" vertical="center"/>
    </xf>
    <xf numFmtId="38" fontId="27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179" fontId="28" fillId="0" borderId="3" xfId="0" applyNumberFormat="1" applyFont="1" applyFill="1" applyBorder="1" applyAlignment="1">
      <alignment horizontal="right" vertical="center"/>
    </xf>
    <xf numFmtId="9" fontId="29" fillId="0" borderId="3" xfId="0" applyNumberFormat="1" applyFont="1" applyFill="1" applyBorder="1" applyAlignment="1">
      <alignment horizontal="right" vertical="center"/>
    </xf>
    <xf numFmtId="178" fontId="29" fillId="2" borderId="3" xfId="0" applyNumberFormat="1" applyFont="1" applyFill="1" applyBorder="1" applyAlignment="1">
      <alignment horizontal="right" vertical="center"/>
    </xf>
    <xf numFmtId="49" fontId="3" fillId="2" borderId="3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/>
    </xf>
    <xf numFmtId="49" fontId="18" fillId="0" borderId="62" xfId="0" applyNumberFormat="1" applyFont="1" applyFill="1" applyBorder="1" applyAlignment="1">
      <alignment horizontal="center" vertical="center"/>
    </xf>
    <xf numFmtId="0" fontId="3" fillId="0" borderId="62" xfId="0" applyNumberFormat="1" applyFont="1" applyFill="1" applyBorder="1" applyAlignment="1">
      <alignment horizontal="center" vertical="center"/>
    </xf>
    <xf numFmtId="176" fontId="3" fillId="0" borderId="62" xfId="0" applyNumberFormat="1" applyFont="1" applyFill="1" applyBorder="1" applyAlignment="1">
      <alignment horizontal="right" vertical="center"/>
    </xf>
    <xf numFmtId="177" fontId="5" fillId="0" borderId="62" xfId="0" applyNumberFormat="1" applyFont="1" applyFill="1" applyBorder="1" applyAlignment="1">
      <alignment horizontal="right" vertical="center"/>
    </xf>
    <xf numFmtId="0" fontId="18" fillId="0" borderId="0" xfId="0" applyNumberFormat="1" applyFont="1" applyFill="1" applyBorder="1" applyAlignment="1">
      <alignment horizontal="center" vertical="center"/>
    </xf>
    <xf numFmtId="0" fontId="18" fillId="0" borderId="62" xfId="0" applyNumberFormat="1" applyFont="1" applyFill="1" applyBorder="1" applyAlignment="1">
      <alignment horizontal="center" vertical="center"/>
    </xf>
    <xf numFmtId="49" fontId="3" fillId="0" borderId="62" xfId="0" applyNumberFormat="1" applyFont="1" applyFill="1" applyBorder="1">
      <alignment vertical="center"/>
    </xf>
    <xf numFmtId="0" fontId="18" fillId="3" borderId="62" xfId="0" applyNumberFormat="1" applyFont="1" applyFill="1" applyBorder="1" applyAlignment="1">
      <alignment horizontal="center" vertical="center"/>
    </xf>
    <xf numFmtId="3" fontId="18" fillId="0" borderId="0" xfId="0" applyNumberFormat="1" applyFont="1" applyFill="1" applyBorder="1" applyAlignment="1">
      <alignment vertical="center" shrinkToFit="1"/>
    </xf>
    <xf numFmtId="0" fontId="25" fillId="0" borderId="62" xfId="0" applyNumberFormat="1" applyFont="1" applyFill="1" applyBorder="1" applyAlignment="1">
      <alignment horizontal="center" vertical="center"/>
    </xf>
    <xf numFmtId="49" fontId="3" fillId="0" borderId="62" xfId="0" applyNumberFormat="1" applyFont="1" applyFill="1" applyBorder="1" applyAlignment="1">
      <alignment vertical="center" shrinkToFit="1"/>
    </xf>
    <xf numFmtId="49" fontId="3" fillId="0" borderId="44" xfId="0" applyNumberFormat="1" applyFont="1" applyFill="1" applyBorder="1" applyAlignment="1">
      <alignment vertical="center" shrinkToFit="1"/>
    </xf>
    <xf numFmtId="176" fontId="3" fillId="0" borderId="44" xfId="0" applyNumberFormat="1" applyFont="1" applyFill="1" applyBorder="1" applyAlignment="1">
      <alignment horizontal="right" vertical="center"/>
    </xf>
    <xf numFmtId="177" fontId="5" fillId="0" borderId="44" xfId="0" applyNumberFormat="1" applyFont="1" applyFill="1" applyBorder="1" applyAlignment="1">
      <alignment horizontal="right" vertical="center"/>
    </xf>
    <xf numFmtId="49" fontId="3" fillId="0" borderId="46" xfId="0" applyNumberFormat="1" applyFont="1" applyFill="1" applyBorder="1" applyAlignment="1">
      <alignment vertical="center" shrinkToFit="1"/>
    </xf>
    <xf numFmtId="0" fontId="3" fillId="0" borderId="44" xfId="0" applyNumberFormat="1" applyFont="1" applyFill="1" applyBorder="1" applyAlignment="1">
      <alignment horizontal="center" vertical="center"/>
    </xf>
    <xf numFmtId="49" fontId="3" fillId="0" borderId="44" xfId="0" applyNumberFormat="1" applyFont="1" applyFill="1" applyBorder="1">
      <alignment vertical="center"/>
    </xf>
    <xf numFmtId="0" fontId="25" fillId="0" borderId="62" xfId="0" applyFont="1" applyFill="1" applyBorder="1" applyAlignment="1">
      <alignment horizontal="center" vertical="center"/>
    </xf>
    <xf numFmtId="3" fontId="32" fillId="0" borderId="62" xfId="0" applyNumberFormat="1" applyFont="1" applyFill="1" applyBorder="1" applyAlignment="1">
      <alignment horizontal="right" vertical="center"/>
    </xf>
    <xf numFmtId="3" fontId="32" fillId="0" borderId="3" xfId="0" applyNumberFormat="1" applyFont="1" applyFill="1" applyBorder="1" applyAlignment="1">
      <alignment horizontal="right" vertical="center"/>
    </xf>
    <xf numFmtId="176" fontId="32" fillId="0" borderId="3" xfId="0" applyNumberFormat="1" applyFont="1" applyFill="1" applyBorder="1" applyAlignment="1">
      <alignment horizontal="center" vertical="center" shrinkToFit="1"/>
    </xf>
    <xf numFmtId="176" fontId="32" fillId="0" borderId="62" xfId="0" applyNumberFormat="1" applyFont="1" applyFill="1" applyBorder="1" applyAlignment="1">
      <alignment horizontal="center" vertical="center" shrinkToFit="1"/>
    </xf>
    <xf numFmtId="182" fontId="35" fillId="0" borderId="3" xfId="0" applyNumberFormat="1" applyFont="1" applyFill="1" applyBorder="1" applyAlignment="1">
      <alignment horizontal="right" vertical="center"/>
    </xf>
    <xf numFmtId="49" fontId="18" fillId="3" borderId="3" xfId="0" applyNumberFormat="1" applyFont="1" applyFill="1" applyBorder="1" applyAlignment="1">
      <alignment vertical="center" shrinkToFit="1"/>
    </xf>
    <xf numFmtId="3" fontId="32" fillId="3" borderId="3" xfId="0" applyNumberFormat="1" applyFont="1" applyFill="1" applyBorder="1" applyAlignment="1">
      <alignment horizontal="right" vertical="center"/>
    </xf>
    <xf numFmtId="0" fontId="18" fillId="3" borderId="0" xfId="0" applyNumberFormat="1" applyFont="1" applyFill="1" applyBorder="1" applyAlignment="1">
      <alignment vertical="center" shrinkToFit="1"/>
    </xf>
    <xf numFmtId="3" fontId="32" fillId="0" borderId="3" xfId="0" applyNumberFormat="1" applyFont="1" applyFill="1" applyBorder="1" applyAlignment="1">
      <alignment horizontal="center" vertical="center"/>
    </xf>
    <xf numFmtId="176" fontId="3" fillId="0" borderId="44" xfId="0" applyNumberFormat="1" applyFont="1" applyFill="1" applyBorder="1" applyAlignment="1">
      <alignment horizontal="right" vertical="center" shrinkToFit="1"/>
    </xf>
    <xf numFmtId="49" fontId="36" fillId="2" borderId="3" xfId="0" applyNumberFormat="1" applyFont="1" applyFill="1" applyBorder="1" applyAlignment="1">
      <alignment horizontal="center" vertical="center" wrapText="1"/>
    </xf>
    <xf numFmtId="176" fontId="3" fillId="3" borderId="44" xfId="0" applyNumberFormat="1" applyFont="1" applyFill="1" applyBorder="1" applyAlignment="1">
      <alignment horizontal="right" vertical="center"/>
    </xf>
    <xf numFmtId="0" fontId="18" fillId="0" borderId="62" xfId="0" applyNumberFormat="1" applyFont="1" applyFill="1" applyBorder="1" applyAlignment="1">
      <alignment horizontal="right" vertical="center"/>
    </xf>
    <xf numFmtId="0" fontId="3" fillId="0" borderId="0" xfId="0" applyNumberFormat="1" applyFont="1" applyFill="1">
      <alignment vertical="center"/>
    </xf>
    <xf numFmtId="0" fontId="3" fillId="0" borderId="62" xfId="0" applyFont="1" applyFill="1" applyBorder="1">
      <alignment vertical="center"/>
    </xf>
    <xf numFmtId="181" fontId="3" fillId="0" borderId="0" xfId="1" applyNumberFormat="1" applyFont="1" applyFill="1">
      <alignment vertical="center"/>
    </xf>
    <xf numFmtId="49" fontId="5" fillId="0" borderId="3" xfId="0" applyNumberFormat="1" applyFont="1" applyFill="1" applyBorder="1">
      <alignment vertical="center"/>
    </xf>
    <xf numFmtId="49" fontId="5" fillId="0" borderId="62" xfId="0" applyNumberFormat="1" applyFont="1" applyFill="1" applyBorder="1">
      <alignment vertical="center"/>
    </xf>
    <xf numFmtId="0" fontId="3" fillId="0" borderId="3" xfId="0" applyNumberFormat="1" applyFont="1" applyFill="1" applyBorder="1">
      <alignment vertical="center"/>
    </xf>
    <xf numFmtId="49" fontId="17" fillId="0" borderId="3" xfId="0" applyNumberFormat="1" applyFont="1" applyFill="1" applyBorder="1">
      <alignment vertical="center"/>
    </xf>
    <xf numFmtId="176" fontId="3" fillId="0" borderId="0" xfId="0" applyNumberFormat="1" applyFont="1" applyFill="1">
      <alignment vertical="center"/>
    </xf>
    <xf numFmtId="181" fontId="3" fillId="0" borderId="0" xfId="0" applyNumberFormat="1" applyFont="1" applyFill="1">
      <alignment vertical="center"/>
    </xf>
    <xf numFmtId="181" fontId="3" fillId="3" borderId="0" xfId="1" applyNumberFormat="1" applyFont="1" applyFill="1">
      <alignment vertical="center"/>
    </xf>
    <xf numFmtId="0" fontId="5" fillId="0" borderId="3" xfId="0" applyNumberFormat="1" applyFont="1" applyFill="1" applyBorder="1">
      <alignment vertical="center"/>
    </xf>
    <xf numFmtId="0" fontId="3" fillId="0" borderId="0" xfId="0" applyFont="1" applyFill="1">
      <alignment vertical="center"/>
    </xf>
    <xf numFmtId="0" fontId="3" fillId="0" borderId="62" xfId="0" applyNumberFormat="1" applyFont="1" applyFill="1" applyBorder="1">
      <alignment vertical="center"/>
    </xf>
    <xf numFmtId="0" fontId="5" fillId="0" borderId="62" xfId="0" applyNumberFormat="1" applyFont="1" applyFill="1" applyBorder="1">
      <alignment vertical="center"/>
    </xf>
    <xf numFmtId="0" fontId="5" fillId="0" borderId="0" xfId="0" applyNumberFormat="1" applyFont="1" applyFill="1">
      <alignment vertical="center"/>
    </xf>
    <xf numFmtId="0" fontId="3" fillId="0" borderId="0" xfId="0" applyNumberFormat="1" applyFont="1" applyFill="1" applyAlignment="1">
      <alignment horizontal="center" vertical="center"/>
    </xf>
    <xf numFmtId="49" fontId="12" fillId="0" borderId="39" xfId="0" applyNumberFormat="1" applyFont="1" applyFill="1" applyBorder="1">
      <alignment vertical="center"/>
    </xf>
    <xf numFmtId="3" fontId="23" fillId="0" borderId="63" xfId="0" applyNumberFormat="1" applyFont="1" applyFill="1" applyBorder="1" applyAlignment="1">
      <alignment horizontal="center" vertical="center"/>
    </xf>
    <xf numFmtId="3" fontId="19" fillId="0" borderId="63" xfId="0" applyNumberFormat="1" applyFont="1" applyFill="1" applyBorder="1" applyAlignment="1">
      <alignment horizontal="center" vertical="center"/>
    </xf>
    <xf numFmtId="0" fontId="10" fillId="0" borderId="63" xfId="0" applyFont="1" applyFill="1" applyBorder="1">
      <alignment vertical="center"/>
    </xf>
    <xf numFmtId="49" fontId="3" fillId="0" borderId="63" xfId="0" applyNumberFormat="1" applyFont="1" applyFill="1" applyBorder="1">
      <alignment vertical="center"/>
    </xf>
    <xf numFmtId="177" fontId="20" fillId="0" borderId="64" xfId="0" applyNumberFormat="1" applyFont="1" applyFill="1" applyBorder="1" applyAlignment="1">
      <alignment horizontal="center" vertical="center"/>
    </xf>
    <xf numFmtId="177" fontId="20" fillId="0" borderId="65" xfId="0" applyNumberFormat="1" applyFont="1" applyFill="1" applyBorder="1" applyAlignment="1">
      <alignment horizontal="center" vertical="center"/>
    </xf>
    <xf numFmtId="49" fontId="10" fillId="0" borderId="52" xfId="0" applyNumberFormat="1" applyFont="1" applyFill="1" applyBorder="1" applyAlignment="1">
      <alignment vertical="center" shrinkToFit="1"/>
    </xf>
    <xf numFmtId="0" fontId="10" fillId="0" borderId="63" xfId="0" applyFont="1" applyFill="1" applyBorder="1" applyAlignment="1">
      <alignment horizontal="center" vertical="center"/>
    </xf>
    <xf numFmtId="0" fontId="10" fillId="0" borderId="63" xfId="0" applyNumberFormat="1" applyFont="1" applyFill="1" applyBorder="1" applyAlignment="1">
      <alignment horizontal="center" vertical="center"/>
    </xf>
    <xf numFmtId="49" fontId="37" fillId="0" borderId="63" xfId="0" applyNumberFormat="1" applyFont="1" applyFill="1" applyBorder="1">
      <alignment vertical="center"/>
    </xf>
    <xf numFmtId="0" fontId="10" fillId="0" borderId="66" xfId="0" applyFont="1" applyFill="1" applyBorder="1" applyAlignment="1">
      <alignment horizontal="center" vertical="center"/>
    </xf>
    <xf numFmtId="49" fontId="10" fillId="0" borderId="66" xfId="0" applyNumberFormat="1" applyFont="1" applyFill="1" applyBorder="1" applyAlignment="1">
      <alignment vertical="center" shrinkToFit="1"/>
    </xf>
    <xf numFmtId="49" fontId="25" fillId="0" borderId="62" xfId="0" applyNumberFormat="1" applyFont="1" applyFill="1" applyBorder="1" applyAlignment="1">
      <alignment horizontal="center" vertical="center"/>
    </xf>
    <xf numFmtId="3" fontId="18" fillId="0" borderId="62" xfId="0" applyNumberFormat="1" applyFont="1" applyFill="1" applyBorder="1">
      <alignment vertical="center"/>
    </xf>
    <xf numFmtId="0" fontId="31" fillId="0" borderId="62" xfId="0" applyFont="1" applyFill="1" applyBorder="1" applyAlignment="1">
      <alignment horizontal="center" vertical="center"/>
    </xf>
    <xf numFmtId="0" fontId="25" fillId="0" borderId="66" xfId="0" applyNumberFormat="1" applyFont="1" applyFill="1" applyBorder="1" applyAlignment="1">
      <alignment horizontal="center" vertical="center"/>
    </xf>
    <xf numFmtId="0" fontId="18" fillId="0" borderId="62" xfId="0" applyNumberFormat="1" applyFont="1" applyFill="1" applyBorder="1">
      <alignment vertical="center"/>
    </xf>
    <xf numFmtId="0" fontId="18" fillId="0" borderId="62" xfId="0" applyFont="1" applyFill="1" applyBorder="1">
      <alignment vertical="center"/>
    </xf>
    <xf numFmtId="49" fontId="4" fillId="0" borderId="8" xfId="0" applyNumberFormat="1" applyFont="1" applyFill="1" applyBorder="1" applyAlignment="1">
      <alignment horizontal="center" vertical="center"/>
    </xf>
    <xf numFmtId="3" fontId="32" fillId="0" borderId="62" xfId="0" applyNumberFormat="1" applyFont="1" applyFill="1" applyBorder="1" applyAlignment="1">
      <alignment horizontal="center" vertical="center"/>
    </xf>
    <xf numFmtId="3" fontId="32" fillId="3" borderId="3" xfId="0" applyNumberFormat="1" applyFont="1" applyFill="1" applyBorder="1" applyAlignment="1">
      <alignment horizontal="center" vertical="center"/>
    </xf>
    <xf numFmtId="3" fontId="32" fillId="3" borderId="62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vertical="center" shrinkToFit="1"/>
    </xf>
    <xf numFmtId="49" fontId="3" fillId="0" borderId="4" xfId="0" applyNumberFormat="1" applyFont="1" applyFill="1" applyBorder="1">
      <alignment vertical="center"/>
    </xf>
    <xf numFmtId="176" fontId="3" fillId="0" borderId="4" xfId="0" applyNumberFormat="1" applyFont="1" applyFill="1" applyBorder="1" applyAlignment="1">
      <alignment horizontal="right" vertical="center"/>
    </xf>
    <xf numFmtId="177" fontId="5" fillId="0" borderId="3" xfId="0" applyNumberFormat="1" applyFont="1" applyFill="1" applyBorder="1" applyAlignment="1">
      <alignment horizontal="center" vertical="center"/>
    </xf>
    <xf numFmtId="0" fontId="3" fillId="0" borderId="66" xfId="0" applyNumberFormat="1" applyFont="1" applyFill="1" applyBorder="1" applyAlignment="1">
      <alignment horizontal="center" vertical="center"/>
    </xf>
    <xf numFmtId="49" fontId="3" fillId="0" borderId="66" xfId="0" applyNumberFormat="1" applyFont="1" applyFill="1" applyBorder="1" applyAlignment="1">
      <alignment vertical="center" shrinkToFit="1"/>
    </xf>
    <xf numFmtId="177" fontId="5" fillId="0" borderId="66" xfId="0" applyNumberFormat="1" applyFont="1" applyFill="1" applyBorder="1" applyAlignment="1">
      <alignment horizontal="right" vertical="center"/>
    </xf>
    <xf numFmtId="176" fontId="3" fillId="0" borderId="66" xfId="0" applyNumberFormat="1" applyFont="1" applyFill="1" applyBorder="1" applyAlignment="1">
      <alignment horizontal="right" vertical="center"/>
    </xf>
    <xf numFmtId="49" fontId="3" fillId="0" borderId="66" xfId="0" applyNumberFormat="1" applyFont="1" applyFill="1" applyBorder="1">
      <alignment vertical="center"/>
    </xf>
    <xf numFmtId="49" fontId="9" fillId="0" borderId="3" xfId="0" applyNumberFormat="1" applyFont="1" applyFill="1" applyBorder="1" applyAlignment="1">
      <alignment horizontal="left" vertical="center"/>
    </xf>
    <xf numFmtId="178" fontId="3" fillId="0" borderId="3" xfId="0" applyNumberFormat="1" applyFont="1" applyFill="1" applyBorder="1" applyAlignment="1">
      <alignment horizontal="right" vertical="center"/>
    </xf>
    <xf numFmtId="178" fontId="11" fillId="0" borderId="3" xfId="0" applyNumberFormat="1" applyFont="1" applyFill="1" applyBorder="1" applyAlignment="1">
      <alignment horizontal="right" vertical="center"/>
    </xf>
    <xf numFmtId="178" fontId="11" fillId="2" borderId="3" xfId="0" applyNumberFormat="1" applyFont="1" applyFill="1" applyBorder="1" applyAlignment="1">
      <alignment horizontal="center" vertical="center"/>
    </xf>
    <xf numFmtId="178" fontId="11" fillId="2" borderId="3" xfId="0" applyNumberFormat="1" applyFont="1" applyFill="1" applyBorder="1" applyAlignment="1">
      <alignment horizontal="right" vertical="center"/>
    </xf>
    <xf numFmtId="49" fontId="31" fillId="0" borderId="3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Fill="1" applyBorder="1" applyAlignment="1">
      <alignment horizontal="center" vertical="center"/>
    </xf>
    <xf numFmtId="179" fontId="9" fillId="0" borderId="3" xfId="0" applyNumberFormat="1" applyFont="1" applyFill="1" applyBorder="1" applyAlignment="1">
      <alignment horizontal="center" vertical="center"/>
    </xf>
    <xf numFmtId="0" fontId="41" fillId="0" borderId="3" xfId="0" applyFont="1" applyFill="1" applyBorder="1" applyAlignment="1">
      <alignment horizontal="center" vertical="center" shrinkToFit="1"/>
    </xf>
    <xf numFmtId="49" fontId="42" fillId="0" borderId="6" xfId="0" applyNumberFormat="1" applyFont="1" applyFill="1" applyBorder="1" applyAlignment="1">
      <alignment horizontal="left" vertical="center" shrinkToFit="1"/>
    </xf>
    <xf numFmtId="3" fontId="43" fillId="0" borderId="3" xfId="0" applyNumberFormat="1" applyFont="1" applyFill="1" applyBorder="1" applyAlignment="1">
      <alignment horizontal="center" vertical="center"/>
    </xf>
    <xf numFmtId="49" fontId="43" fillId="0" borderId="62" xfId="0" applyNumberFormat="1" applyFont="1" applyFill="1" applyBorder="1" applyAlignment="1">
      <alignment horizontal="center" vertical="center"/>
    </xf>
    <xf numFmtId="0" fontId="25" fillId="3" borderId="62" xfId="0" applyNumberFormat="1" applyFont="1" applyFill="1" applyBorder="1" applyAlignment="1">
      <alignment horizontal="center" vertical="center"/>
    </xf>
    <xf numFmtId="49" fontId="25" fillId="3" borderId="62" xfId="0" applyNumberFormat="1" applyFont="1" applyFill="1" applyBorder="1" applyAlignment="1">
      <alignment horizontal="center" vertical="center"/>
    </xf>
    <xf numFmtId="176" fontId="32" fillId="3" borderId="62" xfId="0" applyNumberFormat="1" applyFont="1" applyFill="1" applyBorder="1" applyAlignment="1">
      <alignment horizontal="center" vertical="center" shrinkToFit="1"/>
    </xf>
    <xf numFmtId="3" fontId="45" fillId="3" borderId="62" xfId="0" applyNumberFormat="1" applyFont="1" applyFill="1" applyBorder="1" applyAlignment="1">
      <alignment horizontal="center" vertical="center"/>
    </xf>
    <xf numFmtId="3" fontId="45" fillId="0" borderId="3" xfId="0" applyNumberFormat="1" applyFont="1" applyFill="1" applyBorder="1" applyAlignment="1">
      <alignment horizontal="center" vertical="center"/>
    </xf>
    <xf numFmtId="3" fontId="45" fillId="0" borderId="62" xfId="0" applyNumberFormat="1" applyFont="1" applyFill="1" applyBorder="1" applyAlignment="1">
      <alignment horizontal="center" vertical="center"/>
    </xf>
    <xf numFmtId="3" fontId="46" fillId="0" borderId="62" xfId="0" applyNumberFormat="1" applyFont="1" applyFill="1" applyBorder="1" applyAlignment="1">
      <alignment horizontal="right" vertical="center"/>
    </xf>
    <xf numFmtId="3" fontId="47" fillId="0" borderId="0" xfId="0" applyNumberFormat="1" applyFont="1" applyFill="1" applyBorder="1" applyAlignment="1">
      <alignment vertical="center" shrinkToFit="1"/>
    </xf>
    <xf numFmtId="176" fontId="3" fillId="0" borderId="66" xfId="0" applyNumberFormat="1" applyFont="1" applyFill="1" applyBorder="1" applyAlignment="1">
      <alignment horizontal="right" vertical="center" shrinkToFit="1"/>
    </xf>
    <xf numFmtId="3" fontId="48" fillId="0" borderId="3" xfId="0" applyNumberFormat="1" applyFont="1" applyFill="1" applyBorder="1" applyAlignment="1">
      <alignment horizontal="center" vertical="center"/>
    </xf>
    <xf numFmtId="3" fontId="49" fillId="0" borderId="3" xfId="0" applyNumberFormat="1" applyFont="1" applyFill="1" applyBorder="1" applyAlignment="1">
      <alignment horizontal="center" vertical="center"/>
    </xf>
    <xf numFmtId="3" fontId="43" fillId="0" borderId="62" xfId="0" applyNumberFormat="1" applyFont="1" applyFill="1" applyBorder="1" applyAlignment="1">
      <alignment horizontal="right" vertical="center"/>
    </xf>
    <xf numFmtId="3" fontId="48" fillId="0" borderId="3" xfId="0" applyNumberFormat="1" applyFont="1" applyFill="1" applyBorder="1" applyAlignment="1">
      <alignment horizontal="right" vertical="center"/>
    </xf>
    <xf numFmtId="3" fontId="43" fillId="0" borderId="3" xfId="0" applyNumberFormat="1" applyFont="1" applyFill="1" applyBorder="1" applyAlignment="1">
      <alignment horizontal="right" vertical="center"/>
    </xf>
    <xf numFmtId="3" fontId="50" fillId="0" borderId="3" xfId="0" applyNumberFormat="1" applyFont="1" applyFill="1" applyBorder="1" applyAlignment="1">
      <alignment horizontal="right" vertical="center"/>
    </xf>
    <xf numFmtId="3" fontId="51" fillId="0" borderId="3" xfId="0" applyNumberFormat="1" applyFont="1" applyFill="1" applyBorder="1" applyAlignment="1">
      <alignment horizontal="right" vertical="center"/>
    </xf>
    <xf numFmtId="0" fontId="3" fillId="0" borderId="63" xfId="0" applyNumberFormat="1" applyFont="1" applyFill="1" applyBorder="1" applyAlignment="1">
      <alignment horizontal="center" vertical="center"/>
    </xf>
    <xf numFmtId="49" fontId="3" fillId="0" borderId="63" xfId="0" applyNumberFormat="1" applyFont="1" applyFill="1" applyBorder="1" applyAlignment="1">
      <alignment vertical="center" shrinkToFit="1"/>
    </xf>
    <xf numFmtId="177" fontId="5" fillId="0" borderId="4" xfId="0" applyNumberFormat="1" applyFont="1" applyFill="1" applyBorder="1" applyAlignment="1">
      <alignment horizontal="right" vertical="center"/>
    </xf>
    <xf numFmtId="177" fontId="5" fillId="0" borderId="63" xfId="0" applyNumberFormat="1" applyFont="1" applyFill="1" applyBorder="1" applyAlignment="1">
      <alignment horizontal="right" vertical="center"/>
    </xf>
    <xf numFmtId="176" fontId="3" fillId="0" borderId="63" xfId="0" applyNumberFormat="1" applyFont="1" applyFill="1" applyBorder="1" applyAlignment="1">
      <alignment horizontal="right" vertical="center"/>
    </xf>
    <xf numFmtId="0" fontId="3" fillId="0" borderId="0" xfId="0" applyNumberFormat="1" applyFont="1" applyFill="1" applyBorder="1">
      <alignment vertical="center"/>
    </xf>
    <xf numFmtId="0" fontId="3" fillId="0" borderId="69" xfId="0" applyNumberFormat="1" applyFont="1" applyFill="1" applyBorder="1" applyAlignment="1">
      <alignment horizontal="center" vertical="center"/>
    </xf>
    <xf numFmtId="176" fontId="3" fillId="0" borderId="62" xfId="0" applyNumberFormat="1" applyFont="1" applyFill="1" applyBorder="1" applyAlignment="1">
      <alignment horizontal="right" vertical="center" shrinkToFit="1"/>
    </xf>
    <xf numFmtId="177" fontId="5" fillId="0" borderId="68" xfId="0" applyNumberFormat="1" applyFont="1" applyFill="1" applyBorder="1" applyAlignment="1">
      <alignment horizontal="right" vertical="center"/>
    </xf>
    <xf numFmtId="176" fontId="3" fillId="0" borderId="70" xfId="0" applyNumberFormat="1" applyFont="1" applyFill="1" applyBorder="1" applyAlignment="1">
      <alignment horizontal="right" vertical="center"/>
    </xf>
    <xf numFmtId="3" fontId="45" fillId="0" borderId="3" xfId="0" applyNumberFormat="1" applyFont="1" applyFill="1" applyBorder="1" applyAlignment="1">
      <alignment horizontal="right" vertical="center"/>
    </xf>
    <xf numFmtId="3" fontId="52" fillId="0" borderId="62" xfId="0" applyNumberFormat="1" applyFont="1" applyFill="1" applyBorder="1" applyAlignment="1">
      <alignment horizontal="right" vertical="center"/>
    </xf>
    <xf numFmtId="3" fontId="52" fillId="0" borderId="3" xfId="0" applyNumberFormat="1" applyFont="1" applyFill="1" applyBorder="1" applyAlignment="1">
      <alignment horizontal="right" vertical="center"/>
    </xf>
    <xf numFmtId="0" fontId="53" fillId="0" borderId="62" xfId="0" applyNumberFormat="1" applyFont="1" applyFill="1" applyBorder="1" applyAlignment="1">
      <alignment horizontal="center" vertical="center"/>
    </xf>
    <xf numFmtId="0" fontId="25" fillId="5" borderId="62" xfId="0" applyFont="1" applyFill="1" applyBorder="1" applyAlignment="1">
      <alignment horizontal="center" vertical="center"/>
    </xf>
    <xf numFmtId="0" fontId="25" fillId="5" borderId="62" xfId="0" applyNumberFormat="1" applyFont="1" applyFill="1" applyBorder="1" applyAlignment="1">
      <alignment horizontal="center" vertical="center"/>
    </xf>
    <xf numFmtId="183" fontId="47" fillId="0" borderId="0" xfId="0" applyNumberFormat="1" applyFont="1" applyFill="1" applyBorder="1" applyAlignment="1">
      <alignment vertical="center" shrinkToFit="1"/>
    </xf>
    <xf numFmtId="182" fontId="18" fillId="0" borderId="3" xfId="0" applyNumberFormat="1" applyFont="1" applyFill="1" applyBorder="1" applyAlignment="1">
      <alignment horizontal="right" vertical="center" shrinkToFit="1"/>
    </xf>
    <xf numFmtId="182" fontId="47" fillId="0" borderId="62" xfId="0" applyNumberFormat="1" applyFont="1" applyFill="1" applyBorder="1" applyAlignment="1">
      <alignment vertical="center" shrinkToFit="1"/>
    </xf>
    <xf numFmtId="0" fontId="54" fillId="0" borderId="51" xfId="0" applyFont="1" applyFill="1" applyBorder="1" applyAlignment="1">
      <alignment horizontal="center" vertical="center"/>
    </xf>
    <xf numFmtId="3" fontId="51" fillId="0" borderId="62" xfId="0" applyNumberFormat="1" applyFont="1" applyFill="1" applyBorder="1" applyAlignment="1">
      <alignment horizontal="right" vertical="center"/>
    </xf>
    <xf numFmtId="3" fontId="32" fillId="3" borderId="62" xfId="0" applyNumberFormat="1" applyFont="1" applyFill="1" applyBorder="1" applyAlignment="1">
      <alignment horizontal="right" vertical="center"/>
    </xf>
    <xf numFmtId="0" fontId="25" fillId="4" borderId="62" xfId="0" applyNumberFormat="1" applyFont="1" applyFill="1" applyBorder="1" applyAlignment="1">
      <alignment horizontal="center" vertical="center"/>
    </xf>
    <xf numFmtId="49" fontId="25" fillId="4" borderId="62" xfId="0" applyNumberFormat="1" applyFont="1" applyFill="1" applyBorder="1" applyAlignment="1">
      <alignment horizontal="center" vertical="center"/>
    </xf>
    <xf numFmtId="176" fontId="32" fillId="4" borderId="62" xfId="0" applyNumberFormat="1" applyFont="1" applyFill="1" applyBorder="1" applyAlignment="1">
      <alignment horizontal="center" vertical="center" shrinkToFit="1"/>
    </xf>
    <xf numFmtId="3" fontId="32" fillId="4" borderId="62" xfId="0" applyNumberFormat="1" applyFont="1" applyFill="1" applyBorder="1" applyAlignment="1">
      <alignment horizontal="center" vertical="center"/>
    </xf>
    <xf numFmtId="3" fontId="32" fillId="4" borderId="62" xfId="0" applyNumberFormat="1" applyFont="1" applyFill="1" applyBorder="1" applyAlignment="1">
      <alignment horizontal="right" vertical="center"/>
    </xf>
    <xf numFmtId="3" fontId="19" fillId="0" borderId="62" xfId="0" applyNumberFormat="1" applyFont="1" applyFill="1" applyBorder="1" applyAlignment="1">
      <alignment horizontal="center" vertical="center"/>
    </xf>
    <xf numFmtId="0" fontId="10" fillId="0" borderId="62" xfId="0" applyFont="1" applyFill="1" applyBorder="1" applyAlignment="1">
      <alignment horizontal="center" vertical="center"/>
    </xf>
    <xf numFmtId="177" fontId="20" fillId="0" borderId="62" xfId="0" applyNumberFormat="1" applyFont="1" applyFill="1" applyBorder="1" applyAlignment="1">
      <alignment horizontal="center" vertical="center"/>
    </xf>
    <xf numFmtId="3" fontId="23" fillId="0" borderId="62" xfId="0" applyNumberFormat="1" applyFont="1" applyFill="1" applyBorder="1" applyAlignment="1">
      <alignment horizontal="center" vertical="center"/>
    </xf>
    <xf numFmtId="177" fontId="20" fillId="0" borderId="71" xfId="0" applyNumberFormat="1" applyFont="1" applyFill="1" applyBorder="1" applyAlignment="1">
      <alignment horizontal="center" vertical="center"/>
    </xf>
    <xf numFmtId="0" fontId="10" fillId="0" borderId="72" xfId="0" applyNumberFormat="1" applyFont="1" applyFill="1" applyBorder="1" applyAlignment="1">
      <alignment horizontal="center" vertical="center"/>
    </xf>
    <xf numFmtId="0" fontId="10" fillId="0" borderId="57" xfId="0" applyNumberFormat="1" applyFont="1" applyFill="1" applyBorder="1" applyAlignment="1">
      <alignment horizontal="center" vertical="center"/>
    </xf>
    <xf numFmtId="49" fontId="10" fillId="0" borderId="58" xfId="0" applyNumberFormat="1" applyFont="1" applyFill="1" applyBorder="1">
      <alignment vertical="center"/>
    </xf>
    <xf numFmtId="3" fontId="26" fillId="0" borderId="57" xfId="0" applyNumberFormat="1" applyFont="1" applyFill="1" applyBorder="1" applyAlignment="1">
      <alignment horizontal="center" vertical="center"/>
    </xf>
    <xf numFmtId="3" fontId="22" fillId="0" borderId="73" xfId="0" applyNumberFormat="1" applyFont="1" applyFill="1" applyBorder="1" applyAlignment="1">
      <alignment horizontal="center" vertical="center"/>
    </xf>
    <xf numFmtId="3" fontId="23" fillId="0" borderId="74" xfId="0" applyNumberFormat="1" applyFont="1" applyFill="1" applyBorder="1" applyAlignment="1">
      <alignment horizontal="center" vertical="center"/>
    </xf>
    <xf numFmtId="177" fontId="20" fillId="0" borderId="74" xfId="0" applyNumberFormat="1" applyFont="1" applyFill="1" applyBorder="1" applyAlignment="1">
      <alignment horizontal="center" vertical="center"/>
    </xf>
    <xf numFmtId="49" fontId="10" fillId="0" borderId="74" xfId="0" applyNumberFormat="1" applyFont="1" applyFill="1" applyBorder="1">
      <alignment vertical="center"/>
    </xf>
    <xf numFmtId="0" fontId="10" fillId="0" borderId="75" xfId="0" applyNumberFormat="1" applyFont="1" applyFill="1" applyBorder="1" applyAlignment="1">
      <alignment horizontal="center" vertical="center"/>
    </xf>
    <xf numFmtId="0" fontId="10" fillId="0" borderId="74" xfId="0" applyNumberFormat="1" applyFont="1" applyFill="1" applyBorder="1" applyAlignment="1">
      <alignment horizontal="center" vertical="center"/>
    </xf>
    <xf numFmtId="0" fontId="10" fillId="0" borderId="77" xfId="0" applyFont="1" applyFill="1" applyBorder="1" applyAlignment="1">
      <alignment horizontal="center" vertical="center"/>
    </xf>
    <xf numFmtId="177" fontId="20" fillId="0" borderId="77" xfId="0" applyNumberFormat="1" applyFont="1" applyFill="1" applyBorder="1" applyAlignment="1">
      <alignment horizontal="center" vertical="center"/>
    </xf>
    <xf numFmtId="3" fontId="23" fillId="0" borderId="77" xfId="0" applyNumberFormat="1" applyFont="1" applyFill="1" applyBorder="1" applyAlignment="1">
      <alignment horizontal="center" vertical="center"/>
    </xf>
    <xf numFmtId="3" fontId="22" fillId="0" borderId="77" xfId="0" applyNumberFormat="1" applyFont="1" applyFill="1" applyBorder="1" applyAlignment="1">
      <alignment horizontal="center" vertical="center"/>
    </xf>
    <xf numFmtId="0" fontId="10" fillId="0" borderId="78" xfId="0" applyFont="1" applyFill="1" applyBorder="1">
      <alignment vertical="center"/>
    </xf>
    <xf numFmtId="178" fontId="10" fillId="0" borderId="77" xfId="0" applyNumberFormat="1" applyFont="1" applyFill="1" applyBorder="1">
      <alignment vertical="center"/>
    </xf>
    <xf numFmtId="0" fontId="10" fillId="0" borderId="76" xfId="0" applyFont="1" applyFill="1" applyBorder="1" applyAlignment="1">
      <alignment horizontal="center" vertical="center"/>
    </xf>
    <xf numFmtId="0" fontId="10" fillId="0" borderId="73" xfId="0" applyNumberFormat="1" applyFont="1" applyFill="1" applyBorder="1" applyAlignment="1">
      <alignment horizontal="center" vertical="center"/>
    </xf>
    <xf numFmtId="177" fontId="20" fillId="0" borderId="79" xfId="0" applyNumberFormat="1" applyFont="1" applyFill="1" applyBorder="1" applyAlignment="1">
      <alignment horizontal="center" vertical="center"/>
    </xf>
    <xf numFmtId="0" fontId="12" fillId="0" borderId="39" xfId="0" applyFont="1" applyFill="1" applyBorder="1">
      <alignment vertical="center"/>
    </xf>
    <xf numFmtId="0" fontId="10" fillId="0" borderId="75" xfId="0" applyFont="1" applyFill="1" applyBorder="1" applyAlignment="1">
      <alignment horizontal="center" vertical="center"/>
    </xf>
    <xf numFmtId="0" fontId="10" fillId="0" borderId="74" xfId="0" applyFont="1" applyFill="1" applyBorder="1" applyAlignment="1">
      <alignment horizontal="center" vertical="center"/>
    </xf>
    <xf numFmtId="0" fontId="11" fillId="0" borderId="74" xfId="0" applyFont="1" applyFill="1" applyBorder="1">
      <alignment vertical="center"/>
    </xf>
    <xf numFmtId="0" fontId="10" fillId="0" borderId="80" xfId="0" applyFont="1" applyFill="1" applyBorder="1" applyAlignment="1">
      <alignment horizontal="center" vertical="center"/>
    </xf>
    <xf numFmtId="0" fontId="3" fillId="0" borderId="82" xfId="0" applyFont="1" applyFill="1" applyBorder="1">
      <alignment vertical="center"/>
    </xf>
    <xf numFmtId="0" fontId="0" fillId="0" borderId="81" xfId="0" applyFill="1" applyBorder="1">
      <alignment vertical="center"/>
    </xf>
    <xf numFmtId="0" fontId="10" fillId="0" borderId="83" xfId="0" applyFont="1" applyFill="1" applyBorder="1" applyAlignment="1">
      <alignment horizontal="center" vertical="center"/>
    </xf>
    <xf numFmtId="3" fontId="19" fillId="0" borderId="74" xfId="0" applyNumberFormat="1" applyFont="1" applyFill="1" applyBorder="1" applyAlignment="1">
      <alignment horizontal="center" vertical="center"/>
    </xf>
    <xf numFmtId="3" fontId="19" fillId="0" borderId="77" xfId="0" applyNumberFormat="1" applyFont="1" applyFill="1" applyBorder="1" applyAlignment="1">
      <alignment horizontal="center" vertical="center"/>
    </xf>
    <xf numFmtId="0" fontId="10" fillId="0" borderId="84" xfId="0" applyFont="1" applyFill="1" applyBorder="1">
      <alignment vertical="center"/>
    </xf>
    <xf numFmtId="3" fontId="19" fillId="0" borderId="85" xfId="0" applyNumberFormat="1" applyFont="1" applyFill="1" applyBorder="1" applyAlignment="1">
      <alignment horizontal="center" vertical="center"/>
    </xf>
    <xf numFmtId="3" fontId="23" fillId="0" borderId="86" xfId="0" applyNumberFormat="1" applyFont="1" applyFill="1" applyBorder="1" applyAlignment="1">
      <alignment horizontal="center" vertical="center"/>
    </xf>
    <xf numFmtId="177" fontId="20" fillId="0" borderId="87" xfId="0" applyNumberFormat="1" applyFont="1" applyFill="1" applyBorder="1" applyAlignment="1">
      <alignment horizontal="center" vertical="center"/>
    </xf>
    <xf numFmtId="0" fontId="10" fillId="0" borderId="88" xfId="0" applyNumberFormat="1" applyFont="1" applyFill="1" applyBorder="1" applyAlignment="1">
      <alignment horizontal="center" vertical="center"/>
    </xf>
    <xf numFmtId="0" fontId="10" fillId="0" borderId="85" xfId="0" applyFont="1" applyFill="1" applyBorder="1" applyAlignment="1">
      <alignment horizontal="center" vertical="center"/>
    </xf>
    <xf numFmtId="0" fontId="10" fillId="0" borderId="90" xfId="0" applyFont="1" applyFill="1" applyBorder="1" applyAlignment="1">
      <alignment horizontal="center" vertical="center"/>
    </xf>
    <xf numFmtId="0" fontId="10" fillId="0" borderId="89" xfId="0" applyFont="1" applyFill="1" applyBorder="1" applyAlignment="1">
      <alignment horizontal="center" vertical="center"/>
    </xf>
    <xf numFmtId="0" fontId="10" fillId="0" borderId="91" xfId="0" applyFont="1" applyFill="1" applyBorder="1" applyAlignment="1">
      <alignment horizontal="center" vertical="center"/>
    </xf>
    <xf numFmtId="178" fontId="10" fillId="0" borderId="90" xfId="0" applyNumberFormat="1" applyFont="1" applyFill="1" applyBorder="1">
      <alignment vertical="center"/>
    </xf>
    <xf numFmtId="178" fontId="10" fillId="0" borderId="92" xfId="0" applyNumberFormat="1" applyFont="1" applyFill="1" applyBorder="1">
      <alignment vertical="center"/>
    </xf>
    <xf numFmtId="177" fontId="20" fillId="0" borderId="90" xfId="0" applyNumberFormat="1" applyFont="1" applyFill="1" applyBorder="1" applyAlignment="1">
      <alignment horizontal="center" vertical="center"/>
    </xf>
    <xf numFmtId="177" fontId="20" fillId="0" borderId="93" xfId="0" applyNumberFormat="1" applyFont="1" applyFill="1" applyBorder="1" applyAlignment="1">
      <alignment horizontal="center" vertical="center"/>
    </xf>
    <xf numFmtId="3" fontId="23" fillId="0" borderId="90" xfId="0" applyNumberFormat="1" applyFont="1" applyFill="1" applyBorder="1" applyAlignment="1">
      <alignment horizontal="center" vertical="center"/>
    </xf>
    <xf numFmtId="3" fontId="23" fillId="0" borderId="93" xfId="0" applyNumberFormat="1" applyFont="1" applyFill="1" applyBorder="1" applyAlignment="1">
      <alignment horizontal="center" vertical="center"/>
    </xf>
    <xf numFmtId="0" fontId="10" fillId="0" borderId="90" xfId="0" applyFont="1" applyFill="1" applyBorder="1">
      <alignment vertical="center"/>
    </xf>
    <xf numFmtId="0" fontId="10" fillId="0" borderId="94" xfId="0" applyFont="1" applyFill="1" applyBorder="1">
      <alignment vertical="center"/>
    </xf>
    <xf numFmtId="3" fontId="19" fillId="0" borderId="90" xfId="0" applyNumberFormat="1" applyFont="1" applyFill="1" applyBorder="1" applyAlignment="1">
      <alignment horizontal="center" vertical="center"/>
    </xf>
    <xf numFmtId="3" fontId="19" fillId="0" borderId="93" xfId="0" applyNumberFormat="1" applyFont="1" applyFill="1" applyBorder="1" applyAlignment="1">
      <alignment horizontal="center" vertical="center"/>
    </xf>
    <xf numFmtId="0" fontId="10" fillId="0" borderId="95" xfId="0" applyFont="1" applyFill="1" applyBorder="1" applyAlignment="1">
      <alignment horizontal="center" vertical="center"/>
    </xf>
    <xf numFmtId="0" fontId="10" fillId="0" borderId="46" xfId="0" applyFont="1" applyFill="1" applyBorder="1" applyAlignment="1">
      <alignment horizontal="center" vertical="center"/>
    </xf>
    <xf numFmtId="182" fontId="35" fillId="0" borderId="46" xfId="0" applyNumberFormat="1" applyFont="1" applyFill="1" applyBorder="1" applyAlignment="1">
      <alignment horizontal="right" vertical="center"/>
    </xf>
    <xf numFmtId="3" fontId="23" fillId="0" borderId="46" xfId="0" applyNumberFormat="1" applyFont="1" applyFill="1" applyBorder="1" applyAlignment="1">
      <alignment horizontal="center" vertical="center"/>
    </xf>
    <xf numFmtId="3" fontId="22" fillId="0" borderId="46" xfId="0" applyNumberFormat="1" applyFont="1" applyFill="1" applyBorder="1" applyAlignment="1">
      <alignment horizontal="center" vertical="center"/>
    </xf>
    <xf numFmtId="0" fontId="10" fillId="0" borderId="96" xfId="0" applyFont="1" applyFill="1" applyBorder="1">
      <alignment vertical="center"/>
    </xf>
    <xf numFmtId="182" fontId="55" fillId="0" borderId="44" xfId="0" applyNumberFormat="1" applyFont="1" applyFill="1" applyBorder="1" applyAlignment="1">
      <alignment horizontal="center" vertical="center"/>
    </xf>
    <xf numFmtId="176" fontId="32" fillId="4" borderId="3" xfId="0" applyNumberFormat="1" applyFont="1" applyFill="1" applyBorder="1" applyAlignment="1">
      <alignment horizontal="center" vertical="center" shrinkToFit="1"/>
    </xf>
    <xf numFmtId="182" fontId="56" fillId="0" borderId="3" xfId="0" applyNumberFormat="1" applyFont="1" applyFill="1" applyBorder="1" applyAlignment="1">
      <alignment horizontal="center" vertical="center"/>
    </xf>
    <xf numFmtId="3" fontId="32" fillId="4" borderId="3" xfId="0" applyNumberFormat="1" applyFont="1" applyFill="1" applyBorder="1" applyAlignment="1">
      <alignment horizontal="right" vertical="center"/>
    </xf>
    <xf numFmtId="49" fontId="3" fillId="3" borderId="3" xfId="0" applyNumberFormat="1" applyFont="1" applyFill="1" applyBorder="1">
      <alignment vertical="center"/>
    </xf>
    <xf numFmtId="0" fontId="3" fillId="3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>
      <alignment vertical="center"/>
    </xf>
    <xf numFmtId="49" fontId="5" fillId="0" borderId="97" xfId="0" applyNumberFormat="1" applyFont="1" applyFill="1" applyBorder="1">
      <alignment vertical="center"/>
    </xf>
    <xf numFmtId="49" fontId="3" fillId="0" borderId="98" xfId="0" applyNumberFormat="1" applyFont="1" applyFill="1" applyBorder="1">
      <alignment vertical="center"/>
    </xf>
    <xf numFmtId="0" fontId="3" fillId="0" borderId="98" xfId="0" applyNumberFormat="1" applyFont="1" applyFill="1" applyBorder="1" applyAlignment="1">
      <alignment horizontal="center" vertical="center"/>
    </xf>
    <xf numFmtId="176" fontId="3" fillId="0" borderId="98" xfId="0" applyNumberFormat="1" applyFont="1" applyFill="1" applyBorder="1" applyAlignment="1">
      <alignment horizontal="right" vertical="center"/>
    </xf>
    <xf numFmtId="177" fontId="5" fillId="0" borderId="98" xfId="0" applyNumberFormat="1" applyFont="1" applyFill="1" applyBorder="1" applyAlignment="1">
      <alignment horizontal="right" vertical="center"/>
    </xf>
    <xf numFmtId="49" fontId="5" fillId="0" borderId="98" xfId="0" applyNumberFormat="1" applyFont="1" applyFill="1" applyBorder="1">
      <alignment vertical="center"/>
    </xf>
    <xf numFmtId="49" fontId="3" fillId="0" borderId="98" xfId="0" applyNumberFormat="1" applyFont="1" applyFill="1" applyBorder="1" applyAlignment="1">
      <alignment vertical="center" shrinkToFit="1"/>
    </xf>
    <xf numFmtId="3" fontId="32" fillId="4" borderId="62" xfId="0" applyNumberFormat="1" applyFont="1" applyFill="1" applyBorder="1">
      <alignment vertical="center"/>
    </xf>
    <xf numFmtId="0" fontId="10" fillId="0" borderId="100" xfId="0" applyFont="1" applyFill="1" applyBorder="1" applyAlignment="1">
      <alignment horizontal="center" vertical="center"/>
    </xf>
    <xf numFmtId="0" fontId="10" fillId="0" borderId="99" xfId="0" applyFont="1" applyFill="1" applyBorder="1" applyAlignment="1">
      <alignment horizontal="center" vertical="center"/>
    </xf>
    <xf numFmtId="49" fontId="3" fillId="0" borderId="101" xfId="0" applyNumberFormat="1" applyFont="1" applyFill="1" applyBorder="1" applyAlignment="1">
      <alignment vertical="center" shrinkToFit="1"/>
    </xf>
    <xf numFmtId="0" fontId="10" fillId="0" borderId="102" xfId="0" applyFont="1" applyFill="1" applyBorder="1" applyAlignment="1">
      <alignment horizontal="center" vertical="center"/>
    </xf>
    <xf numFmtId="177" fontId="20" fillId="0" borderId="66" xfId="0" applyNumberFormat="1" applyFont="1" applyFill="1" applyBorder="1" applyAlignment="1">
      <alignment horizontal="center" vertical="center"/>
    </xf>
    <xf numFmtId="177" fontId="20" fillId="0" borderId="103" xfId="0" applyNumberFormat="1" applyFont="1" applyFill="1" applyBorder="1" applyAlignment="1">
      <alignment horizontal="center" vertical="center"/>
    </xf>
    <xf numFmtId="182" fontId="57" fillId="0" borderId="103" xfId="0" applyNumberFormat="1" applyFont="1" applyFill="1" applyBorder="1" applyAlignment="1">
      <alignment horizontal="center" vertical="center"/>
    </xf>
    <xf numFmtId="3" fontId="19" fillId="0" borderId="66" xfId="0" applyNumberFormat="1" applyFont="1" applyFill="1" applyBorder="1" applyAlignment="1">
      <alignment horizontal="center" vertical="center"/>
    </xf>
    <xf numFmtId="3" fontId="58" fillId="0" borderId="103" xfId="0" applyNumberFormat="1" applyFont="1" applyFill="1" applyBorder="1" applyAlignment="1">
      <alignment horizontal="center" vertical="center"/>
    </xf>
    <xf numFmtId="0" fontId="10" fillId="0" borderId="104" xfId="0" applyFont="1" applyFill="1" applyBorder="1" applyAlignment="1">
      <alignment vertical="center" wrapText="1" shrinkToFit="1"/>
    </xf>
    <xf numFmtId="182" fontId="59" fillId="0" borderId="66" xfId="0" applyNumberFormat="1" applyFont="1" applyFill="1" applyBorder="1" applyAlignment="1">
      <alignment horizontal="center" vertical="center"/>
    </xf>
    <xf numFmtId="0" fontId="3" fillId="0" borderId="105" xfId="0" applyNumberFormat="1" applyFont="1" applyFill="1" applyBorder="1" applyAlignment="1">
      <alignment horizontal="center" vertical="center"/>
    </xf>
    <xf numFmtId="49" fontId="3" fillId="0" borderId="106" xfId="0" applyNumberFormat="1" applyFont="1" applyFill="1" applyBorder="1" applyAlignment="1">
      <alignment vertical="center" shrinkToFit="1"/>
    </xf>
    <xf numFmtId="177" fontId="5" fillId="0" borderId="105" xfId="0" applyNumberFormat="1" applyFont="1" applyFill="1" applyBorder="1" applyAlignment="1">
      <alignment horizontal="right" vertical="center"/>
    </xf>
    <xf numFmtId="176" fontId="3" fillId="0" borderId="106" xfId="0" applyNumberFormat="1" applyFont="1" applyFill="1" applyBorder="1" applyAlignment="1">
      <alignment horizontal="right" vertical="center"/>
    </xf>
    <xf numFmtId="49" fontId="3" fillId="0" borderId="105" xfId="0" applyNumberFormat="1" applyFont="1" applyFill="1" applyBorder="1">
      <alignment vertical="center"/>
    </xf>
    <xf numFmtId="49" fontId="3" fillId="0" borderId="106" xfId="0" applyNumberFormat="1" applyFont="1" applyFill="1" applyBorder="1">
      <alignment vertical="center"/>
    </xf>
    <xf numFmtId="176" fontId="3" fillId="0" borderId="106" xfId="0" applyNumberFormat="1" applyFont="1" applyFill="1" applyBorder="1" applyAlignment="1">
      <alignment horizontal="right" vertical="center" shrinkToFit="1"/>
    </xf>
    <xf numFmtId="176" fontId="3" fillId="0" borderId="105" xfId="0" applyNumberFormat="1" applyFont="1" applyFill="1" applyBorder="1" applyAlignment="1">
      <alignment horizontal="right" vertical="center"/>
    </xf>
    <xf numFmtId="0" fontId="3" fillId="0" borderId="106" xfId="0" applyNumberFormat="1" applyFont="1" applyFill="1" applyBorder="1" applyAlignment="1">
      <alignment horizontal="center" vertical="center"/>
    </xf>
    <xf numFmtId="49" fontId="3" fillId="0" borderId="105" xfId="0" applyNumberFormat="1" applyFont="1" applyFill="1" applyBorder="1" applyAlignment="1">
      <alignment vertical="center" shrinkToFit="1"/>
    </xf>
    <xf numFmtId="176" fontId="3" fillId="0" borderId="107" xfId="0" applyNumberFormat="1" applyFont="1" applyFill="1" applyBorder="1" applyAlignment="1">
      <alignment horizontal="right" vertical="center"/>
    </xf>
    <xf numFmtId="49" fontId="38" fillId="0" borderId="106" xfId="0" applyNumberFormat="1" applyFont="1" applyFill="1" applyBorder="1" applyAlignment="1">
      <alignment vertical="center" shrinkToFit="1"/>
    </xf>
    <xf numFmtId="177" fontId="5" fillId="0" borderId="67" xfId="0" applyNumberFormat="1" applyFont="1" applyFill="1" applyBorder="1" applyAlignment="1">
      <alignment horizontal="right" vertical="center"/>
    </xf>
    <xf numFmtId="177" fontId="5" fillId="0" borderId="106" xfId="0" applyNumberFormat="1" applyFont="1" applyFill="1" applyBorder="1" applyAlignment="1">
      <alignment horizontal="right" vertical="center"/>
    </xf>
    <xf numFmtId="49" fontId="5" fillId="0" borderId="105" xfId="0" applyNumberFormat="1" applyFont="1" applyFill="1" applyBorder="1">
      <alignment vertical="center"/>
    </xf>
    <xf numFmtId="0" fontId="17" fillId="0" borderId="62" xfId="0" applyNumberFormat="1" applyFont="1" applyFill="1" applyBorder="1" applyAlignment="1">
      <alignment horizontal="center" vertical="center"/>
    </xf>
    <xf numFmtId="176" fontId="3" fillId="3" borderId="98" xfId="0" applyNumberFormat="1" applyFont="1" applyFill="1" applyBorder="1" applyAlignment="1">
      <alignment horizontal="right" vertical="center"/>
    </xf>
    <xf numFmtId="49" fontId="3" fillId="3" borderId="98" xfId="0" applyNumberFormat="1" applyFont="1" applyFill="1" applyBorder="1" applyAlignment="1">
      <alignment vertical="center" shrinkToFit="1"/>
    </xf>
    <xf numFmtId="49" fontId="5" fillId="0" borderId="44" xfId="0" applyNumberFormat="1" applyFont="1" applyFill="1" applyBorder="1">
      <alignment vertical="center"/>
    </xf>
    <xf numFmtId="0" fontId="3" fillId="0" borderId="109" xfId="0" applyNumberFormat="1" applyFont="1" applyFill="1" applyBorder="1">
      <alignment vertical="center"/>
    </xf>
    <xf numFmtId="177" fontId="5" fillId="0" borderId="108" xfId="0" applyNumberFormat="1" applyFont="1" applyFill="1" applyBorder="1" applyAlignment="1">
      <alignment horizontal="right" vertical="center"/>
    </xf>
    <xf numFmtId="49" fontId="3" fillId="0" borderId="110" xfId="0" applyNumberFormat="1" applyFont="1" applyFill="1" applyBorder="1">
      <alignment vertical="center"/>
    </xf>
    <xf numFmtId="0" fontId="3" fillId="0" borderId="111" xfId="0" applyNumberFormat="1" applyFont="1" applyFill="1" applyBorder="1" applyAlignment="1">
      <alignment horizontal="center" vertical="center"/>
    </xf>
    <xf numFmtId="0" fontId="3" fillId="0" borderId="112" xfId="0" applyNumberFormat="1" applyFont="1" applyFill="1" applyBorder="1">
      <alignment vertical="center"/>
    </xf>
    <xf numFmtId="49" fontId="3" fillId="0" borderId="113" xfId="0" applyNumberFormat="1" applyFont="1" applyFill="1" applyBorder="1" applyAlignment="1">
      <alignment vertical="center" shrinkToFit="1"/>
    </xf>
    <xf numFmtId="176" fontId="3" fillId="0" borderId="68" xfId="0" applyNumberFormat="1" applyFont="1" applyFill="1" applyBorder="1" applyAlignment="1">
      <alignment horizontal="right" vertical="center"/>
    </xf>
    <xf numFmtId="0" fontId="3" fillId="0" borderId="114" xfId="0" applyNumberFormat="1" applyFont="1" applyFill="1" applyBorder="1" applyAlignment="1">
      <alignment horizontal="center" vertical="center"/>
    </xf>
    <xf numFmtId="0" fontId="3" fillId="0" borderId="115" xfId="0" applyNumberFormat="1" applyFont="1" applyFill="1" applyBorder="1" applyAlignment="1">
      <alignment horizontal="center" vertical="center"/>
    </xf>
    <xf numFmtId="0" fontId="3" fillId="0" borderId="116" xfId="0" applyNumberFormat="1" applyFont="1" applyFill="1" applyBorder="1" applyAlignment="1">
      <alignment horizontal="center" vertical="center"/>
    </xf>
    <xf numFmtId="49" fontId="3" fillId="0" borderId="117" xfId="0" applyNumberFormat="1" applyFont="1" applyFill="1" applyBorder="1">
      <alignment vertical="center"/>
    </xf>
    <xf numFmtId="49" fontId="3" fillId="0" borderId="115" xfId="0" applyNumberFormat="1" applyFont="1" applyFill="1" applyBorder="1">
      <alignment vertical="center"/>
    </xf>
    <xf numFmtId="182" fontId="3" fillId="0" borderId="62" xfId="0" applyNumberFormat="1" applyFont="1" applyFill="1" applyBorder="1">
      <alignment vertical="center"/>
    </xf>
    <xf numFmtId="3" fontId="51" fillId="3" borderId="3" xfId="0" applyNumberFormat="1" applyFont="1" applyFill="1" applyBorder="1" applyAlignment="1">
      <alignment horizontal="right" vertical="center"/>
    </xf>
    <xf numFmtId="49" fontId="18" fillId="0" borderId="117" xfId="0" applyNumberFormat="1" applyFont="1" applyFill="1" applyBorder="1" applyAlignment="1">
      <alignment horizontal="center" vertical="center"/>
    </xf>
    <xf numFmtId="0" fontId="25" fillId="3" borderId="117" xfId="0" applyNumberFormat="1" applyFont="1" applyFill="1" applyBorder="1" applyAlignment="1">
      <alignment horizontal="center" vertical="center"/>
    </xf>
    <xf numFmtId="3" fontId="32" fillId="0" borderId="117" xfId="0" applyNumberFormat="1" applyFont="1" applyFill="1" applyBorder="1" applyAlignment="1">
      <alignment horizontal="center" vertical="center"/>
    </xf>
    <xf numFmtId="3" fontId="32" fillId="3" borderId="117" xfId="0" applyNumberFormat="1" applyFont="1" applyFill="1" applyBorder="1" applyAlignment="1">
      <alignment horizontal="center" vertical="center"/>
    </xf>
    <xf numFmtId="3" fontId="32" fillId="0" borderId="117" xfId="0" applyNumberFormat="1" applyFont="1" applyFill="1" applyBorder="1" applyAlignment="1">
      <alignment horizontal="right" vertical="center"/>
    </xf>
    <xf numFmtId="3" fontId="18" fillId="0" borderId="117" xfId="0" applyNumberFormat="1" applyFont="1" applyFill="1" applyBorder="1">
      <alignment vertical="center"/>
    </xf>
    <xf numFmtId="0" fontId="3" fillId="0" borderId="117" xfId="0" applyNumberFormat="1" applyFont="1" applyFill="1" applyBorder="1" applyAlignment="1">
      <alignment horizontal="center" vertical="center"/>
    </xf>
    <xf numFmtId="0" fontId="3" fillId="0" borderId="118" xfId="0" applyNumberFormat="1" applyFont="1" applyFill="1" applyBorder="1" applyAlignment="1">
      <alignment horizontal="center" vertical="center"/>
    </xf>
    <xf numFmtId="0" fontId="3" fillId="0" borderId="66" xfId="0" applyNumberFormat="1" applyFont="1" applyFill="1" applyBorder="1">
      <alignment vertical="center"/>
    </xf>
    <xf numFmtId="0" fontId="3" fillId="0" borderId="116" xfId="0" applyNumberFormat="1" applyFont="1" applyFill="1" applyBorder="1">
      <alignment vertical="center"/>
    </xf>
    <xf numFmtId="0" fontId="3" fillId="0" borderId="119" xfId="0" applyNumberFormat="1" applyFont="1" applyFill="1" applyBorder="1" applyAlignment="1">
      <alignment horizontal="center" vertical="center"/>
    </xf>
    <xf numFmtId="0" fontId="3" fillId="0" borderId="105" xfId="0" applyNumberFormat="1" applyFont="1" applyFill="1" applyBorder="1">
      <alignment vertical="center"/>
    </xf>
    <xf numFmtId="0" fontId="5" fillId="0" borderId="66" xfId="0" applyNumberFormat="1" applyFont="1" applyFill="1" applyBorder="1">
      <alignment vertical="center"/>
    </xf>
    <xf numFmtId="182" fontId="5" fillId="0" borderId="119" xfId="0" applyNumberFormat="1" applyFont="1" applyFill="1" applyBorder="1">
      <alignment vertical="center"/>
    </xf>
    <xf numFmtId="176" fontId="3" fillId="3" borderId="67" xfId="0" applyNumberFormat="1" applyFont="1" applyFill="1" applyBorder="1" applyAlignment="1">
      <alignment horizontal="right" vertical="center"/>
    </xf>
    <xf numFmtId="176" fontId="3" fillId="3" borderId="105" xfId="0" applyNumberFormat="1" applyFont="1" applyFill="1" applyBorder="1" applyAlignment="1">
      <alignment horizontal="right" vertical="center"/>
    </xf>
    <xf numFmtId="0" fontId="3" fillId="0" borderId="120" xfId="0" applyNumberFormat="1" applyFont="1" applyFill="1" applyBorder="1" applyAlignment="1">
      <alignment horizontal="center" vertical="center"/>
    </xf>
    <xf numFmtId="0" fontId="3" fillId="0" borderId="119" xfId="0" applyNumberFormat="1" applyFont="1" applyFill="1" applyBorder="1">
      <alignment vertical="center"/>
    </xf>
    <xf numFmtId="38" fontId="61" fillId="0" borderId="0" xfId="0" applyNumberFormat="1" applyFont="1" applyFill="1" applyBorder="1" applyAlignment="1">
      <alignment horizontal="center" vertical="center"/>
    </xf>
    <xf numFmtId="3" fontId="46" fillId="0" borderId="3" xfId="0" applyNumberFormat="1" applyFont="1" applyFill="1" applyBorder="1" applyAlignment="1">
      <alignment horizontal="right" vertical="center"/>
    </xf>
    <xf numFmtId="0" fontId="10" fillId="0" borderId="121" xfId="0" applyFont="1" applyFill="1" applyBorder="1" applyAlignment="1">
      <alignment horizontal="center" vertical="center"/>
    </xf>
    <xf numFmtId="177" fontId="20" fillId="0" borderId="122" xfId="0" applyNumberFormat="1" applyFont="1" applyFill="1" applyBorder="1" applyAlignment="1">
      <alignment horizontal="center" vertical="center"/>
    </xf>
    <xf numFmtId="3" fontId="23" fillId="0" borderId="122" xfId="0" applyNumberFormat="1" applyFont="1" applyFill="1" applyBorder="1" applyAlignment="1">
      <alignment horizontal="center" vertical="center"/>
    </xf>
    <xf numFmtId="0" fontId="10" fillId="0" borderId="123" xfId="0" applyFont="1" applyFill="1" applyBorder="1">
      <alignment vertical="center"/>
    </xf>
    <xf numFmtId="49" fontId="3" fillId="0" borderId="117" xfId="0" applyNumberFormat="1" applyFont="1" applyFill="1" applyBorder="1" applyAlignment="1">
      <alignment vertical="center" shrinkToFit="1"/>
    </xf>
    <xf numFmtId="3" fontId="62" fillId="0" borderId="122" xfId="0" applyNumberFormat="1" applyFont="1" applyFill="1" applyBorder="1" applyAlignment="1">
      <alignment horizontal="center" vertical="center"/>
    </xf>
    <xf numFmtId="0" fontId="10" fillId="0" borderId="125" xfId="0" applyFont="1" applyFill="1" applyBorder="1" applyAlignment="1">
      <alignment horizontal="center" vertical="center"/>
    </xf>
    <xf numFmtId="3" fontId="19" fillId="0" borderId="105" xfId="0" applyNumberFormat="1" applyFont="1" applyFill="1" applyBorder="1" applyAlignment="1">
      <alignment horizontal="center" vertical="center"/>
    </xf>
    <xf numFmtId="182" fontId="63" fillId="0" borderId="124" xfId="0" applyNumberFormat="1" applyFont="1" applyFill="1" applyBorder="1" applyAlignment="1">
      <alignment horizontal="center" vertical="center"/>
    </xf>
    <xf numFmtId="182" fontId="63" fillId="0" borderId="3" xfId="0" applyNumberFormat="1" applyFont="1" applyFill="1" applyBorder="1" applyAlignment="1">
      <alignment horizontal="center" vertical="center"/>
    </xf>
    <xf numFmtId="0" fontId="3" fillId="0" borderId="62" xfId="0" applyNumberFormat="1" applyFont="1" applyFill="1" applyBorder="1" applyAlignment="1">
      <alignment horizontal="left" vertical="top"/>
    </xf>
    <xf numFmtId="176" fontId="64" fillId="0" borderId="28" xfId="0" applyNumberFormat="1" applyFont="1" applyFill="1" applyBorder="1" applyAlignment="1">
      <alignment horizontal="center" vertical="center"/>
    </xf>
    <xf numFmtId="182" fontId="3" fillId="0" borderId="105" xfId="0" applyNumberFormat="1" applyFont="1" applyFill="1" applyBorder="1">
      <alignment vertical="center"/>
    </xf>
    <xf numFmtId="182" fontId="3" fillId="0" borderId="117" xfId="0" applyNumberFormat="1" applyFont="1" applyFill="1" applyBorder="1">
      <alignment vertical="center"/>
    </xf>
    <xf numFmtId="182" fontId="3" fillId="0" borderId="66" xfId="0" applyNumberFormat="1" applyFont="1" applyFill="1" applyBorder="1">
      <alignment vertical="center"/>
    </xf>
    <xf numFmtId="182" fontId="3" fillId="0" borderId="62" xfId="0" applyNumberFormat="1" applyFont="1" applyFill="1" applyBorder="1" applyAlignment="1">
      <alignment horizontal="center" vertical="center"/>
    </xf>
    <xf numFmtId="184" fontId="3" fillId="0" borderId="62" xfId="0" applyNumberFormat="1" applyFont="1" applyFill="1" applyBorder="1">
      <alignment vertical="center"/>
    </xf>
    <xf numFmtId="185" fontId="3" fillId="0" borderId="62" xfId="0" applyNumberFormat="1" applyFont="1" applyFill="1" applyBorder="1" applyAlignment="1">
      <alignment horizontal="right" vertical="top"/>
    </xf>
    <xf numFmtId="0" fontId="18" fillId="0" borderId="117" xfId="0" applyNumberFormat="1" applyFont="1" applyFill="1" applyBorder="1" applyAlignment="1">
      <alignment horizontal="center" vertical="center"/>
    </xf>
    <xf numFmtId="182" fontId="5" fillId="0" borderId="62" xfId="0" applyNumberFormat="1" applyFont="1" applyFill="1" applyBorder="1">
      <alignment vertical="center"/>
    </xf>
    <xf numFmtId="0" fontId="3" fillId="0" borderId="126" xfId="0" applyNumberFormat="1" applyFont="1" applyFill="1" applyBorder="1" applyAlignment="1">
      <alignment horizontal="center" vertical="center"/>
    </xf>
    <xf numFmtId="0" fontId="3" fillId="0" borderId="122" xfId="0" applyNumberFormat="1" applyFont="1" applyFill="1" applyBorder="1" applyAlignment="1">
      <alignment horizontal="center" vertical="center"/>
    </xf>
    <xf numFmtId="184" fontId="3" fillId="0" borderId="122" xfId="0" applyNumberFormat="1" applyFont="1" applyFill="1" applyBorder="1" applyAlignment="1">
      <alignment horizontal="center" vertical="center"/>
    </xf>
    <xf numFmtId="182" fontId="5" fillId="0" borderId="116" xfId="0" applyNumberFormat="1" applyFont="1" applyFill="1" applyBorder="1">
      <alignment vertical="center"/>
    </xf>
    <xf numFmtId="182" fontId="3" fillId="0" borderId="116" xfId="0" applyNumberFormat="1" applyFont="1" applyFill="1" applyBorder="1">
      <alignment vertical="center"/>
    </xf>
    <xf numFmtId="0" fontId="3" fillId="0" borderId="126" xfId="0" applyNumberFormat="1" applyFont="1" applyFill="1" applyBorder="1">
      <alignment vertical="center"/>
    </xf>
    <xf numFmtId="182" fontId="3" fillId="0" borderId="126" xfId="0" applyNumberFormat="1" applyFont="1" applyFill="1" applyBorder="1" applyAlignment="1">
      <alignment horizontal="right" vertical="center"/>
    </xf>
    <xf numFmtId="182" fontId="3" fillId="0" borderId="126" xfId="0" applyNumberFormat="1" applyFont="1" applyFill="1" applyBorder="1">
      <alignment vertical="center"/>
    </xf>
    <xf numFmtId="182" fontId="5" fillId="0" borderId="126" xfId="0" applyNumberFormat="1" applyFont="1" applyFill="1" applyBorder="1">
      <alignment vertical="center"/>
    </xf>
    <xf numFmtId="185" fontId="5" fillId="0" borderId="105" xfId="0" applyNumberFormat="1" applyFont="1" applyFill="1" applyBorder="1">
      <alignment vertical="center"/>
    </xf>
    <xf numFmtId="185" fontId="5" fillId="0" borderId="62" xfId="0" applyNumberFormat="1" applyFont="1" applyFill="1" applyBorder="1">
      <alignment vertical="center"/>
    </xf>
    <xf numFmtId="185" fontId="5" fillId="0" borderId="116" xfId="0" applyNumberFormat="1" applyFont="1" applyFill="1" applyBorder="1">
      <alignment vertical="center"/>
    </xf>
    <xf numFmtId="185" fontId="5" fillId="0" borderId="126" xfId="0" applyNumberFormat="1" applyFont="1" applyFill="1" applyBorder="1">
      <alignment vertical="center"/>
    </xf>
    <xf numFmtId="0" fontId="10" fillId="0" borderId="127" xfId="0" applyFont="1" applyFill="1" applyBorder="1" applyAlignment="1">
      <alignment horizontal="center" vertical="center"/>
    </xf>
    <xf numFmtId="0" fontId="10" fillId="0" borderId="128" xfId="0" applyFont="1" applyFill="1" applyBorder="1" applyAlignment="1">
      <alignment horizontal="center" vertical="center"/>
    </xf>
    <xf numFmtId="49" fontId="3" fillId="0" borderId="128" xfId="0" applyNumberFormat="1" applyFont="1" applyFill="1" applyBorder="1" applyAlignment="1">
      <alignment vertical="center" shrinkToFit="1"/>
    </xf>
    <xf numFmtId="177" fontId="20" fillId="0" borderId="128" xfId="0" applyNumberFormat="1" applyFont="1" applyFill="1" applyBorder="1" applyAlignment="1">
      <alignment horizontal="center" vertical="center"/>
    </xf>
    <xf numFmtId="3" fontId="23" fillId="0" borderId="66" xfId="0" applyNumberFormat="1" applyFont="1" applyFill="1" applyBorder="1" applyAlignment="1">
      <alignment horizontal="center" vertical="center"/>
    </xf>
    <xf numFmtId="182" fontId="63" fillId="0" borderId="128" xfId="0" applyNumberFormat="1" applyFont="1" applyFill="1" applyBorder="1" applyAlignment="1">
      <alignment horizontal="center" vertical="center"/>
    </xf>
    <xf numFmtId="3" fontId="58" fillId="0" borderId="128" xfId="0" applyNumberFormat="1" applyFont="1" applyFill="1" applyBorder="1" applyAlignment="1">
      <alignment horizontal="center" vertical="center"/>
    </xf>
    <xf numFmtId="0" fontId="10" fillId="0" borderId="130" xfId="0" applyFont="1" applyFill="1" applyBorder="1">
      <alignment vertical="center"/>
    </xf>
    <xf numFmtId="0" fontId="10" fillId="0" borderId="129" xfId="0" applyFont="1" applyFill="1" applyBorder="1">
      <alignment vertical="center"/>
    </xf>
    <xf numFmtId="182" fontId="68" fillId="0" borderId="44" xfId="0" applyNumberFormat="1" applyFont="1" applyFill="1" applyBorder="1" applyAlignment="1">
      <alignment horizontal="center" vertical="center"/>
    </xf>
    <xf numFmtId="49" fontId="69" fillId="0" borderId="3" xfId="0" applyNumberFormat="1" applyFont="1" applyFill="1" applyBorder="1" applyAlignment="1">
      <alignment vertical="center" shrinkToFit="1"/>
    </xf>
    <xf numFmtId="182" fontId="70" fillId="0" borderId="3" xfId="0" applyNumberFormat="1" applyFont="1" applyFill="1" applyBorder="1" applyAlignment="1">
      <alignment horizontal="center" vertical="center"/>
    </xf>
    <xf numFmtId="49" fontId="71" fillId="0" borderId="3" xfId="0" applyNumberFormat="1" applyFont="1" applyFill="1" applyBorder="1" applyAlignment="1">
      <alignment vertical="center" shrinkToFit="1"/>
    </xf>
    <xf numFmtId="49" fontId="18" fillId="0" borderId="126" xfId="0" applyNumberFormat="1" applyFont="1" applyFill="1" applyBorder="1" applyAlignment="1">
      <alignment horizontal="center" vertical="center"/>
    </xf>
    <xf numFmtId="0" fontId="25" fillId="3" borderId="126" xfId="0" applyNumberFormat="1" applyFont="1" applyFill="1" applyBorder="1" applyAlignment="1">
      <alignment horizontal="center" vertical="center"/>
    </xf>
    <xf numFmtId="3" fontId="32" fillId="0" borderId="126" xfId="0" applyNumberFormat="1" applyFont="1" applyFill="1" applyBorder="1" applyAlignment="1">
      <alignment horizontal="center" vertical="center"/>
    </xf>
    <xf numFmtId="3" fontId="32" fillId="3" borderId="126" xfId="0" applyNumberFormat="1" applyFont="1" applyFill="1" applyBorder="1" applyAlignment="1">
      <alignment horizontal="center" vertical="center"/>
    </xf>
    <xf numFmtId="3" fontId="32" fillId="0" borderId="126" xfId="0" applyNumberFormat="1" applyFont="1" applyFill="1" applyBorder="1" applyAlignment="1">
      <alignment horizontal="right" vertical="center"/>
    </xf>
    <xf numFmtId="3" fontId="18" fillId="0" borderId="126" xfId="0" applyNumberFormat="1" applyFont="1" applyFill="1" applyBorder="1">
      <alignment vertical="center"/>
    </xf>
    <xf numFmtId="49" fontId="73" fillId="0" borderId="3" xfId="0" applyNumberFormat="1" applyFont="1" applyFill="1" applyBorder="1" applyAlignment="1">
      <alignment vertical="center" shrinkToFit="1"/>
    </xf>
    <xf numFmtId="0" fontId="3" fillId="0" borderId="114" xfId="0" applyNumberFormat="1" applyFont="1" applyFill="1" applyBorder="1">
      <alignment vertical="center"/>
    </xf>
    <xf numFmtId="0" fontId="3" fillId="0" borderId="131" xfId="0" applyNumberFormat="1" applyFont="1" applyFill="1" applyBorder="1">
      <alignment vertical="center"/>
    </xf>
    <xf numFmtId="0" fontId="3" fillId="0" borderId="132" xfId="0" applyNumberFormat="1" applyFont="1" applyFill="1" applyBorder="1" applyAlignment="1">
      <alignment horizontal="center" vertical="center"/>
    </xf>
    <xf numFmtId="0" fontId="3" fillId="0" borderId="103" xfId="0" applyNumberFormat="1" applyFont="1" applyFill="1" applyBorder="1" applyAlignment="1">
      <alignment horizontal="center" vertical="center"/>
    </xf>
    <xf numFmtId="0" fontId="3" fillId="0" borderId="103" xfId="0" applyNumberFormat="1" applyFont="1" applyFill="1" applyBorder="1">
      <alignment vertical="center"/>
    </xf>
    <xf numFmtId="182" fontId="3" fillId="0" borderId="132" xfId="0" applyNumberFormat="1" applyFont="1" applyFill="1" applyBorder="1">
      <alignment vertical="center"/>
    </xf>
    <xf numFmtId="185" fontId="5" fillId="0" borderId="66" xfId="0" applyNumberFormat="1" applyFont="1" applyFill="1" applyBorder="1">
      <alignment vertical="center"/>
    </xf>
    <xf numFmtId="185" fontId="5" fillId="0" borderId="103" xfId="0" applyNumberFormat="1" applyFont="1" applyFill="1" applyBorder="1">
      <alignment vertical="center"/>
    </xf>
    <xf numFmtId="0" fontId="25" fillId="6" borderId="62" xfId="0" applyNumberFormat="1" applyFont="1" applyFill="1" applyBorder="1" applyAlignment="1">
      <alignment horizontal="center" vertical="center"/>
    </xf>
    <xf numFmtId="0" fontId="25" fillId="7" borderId="62" xfId="0" applyNumberFormat="1" applyFont="1" applyFill="1" applyBorder="1" applyAlignment="1">
      <alignment horizontal="center" vertical="center"/>
    </xf>
    <xf numFmtId="0" fontId="25" fillId="3" borderId="62" xfId="0" applyFont="1" applyFill="1" applyBorder="1" applyAlignment="1">
      <alignment horizontal="center" vertical="center"/>
    </xf>
    <xf numFmtId="0" fontId="25" fillId="6" borderId="62" xfId="0" applyFont="1" applyFill="1" applyBorder="1" applyAlignment="1">
      <alignment horizontal="center" vertical="center"/>
    </xf>
    <xf numFmtId="0" fontId="3" fillId="0" borderId="136" xfId="0" applyNumberFormat="1" applyFont="1" applyFill="1" applyBorder="1" applyAlignment="1">
      <alignment horizontal="center" vertical="center"/>
    </xf>
    <xf numFmtId="0" fontId="3" fillId="0" borderId="136" xfId="0" applyNumberFormat="1" applyFont="1" applyFill="1" applyBorder="1">
      <alignment vertical="center"/>
    </xf>
    <xf numFmtId="49" fontId="37" fillId="0" borderId="66" xfId="0" applyNumberFormat="1" applyFont="1" applyFill="1" applyBorder="1" applyAlignment="1">
      <alignment vertical="center" shrinkToFit="1"/>
    </xf>
    <xf numFmtId="0" fontId="10" fillId="0" borderId="137" xfId="0" applyFont="1" applyFill="1" applyBorder="1" applyAlignment="1">
      <alignment horizontal="center" vertical="center"/>
    </xf>
    <xf numFmtId="177" fontId="20" fillId="0" borderId="124" xfId="0" applyNumberFormat="1" applyFont="1" applyFill="1" applyBorder="1" applyAlignment="1">
      <alignment horizontal="center" vertical="center"/>
    </xf>
    <xf numFmtId="177" fontId="20" fillId="0" borderId="137" xfId="0" applyNumberFormat="1" applyFont="1" applyFill="1" applyBorder="1" applyAlignment="1">
      <alignment horizontal="center" vertical="center"/>
    </xf>
    <xf numFmtId="3" fontId="23" fillId="0" borderId="137" xfId="0" applyNumberFormat="1" applyFont="1" applyFill="1" applyBorder="1" applyAlignment="1">
      <alignment horizontal="center" vertical="center"/>
    </xf>
    <xf numFmtId="3" fontId="74" fillId="0" borderId="137" xfId="0" applyNumberFormat="1" applyFont="1" applyFill="1" applyBorder="1" applyAlignment="1">
      <alignment horizontal="center" vertical="center"/>
    </xf>
    <xf numFmtId="0" fontId="10" fillId="0" borderId="66" xfId="0" applyFont="1" applyFill="1" applyBorder="1">
      <alignment vertical="center"/>
    </xf>
    <xf numFmtId="0" fontId="10" fillId="0" borderId="137" xfId="0" applyFont="1" applyFill="1" applyBorder="1">
      <alignment vertical="center"/>
    </xf>
    <xf numFmtId="49" fontId="3" fillId="0" borderId="138" xfId="0" applyNumberFormat="1" applyFont="1" applyFill="1" applyBorder="1" applyAlignment="1">
      <alignment vertical="center" shrinkToFit="1"/>
    </xf>
    <xf numFmtId="3" fontId="43" fillId="0" borderId="126" xfId="0" applyNumberFormat="1" applyFont="1" applyFill="1" applyBorder="1" applyAlignment="1">
      <alignment horizontal="right" vertical="center"/>
    </xf>
    <xf numFmtId="0" fontId="3" fillId="0" borderId="128" xfId="0" applyNumberFormat="1" applyFont="1" applyFill="1" applyBorder="1" applyAlignment="1">
      <alignment horizontal="center" vertical="center"/>
    </xf>
    <xf numFmtId="185" fontId="5" fillId="0" borderId="128" xfId="0" applyNumberFormat="1" applyFont="1" applyFill="1" applyBorder="1">
      <alignment vertical="center"/>
    </xf>
    <xf numFmtId="182" fontId="3" fillId="0" borderId="128" xfId="0" applyNumberFormat="1" applyFont="1" applyFill="1" applyBorder="1">
      <alignment vertical="center"/>
    </xf>
    <xf numFmtId="0" fontId="18" fillId="0" borderId="126" xfId="0" applyNumberFormat="1" applyFont="1" applyFill="1" applyBorder="1" applyAlignment="1">
      <alignment horizontal="center" vertical="center"/>
    </xf>
    <xf numFmtId="0" fontId="10" fillId="0" borderId="140" xfId="0" applyNumberFormat="1" applyFont="1" applyFill="1" applyBorder="1" applyAlignment="1">
      <alignment horizontal="center" vertical="center"/>
    </xf>
    <xf numFmtId="0" fontId="10" fillId="0" borderId="139" xfId="0" applyNumberFormat="1" applyFont="1" applyFill="1" applyBorder="1" applyAlignment="1">
      <alignment horizontal="center" vertical="center"/>
    </xf>
    <xf numFmtId="0" fontId="10" fillId="0" borderId="142" xfId="0" applyNumberFormat="1" applyFont="1" applyFill="1" applyBorder="1" applyAlignment="1">
      <alignment horizontal="center" vertical="center"/>
    </xf>
    <xf numFmtId="0" fontId="10" fillId="0" borderId="141" xfId="0" applyNumberFormat="1" applyFont="1" applyFill="1" applyBorder="1" applyAlignment="1">
      <alignment horizontal="center" vertical="center"/>
    </xf>
    <xf numFmtId="49" fontId="10" fillId="0" borderId="142" xfId="0" applyNumberFormat="1" applyFont="1" applyFill="1" applyBorder="1">
      <alignment vertical="center"/>
    </xf>
    <xf numFmtId="49" fontId="10" fillId="0" borderId="141" xfId="0" applyNumberFormat="1" applyFont="1" applyFill="1" applyBorder="1">
      <alignment vertical="center"/>
    </xf>
    <xf numFmtId="177" fontId="20" fillId="0" borderId="142" xfId="0" applyNumberFormat="1" applyFont="1" applyFill="1" applyBorder="1" applyAlignment="1">
      <alignment horizontal="center" vertical="center"/>
    </xf>
    <xf numFmtId="177" fontId="20" fillId="0" borderId="141" xfId="0" applyNumberFormat="1" applyFont="1" applyFill="1" applyBorder="1" applyAlignment="1">
      <alignment horizontal="center" vertical="center"/>
    </xf>
    <xf numFmtId="3" fontId="23" fillId="0" borderId="142" xfId="0" applyNumberFormat="1" applyFont="1" applyFill="1" applyBorder="1" applyAlignment="1">
      <alignment horizontal="center" vertical="center"/>
    </xf>
    <xf numFmtId="3" fontId="23" fillId="0" borderId="141" xfId="0" applyNumberFormat="1" applyFont="1" applyFill="1" applyBorder="1" applyAlignment="1">
      <alignment horizontal="center" vertical="center"/>
    </xf>
    <xf numFmtId="3" fontId="19" fillId="0" borderId="142" xfId="0" applyNumberFormat="1" applyFont="1" applyFill="1" applyBorder="1" applyAlignment="1">
      <alignment horizontal="center" vertical="center"/>
    </xf>
    <xf numFmtId="3" fontId="75" fillId="0" borderId="141" xfId="0" applyNumberFormat="1" applyFont="1" applyFill="1" applyBorder="1" applyAlignment="1">
      <alignment horizontal="center" vertical="center"/>
    </xf>
    <xf numFmtId="0" fontId="10" fillId="0" borderId="144" xfId="0" applyFont="1" applyFill="1" applyBorder="1">
      <alignment vertical="center"/>
    </xf>
    <xf numFmtId="0" fontId="10" fillId="0" borderId="143" xfId="0" applyFont="1" applyFill="1" applyBorder="1">
      <alignment vertical="center"/>
    </xf>
    <xf numFmtId="0" fontId="3" fillId="0" borderId="146" xfId="0" applyNumberFormat="1" applyFont="1" applyFill="1" applyBorder="1" applyAlignment="1">
      <alignment horizontal="center" vertical="center"/>
    </xf>
    <xf numFmtId="0" fontId="3" fillId="0" borderId="146" xfId="0" applyNumberFormat="1" applyFont="1" applyFill="1" applyBorder="1">
      <alignment vertical="center"/>
    </xf>
    <xf numFmtId="0" fontId="3" fillId="0" borderId="128" xfId="0" applyNumberFormat="1" applyFont="1" applyFill="1" applyBorder="1">
      <alignment vertical="center"/>
    </xf>
    <xf numFmtId="182" fontId="3" fillId="0" borderId="146" xfId="0" applyNumberFormat="1" applyFont="1" applyFill="1" applyBorder="1">
      <alignment vertical="center"/>
    </xf>
    <xf numFmtId="0" fontId="10" fillId="0" borderId="147" xfId="0" applyFont="1" applyFill="1" applyBorder="1" applyAlignment="1">
      <alignment horizontal="center" vertical="center"/>
    </xf>
    <xf numFmtId="0" fontId="10" fillId="0" borderId="145" xfId="0" applyFont="1" applyFill="1" applyBorder="1" applyAlignment="1">
      <alignment horizontal="center" vertical="center"/>
    </xf>
    <xf numFmtId="49" fontId="10" fillId="0" borderId="148" xfId="0" applyNumberFormat="1" applyFont="1" applyFill="1" applyBorder="1">
      <alignment vertical="center"/>
    </xf>
    <xf numFmtId="177" fontId="20" fillId="0" borderId="145" xfId="0" applyNumberFormat="1" applyFont="1" applyFill="1" applyBorder="1" applyAlignment="1">
      <alignment horizontal="center" vertical="center"/>
    </xf>
    <xf numFmtId="177" fontId="20" fillId="0" borderId="148" xfId="0" applyNumberFormat="1" applyFont="1" applyFill="1" applyBorder="1" applyAlignment="1">
      <alignment horizontal="center" vertical="center"/>
    </xf>
    <xf numFmtId="3" fontId="23" fillId="0" borderId="145" xfId="0" applyNumberFormat="1" applyFont="1" applyFill="1" applyBorder="1" applyAlignment="1">
      <alignment horizontal="center" vertical="center"/>
    </xf>
    <xf numFmtId="3" fontId="23" fillId="0" borderId="148" xfId="0" applyNumberFormat="1" applyFont="1" applyFill="1" applyBorder="1" applyAlignment="1">
      <alignment horizontal="center" vertical="center"/>
    </xf>
    <xf numFmtId="3" fontId="22" fillId="0" borderId="149" xfId="0" applyNumberFormat="1" applyFont="1" applyFill="1" applyBorder="1" applyAlignment="1">
      <alignment horizontal="center" vertical="center"/>
    </xf>
    <xf numFmtId="0" fontId="10" fillId="0" borderId="151" xfId="0" applyFont="1" applyFill="1" applyBorder="1">
      <alignment vertical="center"/>
    </xf>
    <xf numFmtId="49" fontId="10" fillId="0" borderId="150" xfId="0" applyNumberFormat="1" applyFont="1" applyFill="1" applyBorder="1">
      <alignment vertical="center"/>
    </xf>
    <xf numFmtId="0" fontId="10" fillId="0" borderId="152" xfId="0" applyNumberFormat="1" applyFont="1" applyFill="1" applyBorder="1" applyAlignment="1">
      <alignment horizontal="center" vertical="center"/>
    </xf>
    <xf numFmtId="0" fontId="10" fillId="0" borderId="153" xfId="0" applyNumberFormat="1" applyFont="1" applyFill="1" applyBorder="1" applyAlignment="1">
      <alignment horizontal="center" vertical="center"/>
    </xf>
    <xf numFmtId="3" fontId="22" fillId="0" borderId="154" xfId="0" applyNumberFormat="1" applyFont="1" applyFill="1" applyBorder="1" applyAlignment="1">
      <alignment horizontal="center" vertical="center"/>
    </xf>
    <xf numFmtId="0" fontId="10" fillId="0" borderId="155" xfId="0" applyFont="1" applyFill="1" applyBorder="1" applyAlignment="1">
      <alignment horizontal="center" vertical="center"/>
    </xf>
    <xf numFmtId="0" fontId="0" fillId="0" borderId="156" xfId="0" applyFill="1" applyBorder="1">
      <alignment vertical="center"/>
    </xf>
    <xf numFmtId="177" fontId="20" fillId="0" borderId="155" xfId="0" applyNumberFormat="1" applyFont="1" applyFill="1" applyBorder="1" applyAlignment="1">
      <alignment horizontal="center" vertical="center"/>
    </xf>
    <xf numFmtId="3" fontId="23" fillId="0" borderId="155" xfId="0" applyNumberFormat="1" applyFont="1" applyFill="1" applyBorder="1" applyAlignment="1">
      <alignment horizontal="center" vertical="center"/>
    </xf>
    <xf numFmtId="3" fontId="22" fillId="0" borderId="155" xfId="0" applyNumberFormat="1" applyFont="1" applyFill="1" applyBorder="1" applyAlignment="1">
      <alignment horizontal="center" vertical="center"/>
    </xf>
    <xf numFmtId="0" fontId="10" fillId="0" borderId="157" xfId="0" applyFont="1" applyFill="1" applyBorder="1">
      <alignment vertical="center"/>
    </xf>
    <xf numFmtId="49" fontId="76" fillId="0" borderId="154" xfId="0" applyNumberFormat="1" applyFont="1" applyFill="1" applyBorder="1">
      <alignment vertical="center"/>
    </xf>
    <xf numFmtId="0" fontId="10" fillId="0" borderId="158" xfId="0" applyFont="1" applyFill="1" applyBorder="1" applyAlignment="1">
      <alignment horizontal="center" vertical="center"/>
    </xf>
    <xf numFmtId="0" fontId="10" fillId="0" borderId="159" xfId="0" applyFont="1" applyFill="1" applyBorder="1" applyAlignment="1">
      <alignment horizontal="center" vertical="center"/>
    </xf>
    <xf numFmtId="49" fontId="76" fillId="0" borderId="148" xfId="0" applyNumberFormat="1" applyFont="1" applyFill="1" applyBorder="1">
      <alignment vertical="center"/>
    </xf>
    <xf numFmtId="177" fontId="20" fillId="0" borderId="160" xfId="0" applyNumberFormat="1" applyFont="1" applyFill="1" applyBorder="1" applyAlignment="1">
      <alignment horizontal="center" vertical="center"/>
    </xf>
    <xf numFmtId="3" fontId="23" fillId="0" borderId="160" xfId="0" applyNumberFormat="1" applyFont="1" applyFill="1" applyBorder="1" applyAlignment="1">
      <alignment horizontal="center" vertical="center"/>
    </xf>
    <xf numFmtId="3" fontId="62" fillId="0" borderId="161" xfId="0" applyNumberFormat="1" applyFont="1" applyFill="1" applyBorder="1" applyAlignment="1">
      <alignment horizontal="center" vertical="center"/>
    </xf>
    <xf numFmtId="0" fontId="10" fillId="0" borderId="162" xfId="0" applyFont="1" applyFill="1" applyBorder="1">
      <alignment vertical="center"/>
    </xf>
    <xf numFmtId="49" fontId="11" fillId="0" borderId="163" xfId="0" applyNumberFormat="1" applyFont="1" applyFill="1" applyBorder="1" applyAlignment="1">
      <alignment vertical="center" shrinkToFit="1"/>
    </xf>
    <xf numFmtId="49" fontId="3" fillId="0" borderId="133" xfId="0" applyNumberFormat="1" applyFont="1" applyFill="1" applyBorder="1" applyAlignment="1">
      <alignment horizontal="center" vertical="center" wrapText="1"/>
    </xf>
    <xf numFmtId="49" fontId="3" fillId="0" borderId="134" xfId="0" applyNumberFormat="1" applyFont="1" applyFill="1" applyBorder="1" applyAlignment="1">
      <alignment horizontal="center" vertical="center" wrapText="1"/>
    </xf>
    <xf numFmtId="49" fontId="3" fillId="0" borderId="135" xfId="0" applyNumberFormat="1" applyFont="1" applyFill="1" applyBorder="1" applyAlignment="1">
      <alignment horizontal="center" vertical="center" wrapText="1"/>
    </xf>
    <xf numFmtId="49" fontId="7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49" fontId="9" fillId="0" borderId="29" xfId="0" applyNumberFormat="1" applyFont="1" applyFill="1" applyBorder="1" applyAlignment="1">
      <alignment horizontal="center" vertical="center"/>
    </xf>
    <xf numFmtId="0" fontId="9" fillId="0" borderId="29" xfId="0" applyFont="1" applyFill="1" applyBorder="1" applyAlignment="1">
      <alignment horizontal="center" vertical="center"/>
    </xf>
    <xf numFmtId="0" fontId="0" fillId="0" borderId="29" xfId="0" applyFill="1" applyBorder="1">
      <alignment vertical="center"/>
    </xf>
    <xf numFmtId="49" fontId="9" fillId="0" borderId="26" xfId="0" applyNumberFormat="1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</cellXfs>
  <cellStyles count="4">
    <cellStyle name="一般" xfId="0" builtinId="0"/>
    <cellStyle name="一般 2" xfId="2" xr:uid="{00000000-0005-0000-0000-00002F000000}"/>
    <cellStyle name="一般 3" xfId="3" xr:uid="{00000000-0005-0000-0000-000001000000}"/>
    <cellStyle name="千分位" xfId="1" builtinId="3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ECBAA5"/>
      <color rgb="FF6699FF"/>
      <color rgb="FF00CC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pageSetUpPr fitToPage="1"/>
  </sheetPr>
  <dimension ref="A1:IV418"/>
  <sheetViews>
    <sheetView showGridLines="0" tabSelected="1" showRuler="0" view="pageBreakPreview" zoomScale="95" zoomScaleNormal="130" zoomScaleSheetLayoutView="95" zoomScalePageLayoutView="130" workbookViewId="0">
      <pane ySplit="2" topLeftCell="A268" activePane="bottomLeft" state="frozen"/>
      <selection pane="bottomLeft" activeCell="C208" sqref="C208"/>
    </sheetView>
  </sheetViews>
  <sheetFormatPr defaultColWidth="8.81640625" defaultRowHeight="24" customHeight="1"/>
  <cols>
    <col min="1" max="1" width="4" style="209" customWidth="1"/>
    <col min="2" max="2" width="4.1796875" style="209" customWidth="1"/>
    <col min="3" max="3" width="66.08984375" style="194" customWidth="1"/>
    <col min="4" max="4" width="10.7265625" style="194" customWidth="1"/>
    <col min="5" max="5" width="12" style="208" customWidth="1"/>
    <col min="6" max="6" width="10.6328125" style="194" customWidth="1"/>
    <col min="7" max="7" width="40.90625" style="194" customWidth="1"/>
    <col min="8" max="8" width="8.81640625" style="194" customWidth="1"/>
    <col min="9" max="9" width="12" style="194" customWidth="1"/>
    <col min="10" max="256" width="8.81640625" style="194" customWidth="1"/>
    <col min="257" max="16384" width="8.81640625" style="205"/>
  </cols>
  <sheetData>
    <row r="1" spans="1:9" s="194" customFormat="1" ht="24" customHeight="1">
      <c r="A1" s="563" t="s">
        <v>500</v>
      </c>
      <c r="B1" s="564"/>
      <c r="C1" s="564"/>
      <c r="D1" s="564"/>
      <c r="E1" s="564"/>
      <c r="F1" s="564"/>
      <c r="G1" s="565"/>
      <c r="H1" s="490"/>
      <c r="I1" s="276"/>
    </row>
    <row r="2" spans="1:9" s="194" customFormat="1" ht="30.75" customHeight="1">
      <c r="A2" s="54" t="s">
        <v>0</v>
      </c>
      <c r="B2" s="54" t="s">
        <v>1</v>
      </c>
      <c r="C2" s="54" t="s">
        <v>2</v>
      </c>
      <c r="D2" s="54" t="s">
        <v>3</v>
      </c>
      <c r="E2" s="55" t="s">
        <v>4</v>
      </c>
      <c r="F2" s="54" t="s">
        <v>5</v>
      </c>
      <c r="G2" s="54" t="s">
        <v>6</v>
      </c>
      <c r="H2" s="406"/>
      <c r="I2" s="276"/>
    </row>
    <row r="3" spans="1:9" s="194" customFormat="1" ht="30" customHeight="1">
      <c r="A3" s="4">
        <v>1</v>
      </c>
      <c r="B3" s="4">
        <v>3</v>
      </c>
      <c r="C3" s="53" t="s">
        <v>187</v>
      </c>
      <c r="D3" s="38"/>
      <c r="E3" s="5"/>
      <c r="F3" s="38">
        <v>274183</v>
      </c>
      <c r="G3" s="81"/>
    </row>
    <row r="4" spans="1:9" s="194" customFormat="1" ht="27" customHeight="1">
      <c r="A4" s="4">
        <v>1</v>
      </c>
      <c r="B4" s="164">
        <v>3</v>
      </c>
      <c r="C4" s="169" t="s">
        <v>186</v>
      </c>
      <c r="D4" s="165">
        <v>3000</v>
      </c>
      <c r="E4" s="166"/>
      <c r="F4" s="38">
        <v>277183</v>
      </c>
      <c r="G4" s="195"/>
    </row>
    <row r="5" spans="1:9" s="194" customFormat="1" ht="24" customHeight="1">
      <c r="A5" s="4">
        <v>1</v>
      </c>
      <c r="B5" s="4">
        <v>4</v>
      </c>
      <c r="C5" s="53" t="s">
        <v>188</v>
      </c>
      <c r="D5" s="38">
        <v>1500</v>
      </c>
      <c r="E5" s="5"/>
      <c r="F5" s="38">
        <v>278683</v>
      </c>
      <c r="G5" s="81"/>
    </row>
    <row r="6" spans="1:9" s="194" customFormat="1" ht="24" customHeight="1">
      <c r="A6" s="4">
        <v>1</v>
      </c>
      <c r="B6" s="4">
        <v>5</v>
      </c>
      <c r="C6" s="53" t="s">
        <v>192</v>
      </c>
      <c r="D6" s="38">
        <v>1500</v>
      </c>
      <c r="E6" s="5"/>
      <c r="F6" s="38">
        <v>280183</v>
      </c>
      <c r="G6" s="81"/>
    </row>
    <row r="7" spans="1:9" s="194" customFormat="1" ht="24" customHeight="1">
      <c r="A7" s="4">
        <v>1</v>
      </c>
      <c r="B7" s="164">
        <v>6</v>
      </c>
      <c r="C7" s="53" t="s">
        <v>189</v>
      </c>
      <c r="D7" s="165">
        <v>800</v>
      </c>
      <c r="E7" s="166"/>
      <c r="F7" s="38">
        <v>280983</v>
      </c>
      <c r="G7" s="195"/>
    </row>
    <row r="8" spans="1:9" s="194" customFormat="1" ht="24" customHeight="1">
      <c r="A8" s="4">
        <v>1</v>
      </c>
      <c r="B8" s="4">
        <v>6</v>
      </c>
      <c r="C8" s="53" t="s">
        <v>190</v>
      </c>
      <c r="D8" s="38">
        <v>1200</v>
      </c>
      <c r="E8" s="5"/>
      <c r="F8" s="38">
        <v>282183</v>
      </c>
      <c r="G8" s="81"/>
    </row>
    <row r="9" spans="1:9" s="194" customFormat="1" ht="24" customHeight="1">
      <c r="A9" s="4">
        <v>1</v>
      </c>
      <c r="B9" s="164">
        <v>6</v>
      </c>
      <c r="C9" s="53" t="s">
        <v>191</v>
      </c>
      <c r="D9" s="165">
        <v>1400</v>
      </c>
      <c r="E9" s="166"/>
      <c r="F9" s="38">
        <v>283583</v>
      </c>
      <c r="G9" s="195"/>
    </row>
    <row r="10" spans="1:9" s="194" customFormat="1" ht="24" customHeight="1">
      <c r="A10" s="4">
        <v>1</v>
      </c>
      <c r="B10" s="164">
        <v>8</v>
      </c>
      <c r="C10" s="53" t="s">
        <v>193</v>
      </c>
      <c r="D10" s="165">
        <v>1500</v>
      </c>
      <c r="E10" s="166"/>
      <c r="F10" s="38">
        <v>285083</v>
      </c>
      <c r="G10" s="195"/>
    </row>
    <row r="11" spans="1:9" s="194" customFormat="1" ht="24" customHeight="1">
      <c r="A11" s="4">
        <v>1</v>
      </c>
      <c r="B11" s="164">
        <v>8</v>
      </c>
      <c r="C11" s="53" t="s">
        <v>194</v>
      </c>
      <c r="D11" s="165">
        <v>400</v>
      </c>
      <c r="E11" s="166"/>
      <c r="F11" s="38">
        <v>285483</v>
      </c>
      <c r="G11" s="195"/>
    </row>
    <row r="12" spans="1:9" s="194" customFormat="1" ht="24" customHeight="1">
      <c r="A12" s="4">
        <v>1</v>
      </c>
      <c r="B12" s="164">
        <v>9</v>
      </c>
      <c r="C12" s="53" t="s">
        <v>195</v>
      </c>
      <c r="D12" s="165">
        <v>1500</v>
      </c>
      <c r="E12" s="166"/>
      <c r="F12" s="38">
        <v>286983</v>
      </c>
      <c r="G12" s="195"/>
      <c r="H12" s="406"/>
    </row>
    <row r="13" spans="1:9" s="194" customFormat="1" ht="24" customHeight="1">
      <c r="A13" s="4">
        <v>1</v>
      </c>
      <c r="B13" s="164">
        <v>10</v>
      </c>
      <c r="C13" s="53" t="s">
        <v>196</v>
      </c>
      <c r="D13" s="165">
        <v>1200</v>
      </c>
      <c r="E13" s="166"/>
      <c r="F13" s="38">
        <v>288183</v>
      </c>
      <c r="G13" s="195"/>
    </row>
    <row r="14" spans="1:9" s="194" customFormat="1" ht="24" customHeight="1">
      <c r="A14" s="4">
        <v>1</v>
      </c>
      <c r="B14" s="164">
        <v>13</v>
      </c>
      <c r="C14" s="53" t="s">
        <v>205</v>
      </c>
      <c r="D14" s="165">
        <v>3000</v>
      </c>
      <c r="E14" s="166"/>
      <c r="F14" s="38">
        <v>291183</v>
      </c>
      <c r="G14" s="195"/>
    </row>
    <row r="15" spans="1:9" s="194" customFormat="1" ht="24" customHeight="1">
      <c r="A15" s="4">
        <v>1</v>
      </c>
      <c r="B15" s="4">
        <v>17</v>
      </c>
      <c r="C15" s="56" t="s">
        <v>212</v>
      </c>
      <c r="D15" s="38">
        <v>3000</v>
      </c>
      <c r="E15" s="5"/>
      <c r="F15" s="38">
        <v>294183</v>
      </c>
      <c r="G15" s="81"/>
    </row>
    <row r="16" spans="1:9" s="194" customFormat="1" ht="24" customHeight="1">
      <c r="A16" s="4">
        <v>1</v>
      </c>
      <c r="B16" s="4">
        <v>19</v>
      </c>
      <c r="C16" s="56" t="s">
        <v>201</v>
      </c>
      <c r="D16" s="38">
        <v>77700</v>
      </c>
      <c r="E16" s="5"/>
      <c r="F16" s="38">
        <v>371883</v>
      </c>
      <c r="G16" s="53"/>
    </row>
    <row r="17" spans="1:9" s="194" customFormat="1" ht="24" customHeight="1">
      <c r="A17" s="4">
        <v>1</v>
      </c>
      <c r="B17" s="4">
        <v>22</v>
      </c>
      <c r="C17" s="53" t="s">
        <v>205</v>
      </c>
      <c r="D17" s="38">
        <v>5600</v>
      </c>
      <c r="E17" s="5"/>
      <c r="F17" s="38">
        <v>377483</v>
      </c>
      <c r="G17" s="53"/>
    </row>
    <row r="18" spans="1:9" s="194" customFormat="1" ht="24" customHeight="1">
      <c r="A18" s="4">
        <v>1</v>
      </c>
      <c r="B18" s="4">
        <v>24</v>
      </c>
      <c r="C18" s="53" t="s">
        <v>207</v>
      </c>
      <c r="D18" s="38">
        <v>3500</v>
      </c>
      <c r="E18" s="5"/>
      <c r="F18" s="38">
        <v>380983</v>
      </c>
      <c r="G18" s="53"/>
    </row>
    <row r="19" spans="1:9" s="194" customFormat="1" ht="24" customHeight="1">
      <c r="A19" s="164">
        <v>1</v>
      </c>
      <c r="B19" s="164">
        <v>24</v>
      </c>
      <c r="C19" s="169" t="s">
        <v>186</v>
      </c>
      <c r="D19" s="165">
        <v>5600</v>
      </c>
      <c r="E19" s="166"/>
      <c r="F19" s="38">
        <v>386583</v>
      </c>
      <c r="G19" s="169"/>
    </row>
    <row r="20" spans="1:9" s="194" customFormat="1" ht="24" customHeight="1">
      <c r="A20" s="4">
        <v>1</v>
      </c>
      <c r="B20" s="4">
        <v>26</v>
      </c>
      <c r="C20" s="53" t="s">
        <v>208</v>
      </c>
      <c r="D20" s="38"/>
      <c r="E20" s="5">
        <v>1400</v>
      </c>
      <c r="F20" s="38">
        <v>385183</v>
      </c>
      <c r="G20" s="53"/>
    </row>
    <row r="21" spans="1:9" s="194" customFormat="1" ht="24" customHeight="1">
      <c r="A21" s="4">
        <v>1</v>
      </c>
      <c r="B21" s="4">
        <v>29</v>
      </c>
      <c r="C21" s="56" t="s">
        <v>211</v>
      </c>
      <c r="D21" s="38">
        <v>800</v>
      </c>
      <c r="E21" s="5"/>
      <c r="F21" s="38">
        <v>385983</v>
      </c>
      <c r="G21" s="53"/>
    </row>
    <row r="22" spans="1:9" s="194" customFormat="1" ht="24" customHeight="1">
      <c r="A22" s="233">
        <v>1</v>
      </c>
      <c r="B22" s="233">
        <v>29</v>
      </c>
      <c r="C22" s="234" t="s">
        <v>216</v>
      </c>
      <c r="D22" s="165">
        <v>1200</v>
      </c>
      <c r="E22" s="166"/>
      <c r="F22" s="236">
        <v>387183</v>
      </c>
      <c r="G22" s="235"/>
    </row>
    <row r="23" spans="1:9" s="194" customFormat="1" ht="24" customHeight="1">
      <c r="A23" s="164">
        <v>1</v>
      </c>
      <c r="B23" s="164">
        <v>27</v>
      </c>
      <c r="C23" s="173" t="s">
        <v>213</v>
      </c>
      <c r="D23" s="175"/>
      <c r="E23" s="176">
        <v>17100</v>
      </c>
      <c r="F23" s="165">
        <v>370083</v>
      </c>
      <c r="G23" s="169"/>
    </row>
    <row r="24" spans="1:9" s="194" customFormat="1" ht="24" customHeight="1">
      <c r="A24" s="164">
        <v>1</v>
      </c>
      <c r="B24" s="164">
        <v>29</v>
      </c>
      <c r="C24" s="56" t="s">
        <v>215</v>
      </c>
      <c r="D24" s="165">
        <v>7000</v>
      </c>
      <c r="E24" s="166"/>
      <c r="F24" s="175">
        <v>377083</v>
      </c>
      <c r="G24" s="169"/>
    </row>
    <row r="25" spans="1:9" s="194" customFormat="1" ht="24" customHeight="1">
      <c r="A25" s="4">
        <v>1</v>
      </c>
      <c r="B25" s="4">
        <v>31</v>
      </c>
      <c r="C25" s="56" t="s">
        <v>230</v>
      </c>
      <c r="D25" s="38">
        <v>3500</v>
      </c>
      <c r="E25" s="5"/>
      <c r="F25" s="175">
        <v>380583</v>
      </c>
      <c r="G25" s="53"/>
    </row>
    <row r="26" spans="1:9" s="194" customFormat="1" ht="24" customHeight="1">
      <c r="A26" s="164">
        <v>1</v>
      </c>
      <c r="B26" s="164">
        <v>31</v>
      </c>
      <c r="C26" s="173" t="s">
        <v>231</v>
      </c>
      <c r="D26" s="165">
        <v>185900</v>
      </c>
      <c r="E26" s="166"/>
      <c r="F26" s="175">
        <v>566483</v>
      </c>
      <c r="G26" s="169"/>
    </row>
    <row r="27" spans="1:9" s="194" customFormat="1" ht="24" customHeight="1">
      <c r="A27" s="4">
        <v>2</v>
      </c>
      <c r="B27" s="4">
        <v>1</v>
      </c>
      <c r="C27" s="56" t="s">
        <v>233</v>
      </c>
      <c r="D27" s="38">
        <v>7000</v>
      </c>
      <c r="E27" s="5"/>
      <c r="F27" s="175">
        <v>573483</v>
      </c>
      <c r="G27" s="53"/>
    </row>
    <row r="28" spans="1:9" s="194" customFormat="1" ht="24" customHeight="1">
      <c r="A28" s="4">
        <v>2</v>
      </c>
      <c r="B28" s="4">
        <v>1</v>
      </c>
      <c r="C28" s="56" t="s">
        <v>232</v>
      </c>
      <c r="D28" s="38"/>
      <c r="E28" s="237">
        <v>120</v>
      </c>
      <c r="F28" s="175">
        <v>573363</v>
      </c>
      <c r="G28" s="53"/>
    </row>
    <row r="29" spans="1:9" s="194" customFormat="1" ht="24" customHeight="1" thickBot="1">
      <c r="A29" s="233">
        <v>2</v>
      </c>
      <c r="B29" s="233">
        <v>2</v>
      </c>
      <c r="C29" s="384" t="s">
        <v>234</v>
      </c>
      <c r="D29" s="386"/>
      <c r="E29" s="273">
        <v>189687</v>
      </c>
      <c r="F29" s="386">
        <v>383676</v>
      </c>
      <c r="G29" s="235"/>
    </row>
    <row r="30" spans="1:9" s="194" customFormat="1" ht="24" customHeight="1" thickTop="1">
      <c r="A30" s="383">
        <v>2</v>
      </c>
      <c r="B30" s="383">
        <v>3</v>
      </c>
      <c r="C30" s="239" t="s">
        <v>256</v>
      </c>
      <c r="D30" s="175"/>
      <c r="E30" s="385">
        <v>20000</v>
      </c>
      <c r="F30" s="241">
        <v>363676</v>
      </c>
      <c r="G30" s="387"/>
    </row>
    <row r="31" spans="1:9" s="194" customFormat="1" ht="24" customHeight="1">
      <c r="A31" s="4">
        <v>2</v>
      </c>
      <c r="B31" s="4">
        <v>2</v>
      </c>
      <c r="C31" s="56" t="s">
        <v>257</v>
      </c>
      <c r="D31" s="38">
        <v>400</v>
      </c>
      <c r="E31" s="5"/>
      <c r="F31" s="175">
        <v>364076</v>
      </c>
      <c r="G31" s="53"/>
    </row>
    <row r="32" spans="1:9" s="194" customFormat="1" ht="24" customHeight="1">
      <c r="A32" s="4">
        <v>2</v>
      </c>
      <c r="B32" s="4">
        <v>2</v>
      </c>
      <c r="C32" s="56" t="s">
        <v>258</v>
      </c>
      <c r="D32" s="38">
        <v>2800</v>
      </c>
      <c r="E32" s="5"/>
      <c r="F32" s="175">
        <v>366876</v>
      </c>
      <c r="G32" s="53"/>
      <c r="I32" s="196"/>
    </row>
    <row r="33" spans="1:9" s="194" customFormat="1" ht="24" customHeight="1">
      <c r="A33" s="4">
        <v>2</v>
      </c>
      <c r="B33" s="4">
        <v>2</v>
      </c>
      <c r="C33" s="56" t="s">
        <v>262</v>
      </c>
      <c r="D33" s="38">
        <v>3500</v>
      </c>
      <c r="E33" s="5"/>
      <c r="F33" s="175">
        <v>370376</v>
      </c>
      <c r="G33" s="53"/>
      <c r="I33" s="196"/>
    </row>
    <row r="34" spans="1:9" s="194" customFormat="1" ht="24" customHeight="1">
      <c r="A34" s="4">
        <v>2</v>
      </c>
      <c r="B34" s="4">
        <v>3</v>
      </c>
      <c r="C34" s="56" t="s">
        <v>263</v>
      </c>
      <c r="D34" s="38">
        <v>3500</v>
      </c>
      <c r="E34" s="5"/>
      <c r="F34" s="175">
        <v>373876</v>
      </c>
      <c r="G34" s="53"/>
      <c r="I34" s="196"/>
    </row>
    <row r="35" spans="1:9" s="194" customFormat="1" ht="24" customHeight="1">
      <c r="A35" s="4">
        <v>2</v>
      </c>
      <c r="B35" s="4">
        <v>5</v>
      </c>
      <c r="C35" s="56" t="s">
        <v>264</v>
      </c>
      <c r="D35" s="38">
        <v>3500</v>
      </c>
      <c r="E35" s="5"/>
      <c r="F35" s="175">
        <v>377376</v>
      </c>
      <c r="G35" s="53"/>
      <c r="I35" s="196"/>
    </row>
    <row r="36" spans="1:9" s="194" customFormat="1" ht="24" customHeight="1">
      <c r="A36" s="4">
        <v>2</v>
      </c>
      <c r="B36" s="4">
        <v>7</v>
      </c>
      <c r="C36" s="56" t="s">
        <v>266</v>
      </c>
      <c r="D36" s="38">
        <v>400</v>
      </c>
      <c r="E36" s="5"/>
      <c r="F36" s="175">
        <v>377776</v>
      </c>
      <c r="G36" s="53"/>
      <c r="I36" s="196"/>
    </row>
    <row r="37" spans="1:9" s="194" customFormat="1" ht="24" customHeight="1">
      <c r="A37" s="4">
        <v>2</v>
      </c>
      <c r="B37" s="4">
        <v>17</v>
      </c>
      <c r="C37" s="56" t="s">
        <v>267</v>
      </c>
      <c r="D37" s="38">
        <v>1300</v>
      </c>
      <c r="E37" s="5"/>
      <c r="F37" s="175">
        <v>379076</v>
      </c>
      <c r="G37" s="53"/>
      <c r="I37" s="196"/>
    </row>
    <row r="38" spans="1:9" s="194" customFormat="1" ht="24" customHeight="1">
      <c r="A38" s="178">
        <v>2</v>
      </c>
      <c r="B38" s="178">
        <v>18</v>
      </c>
      <c r="C38" s="179" t="s">
        <v>269</v>
      </c>
      <c r="D38" s="175">
        <v>3800</v>
      </c>
      <c r="E38" s="176"/>
      <c r="F38" s="175">
        <v>382876</v>
      </c>
      <c r="G38" s="179"/>
    </row>
    <row r="39" spans="1:9" s="194" customFormat="1" ht="24" customHeight="1">
      <c r="A39" s="4">
        <v>2</v>
      </c>
      <c r="B39" s="4">
        <v>19</v>
      </c>
      <c r="C39" s="179" t="s">
        <v>268</v>
      </c>
      <c r="D39" s="38"/>
      <c r="E39" s="5">
        <v>375</v>
      </c>
      <c r="F39" s="175">
        <v>382501</v>
      </c>
      <c r="G39" s="53"/>
    </row>
    <row r="40" spans="1:9" s="194" customFormat="1" ht="24" customHeight="1">
      <c r="A40" s="4">
        <v>2</v>
      </c>
      <c r="B40" s="4">
        <v>19</v>
      </c>
      <c r="C40" s="179" t="s">
        <v>192</v>
      </c>
      <c r="D40" s="38">
        <v>1300</v>
      </c>
      <c r="E40" s="5"/>
      <c r="F40" s="175">
        <v>383801</v>
      </c>
      <c r="G40" s="81"/>
    </row>
    <row r="41" spans="1:9" s="194" customFormat="1" ht="24" customHeight="1">
      <c r="A41" s="4">
        <v>2</v>
      </c>
      <c r="B41" s="4">
        <v>20</v>
      </c>
      <c r="C41" s="179" t="s">
        <v>186</v>
      </c>
      <c r="D41" s="153">
        <v>2600</v>
      </c>
      <c r="E41" s="5"/>
      <c r="F41" s="175">
        <v>386401</v>
      </c>
      <c r="G41" s="81"/>
    </row>
    <row r="42" spans="1:9" s="194" customFormat="1" ht="24" customHeight="1">
      <c r="A42" s="4">
        <v>2</v>
      </c>
      <c r="B42" s="4">
        <v>21</v>
      </c>
      <c r="C42" s="179" t="s">
        <v>212</v>
      </c>
      <c r="D42" s="38">
        <v>2600</v>
      </c>
      <c r="E42" s="5"/>
      <c r="F42" s="175">
        <v>389001</v>
      </c>
      <c r="G42" s="81"/>
    </row>
    <row r="43" spans="1:9" s="194" customFormat="1" ht="24" customHeight="1">
      <c r="A43" s="4">
        <v>2</v>
      </c>
      <c r="B43" s="4">
        <v>21</v>
      </c>
      <c r="C43" s="56" t="s">
        <v>275</v>
      </c>
      <c r="D43" s="38">
        <v>1800</v>
      </c>
      <c r="E43" s="5"/>
      <c r="F43" s="175">
        <v>390801</v>
      </c>
      <c r="G43" s="81"/>
    </row>
    <row r="44" spans="1:9" s="194" customFormat="1" ht="24" customHeight="1">
      <c r="A44" s="4">
        <v>2</v>
      </c>
      <c r="B44" s="4">
        <v>23</v>
      </c>
      <c r="C44" s="53" t="s">
        <v>208</v>
      </c>
      <c r="D44" s="38"/>
      <c r="E44" s="5">
        <v>1400</v>
      </c>
      <c r="F44" s="175">
        <v>389401</v>
      </c>
      <c r="G44" s="81"/>
    </row>
    <row r="45" spans="1:9" s="194" customFormat="1" ht="24" customHeight="1">
      <c r="A45" s="164">
        <v>2</v>
      </c>
      <c r="B45" s="164">
        <v>23</v>
      </c>
      <c r="C45" s="53" t="s">
        <v>270</v>
      </c>
      <c r="D45" s="165">
        <v>2600</v>
      </c>
      <c r="E45" s="166"/>
      <c r="F45" s="175">
        <v>392001</v>
      </c>
      <c r="G45" s="195"/>
    </row>
    <row r="46" spans="1:9" s="194" customFormat="1" ht="24" customHeight="1">
      <c r="A46" s="4">
        <v>2</v>
      </c>
      <c r="B46" s="4">
        <v>26</v>
      </c>
      <c r="C46" s="53" t="s">
        <v>281</v>
      </c>
      <c r="D46" s="38">
        <v>1200</v>
      </c>
      <c r="E46" s="5"/>
      <c r="F46" s="175">
        <v>393201</v>
      </c>
      <c r="G46" s="81"/>
    </row>
    <row r="47" spans="1:9" s="194" customFormat="1" ht="24" customHeight="1">
      <c r="A47" s="4">
        <v>2</v>
      </c>
      <c r="B47" s="4">
        <v>26</v>
      </c>
      <c r="C47" s="56" t="s">
        <v>201</v>
      </c>
      <c r="D47" s="38">
        <v>63600</v>
      </c>
      <c r="E47" s="5"/>
      <c r="F47" s="175">
        <v>456801</v>
      </c>
      <c r="G47" s="81"/>
    </row>
    <row r="48" spans="1:9" s="194" customFormat="1" ht="24" customHeight="1">
      <c r="A48" s="164">
        <v>2</v>
      </c>
      <c r="B48" s="233">
        <v>29</v>
      </c>
      <c r="C48" s="234" t="s">
        <v>272</v>
      </c>
      <c r="D48" s="165">
        <v>4800</v>
      </c>
      <c r="E48" s="166"/>
      <c r="F48" s="165">
        <v>461601</v>
      </c>
      <c r="G48" s="169"/>
    </row>
    <row r="49" spans="1:7" s="194" customFormat="1" ht="24" customHeight="1">
      <c r="A49" s="238">
        <v>2</v>
      </c>
      <c r="B49" s="164">
        <v>29</v>
      </c>
      <c r="C49" s="169" t="s">
        <v>276</v>
      </c>
      <c r="D49" s="263">
        <v>2600</v>
      </c>
      <c r="E49" s="240"/>
      <c r="F49" s="175">
        <v>464201</v>
      </c>
      <c r="G49" s="242"/>
    </row>
    <row r="50" spans="1:7" s="194" customFormat="1" ht="24" customHeight="1">
      <c r="A50" s="178">
        <v>2</v>
      </c>
      <c r="B50" s="178">
        <v>29</v>
      </c>
      <c r="C50" s="53" t="s">
        <v>273</v>
      </c>
      <c r="D50" s="190">
        <v>2400</v>
      </c>
      <c r="E50" s="176"/>
      <c r="F50" s="175">
        <v>466601</v>
      </c>
      <c r="G50" s="169"/>
    </row>
    <row r="51" spans="1:7" s="194" customFormat="1" ht="24" customHeight="1">
      <c r="A51" s="178">
        <v>2</v>
      </c>
      <c r="B51" s="178">
        <v>29</v>
      </c>
      <c r="C51" s="174" t="s">
        <v>274</v>
      </c>
      <c r="D51" s="175">
        <v>3700</v>
      </c>
      <c r="E51" s="176"/>
      <c r="F51" s="175">
        <v>470301</v>
      </c>
      <c r="G51" s="53"/>
    </row>
    <row r="52" spans="1:7" s="194" customFormat="1" ht="24" customHeight="1" thickBot="1">
      <c r="A52" s="233">
        <v>3</v>
      </c>
      <c r="B52" s="233">
        <v>2</v>
      </c>
      <c r="C52" s="388" t="s">
        <v>289</v>
      </c>
      <c r="D52" s="389"/>
      <c r="E52" s="273">
        <v>147391</v>
      </c>
      <c r="F52" s="236">
        <v>322910</v>
      </c>
      <c r="G52" s="235"/>
    </row>
    <row r="53" spans="1:7" s="194" customFormat="1" ht="24" customHeight="1" thickTop="1">
      <c r="A53" s="383">
        <v>3</v>
      </c>
      <c r="B53" s="383">
        <v>4</v>
      </c>
      <c r="C53" s="242" t="s">
        <v>279</v>
      </c>
      <c r="D53" s="263">
        <v>1300</v>
      </c>
      <c r="E53" s="385"/>
      <c r="F53" s="390">
        <v>324210</v>
      </c>
      <c r="G53" s="387"/>
    </row>
    <row r="54" spans="1:7" s="194" customFormat="1" ht="24" customHeight="1">
      <c r="A54" s="178">
        <v>3</v>
      </c>
      <c r="B54" s="178">
        <v>4</v>
      </c>
      <c r="C54" s="179" t="s">
        <v>280</v>
      </c>
      <c r="D54" s="190">
        <v>1200</v>
      </c>
      <c r="E54" s="176"/>
      <c r="F54" s="175">
        <v>325410</v>
      </c>
      <c r="G54" s="169"/>
    </row>
    <row r="55" spans="1:7" s="194" customFormat="1" ht="24" customHeight="1">
      <c r="A55" s="178">
        <v>3</v>
      </c>
      <c r="B55" s="178">
        <v>5</v>
      </c>
      <c r="C55" s="179" t="s">
        <v>283</v>
      </c>
      <c r="D55" s="190">
        <v>1300</v>
      </c>
      <c r="E55" s="176"/>
      <c r="F55" s="175">
        <v>326710</v>
      </c>
      <c r="G55" s="169"/>
    </row>
    <row r="56" spans="1:7" s="194" customFormat="1" ht="24" customHeight="1">
      <c r="A56" s="178">
        <v>3</v>
      </c>
      <c r="B56" s="178">
        <v>6</v>
      </c>
      <c r="C56" s="179" t="s">
        <v>284</v>
      </c>
      <c r="D56" s="190">
        <v>1300</v>
      </c>
      <c r="E56" s="176"/>
      <c r="F56" s="175">
        <v>328010</v>
      </c>
      <c r="G56" s="169"/>
    </row>
    <row r="57" spans="1:7" s="194" customFormat="1" ht="24" customHeight="1">
      <c r="A57" s="178">
        <v>3</v>
      </c>
      <c r="B57" s="178">
        <v>7</v>
      </c>
      <c r="C57" s="179" t="s">
        <v>285</v>
      </c>
      <c r="D57" s="190">
        <v>1300</v>
      </c>
      <c r="E57" s="176"/>
      <c r="F57" s="175">
        <v>329310</v>
      </c>
      <c r="G57" s="169"/>
    </row>
    <row r="58" spans="1:7" s="194" customFormat="1" ht="24" customHeight="1">
      <c r="A58" s="178">
        <v>3</v>
      </c>
      <c r="B58" s="178">
        <v>7</v>
      </c>
      <c r="C58" s="179" t="s">
        <v>286</v>
      </c>
      <c r="D58" s="190">
        <v>7500</v>
      </c>
      <c r="E58" s="176"/>
      <c r="F58" s="175">
        <v>336810</v>
      </c>
      <c r="G58" s="169"/>
    </row>
    <row r="59" spans="1:7" s="194" customFormat="1" ht="24" customHeight="1">
      <c r="A59" s="178">
        <v>3</v>
      </c>
      <c r="B59" s="178">
        <v>8</v>
      </c>
      <c r="C59" s="179" t="s">
        <v>186</v>
      </c>
      <c r="D59" s="190">
        <v>5000</v>
      </c>
      <c r="E59" s="176"/>
      <c r="F59" s="175">
        <v>341810</v>
      </c>
      <c r="G59" s="169"/>
    </row>
    <row r="60" spans="1:7" s="194" customFormat="1" ht="24" customHeight="1">
      <c r="A60" s="271">
        <v>3</v>
      </c>
      <c r="B60" s="271">
        <v>9</v>
      </c>
      <c r="C60" s="234" t="s">
        <v>192</v>
      </c>
      <c r="D60" s="275">
        <v>2500</v>
      </c>
      <c r="E60" s="273"/>
      <c r="F60" s="236">
        <v>344310</v>
      </c>
      <c r="G60" s="214"/>
    </row>
    <row r="61" spans="1:7" s="194" customFormat="1" ht="24" customHeight="1">
      <c r="A61" s="238">
        <v>3</v>
      </c>
      <c r="B61" s="238">
        <v>10</v>
      </c>
      <c r="C61" s="272" t="s">
        <v>205</v>
      </c>
      <c r="D61" s="241">
        <v>5000</v>
      </c>
      <c r="E61" s="274"/>
      <c r="F61" s="275">
        <v>349310</v>
      </c>
      <c r="G61" s="242"/>
    </row>
    <row r="62" spans="1:7" s="194" customFormat="1" ht="24" customHeight="1">
      <c r="A62" s="4">
        <v>3</v>
      </c>
      <c r="B62" s="4">
        <v>11</v>
      </c>
      <c r="C62" s="53" t="s">
        <v>195</v>
      </c>
      <c r="D62" s="38">
        <v>2500</v>
      </c>
      <c r="E62" s="5"/>
      <c r="F62" s="175">
        <v>351810</v>
      </c>
      <c r="G62" s="197"/>
    </row>
    <row r="63" spans="1:7" s="194" customFormat="1" ht="24" customHeight="1">
      <c r="A63" s="4">
        <v>3</v>
      </c>
      <c r="B63" s="4">
        <v>11</v>
      </c>
      <c r="C63" s="53" t="s">
        <v>288</v>
      </c>
      <c r="D63" s="38">
        <v>1200</v>
      </c>
      <c r="E63" s="5"/>
      <c r="F63" s="175">
        <v>353010</v>
      </c>
      <c r="G63" s="197"/>
    </row>
    <row r="64" spans="1:7" s="194" customFormat="1" ht="24" customHeight="1">
      <c r="A64" s="4">
        <v>3</v>
      </c>
      <c r="B64" s="4">
        <v>21</v>
      </c>
      <c r="C64" s="56" t="s">
        <v>208</v>
      </c>
      <c r="D64" s="38"/>
      <c r="E64" s="5">
        <v>1400</v>
      </c>
      <c r="F64" s="175">
        <v>351610</v>
      </c>
      <c r="G64" s="53"/>
    </row>
    <row r="65" spans="1:9" s="194" customFormat="1" ht="24" customHeight="1">
      <c r="A65" s="4">
        <v>3</v>
      </c>
      <c r="B65" s="4">
        <v>22</v>
      </c>
      <c r="C65" s="56" t="s">
        <v>267</v>
      </c>
      <c r="D65" s="38">
        <v>2500</v>
      </c>
      <c r="E65" s="5"/>
      <c r="F65" s="175">
        <v>354110</v>
      </c>
      <c r="G65" s="197"/>
    </row>
    <row r="66" spans="1:9" s="194" customFormat="1" ht="24" customHeight="1">
      <c r="A66" s="277">
        <v>3</v>
      </c>
      <c r="B66" s="164">
        <v>26</v>
      </c>
      <c r="C66" s="234" t="s">
        <v>291</v>
      </c>
      <c r="D66" s="278">
        <v>136900</v>
      </c>
      <c r="E66" s="279"/>
      <c r="F66" s="165">
        <v>491010</v>
      </c>
      <c r="G66" s="169"/>
    </row>
    <row r="67" spans="1:9" s="194" customFormat="1" ht="24" customHeight="1">
      <c r="A67" s="405">
        <v>3</v>
      </c>
      <c r="B67" s="405">
        <v>28</v>
      </c>
      <c r="C67" s="407" t="s">
        <v>292</v>
      </c>
      <c r="D67" s="280">
        <v>5000</v>
      </c>
      <c r="E67" s="273"/>
      <c r="F67" s="236">
        <v>496010</v>
      </c>
      <c r="G67" s="235"/>
      <c r="H67" s="406"/>
      <c r="I67" s="276"/>
    </row>
    <row r="68" spans="1:9" s="194" customFormat="1" ht="24" customHeight="1">
      <c r="A68" s="178">
        <v>3</v>
      </c>
      <c r="B68" s="178">
        <v>29</v>
      </c>
      <c r="C68" s="174" t="s">
        <v>293</v>
      </c>
      <c r="D68" s="175">
        <v>2500</v>
      </c>
      <c r="E68" s="403"/>
      <c r="F68" s="175">
        <v>498510</v>
      </c>
      <c r="G68" s="179"/>
      <c r="H68" s="276"/>
      <c r="I68" s="276"/>
    </row>
    <row r="69" spans="1:9" s="194" customFormat="1" ht="24" customHeight="1" thickBot="1">
      <c r="A69" s="391">
        <v>4</v>
      </c>
      <c r="B69" s="233">
        <v>1</v>
      </c>
      <c r="C69" s="384" t="s">
        <v>294</v>
      </c>
      <c r="D69" s="236"/>
      <c r="E69" s="273">
        <v>159185</v>
      </c>
      <c r="F69" s="236">
        <v>339325</v>
      </c>
      <c r="G69" s="235"/>
    </row>
    <row r="70" spans="1:9" s="194" customFormat="1" ht="24" customHeight="1" thickTop="1">
      <c r="A70" s="238">
        <v>4</v>
      </c>
      <c r="B70" s="383">
        <v>7</v>
      </c>
      <c r="C70" s="174" t="s">
        <v>295</v>
      </c>
      <c r="D70" s="390">
        <v>2400</v>
      </c>
      <c r="E70" s="385"/>
      <c r="F70" s="390">
        <v>341725</v>
      </c>
      <c r="G70" s="404"/>
    </row>
    <row r="71" spans="1:9" s="194" customFormat="1" ht="24" customHeight="1">
      <c r="A71" s="178">
        <v>4</v>
      </c>
      <c r="B71" s="164">
        <v>13</v>
      </c>
      <c r="C71" s="173" t="s">
        <v>205</v>
      </c>
      <c r="D71" s="165">
        <v>5000</v>
      </c>
      <c r="E71" s="166"/>
      <c r="F71" s="175">
        <v>346725</v>
      </c>
      <c r="G71" s="179"/>
    </row>
    <row r="72" spans="1:9" s="194" customFormat="1" ht="24" customHeight="1">
      <c r="A72" s="164">
        <v>4</v>
      </c>
      <c r="B72" s="164">
        <v>19</v>
      </c>
      <c r="C72" s="173" t="s">
        <v>297</v>
      </c>
      <c r="D72" s="165">
        <v>5000</v>
      </c>
      <c r="E72" s="166"/>
      <c r="F72" s="236">
        <v>351725</v>
      </c>
      <c r="G72" s="197"/>
    </row>
    <row r="73" spans="1:9" s="194" customFormat="1" ht="24" customHeight="1">
      <c r="A73" s="164">
        <v>4</v>
      </c>
      <c r="B73" s="164">
        <v>22</v>
      </c>
      <c r="C73" s="169" t="s">
        <v>298</v>
      </c>
      <c r="D73" s="165">
        <v>7500</v>
      </c>
      <c r="E73" s="166"/>
      <c r="F73" s="165">
        <v>359225</v>
      </c>
      <c r="G73" s="197"/>
    </row>
    <row r="74" spans="1:9" s="194" customFormat="1" ht="24" customHeight="1">
      <c r="A74" s="164">
        <v>4</v>
      </c>
      <c r="B74" s="164">
        <v>23</v>
      </c>
      <c r="C74" s="169" t="s">
        <v>299</v>
      </c>
      <c r="D74" s="165">
        <v>5000</v>
      </c>
      <c r="E74" s="166"/>
      <c r="F74" s="165">
        <v>364225</v>
      </c>
      <c r="G74" s="198"/>
      <c r="I74" s="196"/>
    </row>
    <row r="75" spans="1:9" s="194" customFormat="1" ht="24" customHeight="1">
      <c r="A75" s="164">
        <v>4</v>
      </c>
      <c r="B75" s="164">
        <v>24</v>
      </c>
      <c r="C75" s="169" t="s">
        <v>300</v>
      </c>
      <c r="D75" s="165">
        <v>4900</v>
      </c>
      <c r="E75" s="166"/>
      <c r="F75" s="165">
        <v>369125</v>
      </c>
      <c r="G75" s="198"/>
      <c r="I75" s="196"/>
    </row>
    <row r="76" spans="1:9" s="194" customFormat="1" ht="24" customHeight="1">
      <c r="A76" s="164">
        <v>4</v>
      </c>
      <c r="B76" s="164">
        <v>26</v>
      </c>
      <c r="C76" s="169" t="s">
        <v>208</v>
      </c>
      <c r="D76" s="165"/>
      <c r="E76" s="166">
        <v>1400</v>
      </c>
      <c r="F76" s="236">
        <v>367725</v>
      </c>
      <c r="G76" s="199"/>
    </row>
    <row r="77" spans="1:9" s="194" customFormat="1" ht="24" customHeight="1">
      <c r="A77" s="164">
        <v>4</v>
      </c>
      <c r="B77" s="164">
        <v>30</v>
      </c>
      <c r="C77" s="169" t="s">
        <v>309</v>
      </c>
      <c r="D77" s="165">
        <v>10000</v>
      </c>
      <c r="E77" s="166"/>
      <c r="F77" s="165">
        <v>377725</v>
      </c>
      <c r="G77" s="206"/>
    </row>
    <row r="78" spans="1:9" s="194" customFormat="1" ht="24" customHeight="1">
      <c r="A78" s="164">
        <v>4</v>
      </c>
      <c r="B78" s="164">
        <v>30</v>
      </c>
      <c r="C78" s="234" t="s">
        <v>310</v>
      </c>
      <c r="D78" s="236">
        <v>149700</v>
      </c>
      <c r="E78" s="273"/>
      <c r="F78" s="236">
        <v>527425</v>
      </c>
      <c r="G78" s="235"/>
    </row>
    <row r="79" spans="1:9" s="194" customFormat="1" ht="24" customHeight="1" thickBot="1">
      <c r="A79" s="233">
        <v>5</v>
      </c>
      <c r="B79" s="233">
        <v>1</v>
      </c>
      <c r="C79" s="234" t="s">
        <v>312</v>
      </c>
      <c r="D79" s="236"/>
      <c r="E79" s="273">
        <v>153641</v>
      </c>
      <c r="F79" s="236">
        <v>373784</v>
      </c>
      <c r="G79" s="394"/>
    </row>
    <row r="80" spans="1:9" s="194" customFormat="1" ht="24" customHeight="1" thickTop="1">
      <c r="A80" s="383">
        <v>5</v>
      </c>
      <c r="B80" s="383">
        <v>6</v>
      </c>
      <c r="C80" s="392" t="s">
        <v>188</v>
      </c>
      <c r="D80" s="390">
        <v>2500</v>
      </c>
      <c r="E80" s="385"/>
      <c r="F80" s="393">
        <v>376284</v>
      </c>
      <c r="G80" s="364"/>
    </row>
    <row r="81" spans="1:7" s="194" customFormat="1" ht="24" customHeight="1">
      <c r="A81" s="164">
        <v>5</v>
      </c>
      <c r="B81" s="164">
        <v>7</v>
      </c>
      <c r="C81" s="174" t="s">
        <v>313</v>
      </c>
      <c r="D81" s="165">
        <v>2000</v>
      </c>
      <c r="E81" s="166"/>
      <c r="F81" s="175">
        <v>378284</v>
      </c>
      <c r="G81" s="197"/>
    </row>
    <row r="82" spans="1:7" s="194" customFormat="1" ht="24" customHeight="1">
      <c r="A82" s="164">
        <v>5</v>
      </c>
      <c r="B82" s="164">
        <v>7</v>
      </c>
      <c r="C82" s="169" t="s">
        <v>314</v>
      </c>
      <c r="D82" s="165">
        <v>400</v>
      </c>
      <c r="E82" s="166"/>
      <c r="F82" s="165">
        <v>378684</v>
      </c>
      <c r="G82" s="197"/>
    </row>
    <row r="83" spans="1:7" s="194" customFormat="1" ht="24" customHeight="1">
      <c r="A83" s="164">
        <v>5</v>
      </c>
      <c r="B83" s="164">
        <v>8</v>
      </c>
      <c r="C83" s="173" t="s">
        <v>186</v>
      </c>
      <c r="D83" s="165">
        <v>5000</v>
      </c>
      <c r="E83" s="166"/>
      <c r="F83" s="165">
        <v>383684</v>
      </c>
      <c r="G83" s="197"/>
    </row>
    <row r="84" spans="1:7" s="194" customFormat="1" ht="24" customHeight="1">
      <c r="A84" s="164">
        <v>5</v>
      </c>
      <c r="B84" s="164">
        <v>9</v>
      </c>
      <c r="C84" s="173" t="s">
        <v>315</v>
      </c>
      <c r="D84" s="278">
        <v>5000</v>
      </c>
      <c r="E84" s="166"/>
      <c r="F84" s="165">
        <v>388684</v>
      </c>
      <c r="G84" s="197"/>
    </row>
    <row r="85" spans="1:7" s="194" customFormat="1" ht="24" customHeight="1">
      <c r="A85" s="164">
        <v>5</v>
      </c>
      <c r="B85" s="164">
        <v>9</v>
      </c>
      <c r="C85" s="173" t="s">
        <v>205</v>
      </c>
      <c r="D85" s="165">
        <v>5000</v>
      </c>
      <c r="E85" s="166"/>
      <c r="F85" s="165">
        <v>393684</v>
      </c>
      <c r="G85" s="53"/>
    </row>
    <row r="86" spans="1:7" s="194" customFormat="1" ht="24" customHeight="1">
      <c r="A86" s="164">
        <v>5</v>
      </c>
      <c r="B86" s="164">
        <v>10</v>
      </c>
      <c r="C86" s="173" t="s">
        <v>316</v>
      </c>
      <c r="D86" s="165">
        <v>7400</v>
      </c>
      <c r="E86" s="166"/>
      <c r="F86" s="165">
        <v>401084</v>
      </c>
      <c r="G86" s="197"/>
    </row>
    <row r="87" spans="1:7" s="194" customFormat="1" ht="24" customHeight="1">
      <c r="A87" s="164">
        <v>5</v>
      </c>
      <c r="B87" s="164">
        <v>11</v>
      </c>
      <c r="C87" s="173" t="s">
        <v>193</v>
      </c>
      <c r="D87" s="165">
        <v>2500</v>
      </c>
      <c r="E87" s="166"/>
      <c r="F87" s="165">
        <v>403584</v>
      </c>
      <c r="G87" s="197"/>
    </row>
    <row r="88" spans="1:7" s="194" customFormat="1" ht="24" customHeight="1">
      <c r="A88" s="164">
        <v>5</v>
      </c>
      <c r="B88" s="164">
        <v>17</v>
      </c>
      <c r="C88" s="173" t="s">
        <v>318</v>
      </c>
      <c r="D88" s="165">
        <v>118900</v>
      </c>
      <c r="E88" s="166"/>
      <c r="F88" s="165">
        <v>522484</v>
      </c>
      <c r="G88" s="198"/>
    </row>
    <row r="89" spans="1:7" s="194" customFormat="1" ht="24" customHeight="1">
      <c r="A89" s="164">
        <v>5</v>
      </c>
      <c r="B89" s="164">
        <v>18</v>
      </c>
      <c r="C89" s="173" t="s">
        <v>293</v>
      </c>
      <c r="D89" s="165">
        <v>2500</v>
      </c>
      <c r="E89" s="166"/>
      <c r="F89" s="165">
        <v>524984</v>
      </c>
      <c r="G89" s="198"/>
    </row>
    <row r="90" spans="1:7" s="194" customFormat="1" ht="24" customHeight="1">
      <c r="A90" s="164">
        <v>5</v>
      </c>
      <c r="B90" s="164">
        <v>18</v>
      </c>
      <c r="C90" s="173" t="s">
        <v>320</v>
      </c>
      <c r="D90" s="165">
        <v>1800</v>
      </c>
      <c r="E90" s="166"/>
      <c r="F90" s="165">
        <v>526784</v>
      </c>
      <c r="G90" s="53"/>
    </row>
    <row r="91" spans="1:7" s="194" customFormat="1" ht="24" customHeight="1">
      <c r="A91" s="164">
        <v>5</v>
      </c>
      <c r="B91" s="164">
        <v>20</v>
      </c>
      <c r="C91" s="173" t="s">
        <v>331</v>
      </c>
      <c r="D91" s="165"/>
      <c r="E91" s="166">
        <v>7000</v>
      </c>
      <c r="F91" s="165">
        <v>519784</v>
      </c>
      <c r="G91" s="169"/>
    </row>
    <row r="92" spans="1:7" s="194" customFormat="1" ht="24" customHeight="1">
      <c r="A92" s="164">
        <v>5</v>
      </c>
      <c r="B92" s="164">
        <v>21</v>
      </c>
      <c r="C92" s="169" t="s">
        <v>322</v>
      </c>
      <c r="D92" s="165">
        <v>5000</v>
      </c>
      <c r="E92" s="166"/>
      <c r="F92" s="165">
        <v>524784</v>
      </c>
      <c r="G92" s="53"/>
    </row>
    <row r="93" spans="1:7" s="194" customFormat="1" ht="24" customHeight="1">
      <c r="A93" s="164">
        <v>5</v>
      </c>
      <c r="B93" s="164">
        <v>23</v>
      </c>
      <c r="C93" s="173" t="s">
        <v>323</v>
      </c>
      <c r="D93" s="165">
        <v>2500</v>
      </c>
      <c r="E93" s="166"/>
      <c r="F93" s="165">
        <v>527284</v>
      </c>
      <c r="G93" s="169"/>
    </row>
    <row r="94" spans="1:7" s="194" customFormat="1" ht="24" customHeight="1">
      <c r="A94" s="164">
        <v>5</v>
      </c>
      <c r="B94" s="164">
        <v>25</v>
      </c>
      <c r="C94" s="173" t="s">
        <v>324</v>
      </c>
      <c r="D94" s="165">
        <v>800</v>
      </c>
      <c r="E94" s="166"/>
      <c r="F94" s="165">
        <v>528084</v>
      </c>
      <c r="G94" s="169"/>
    </row>
    <row r="95" spans="1:7" s="194" customFormat="1" ht="24" customHeight="1">
      <c r="A95" s="164">
        <v>5</v>
      </c>
      <c r="B95" s="164">
        <v>25</v>
      </c>
      <c r="C95" s="173" t="s">
        <v>325</v>
      </c>
      <c r="D95" s="165">
        <v>800</v>
      </c>
      <c r="E95" s="166"/>
      <c r="F95" s="165">
        <v>528884</v>
      </c>
      <c r="G95" s="200"/>
    </row>
    <row r="96" spans="1:7" s="194" customFormat="1" ht="24" customHeight="1">
      <c r="A96" s="164">
        <v>5</v>
      </c>
      <c r="B96" s="164">
        <v>25</v>
      </c>
      <c r="C96" s="169" t="s">
        <v>326</v>
      </c>
      <c r="D96" s="278">
        <v>2400</v>
      </c>
      <c r="E96" s="166"/>
      <c r="F96" s="165">
        <v>531284</v>
      </c>
      <c r="G96" s="200"/>
    </row>
    <row r="97" spans="1:9" s="194" customFormat="1" ht="24" customHeight="1">
      <c r="A97" s="164">
        <v>5</v>
      </c>
      <c r="B97" s="164">
        <v>22</v>
      </c>
      <c r="C97" s="173" t="s">
        <v>327</v>
      </c>
      <c r="D97" s="165"/>
      <c r="E97" s="166">
        <v>7819</v>
      </c>
      <c r="F97" s="165">
        <v>523465</v>
      </c>
      <c r="G97" s="200"/>
    </row>
    <row r="98" spans="1:9" s="194" customFormat="1" ht="24" customHeight="1">
      <c r="A98" s="164">
        <v>5</v>
      </c>
      <c r="B98" s="164">
        <v>22</v>
      </c>
      <c r="C98" s="169" t="s">
        <v>328</v>
      </c>
      <c r="D98" s="165"/>
      <c r="E98" s="166">
        <v>8872</v>
      </c>
      <c r="F98" s="165">
        <v>514593</v>
      </c>
      <c r="G98" s="200"/>
    </row>
    <row r="99" spans="1:9" s="194" customFormat="1" ht="24" customHeight="1">
      <c r="A99" s="164">
        <v>5</v>
      </c>
      <c r="B99" s="164">
        <v>17</v>
      </c>
      <c r="C99" s="169" t="s">
        <v>354</v>
      </c>
      <c r="D99" s="165"/>
      <c r="E99" s="166">
        <v>2905</v>
      </c>
      <c r="F99" s="165">
        <v>511688</v>
      </c>
      <c r="G99" s="197"/>
    </row>
    <row r="100" spans="1:9" s="194" customFormat="1" ht="24" customHeight="1">
      <c r="A100" s="164">
        <v>5</v>
      </c>
      <c r="B100" s="164">
        <v>27</v>
      </c>
      <c r="C100" s="169" t="s">
        <v>330</v>
      </c>
      <c r="D100" s="165"/>
      <c r="E100" s="166">
        <v>650</v>
      </c>
      <c r="F100" s="165">
        <v>511038</v>
      </c>
      <c r="G100" s="197"/>
      <c r="H100" s="201"/>
    </row>
    <row r="101" spans="1:9" s="194" customFormat="1" ht="24" customHeight="1">
      <c r="A101" s="4">
        <v>5</v>
      </c>
      <c r="B101" s="4">
        <v>28</v>
      </c>
      <c r="C101" s="56" t="s">
        <v>329</v>
      </c>
      <c r="D101" s="38"/>
      <c r="E101" s="5">
        <v>1890</v>
      </c>
      <c r="F101" s="175">
        <v>509148</v>
      </c>
      <c r="G101" s="197"/>
    </row>
    <row r="102" spans="1:9" s="194" customFormat="1" ht="24" customHeight="1">
      <c r="A102" s="4">
        <v>5</v>
      </c>
      <c r="B102" s="4">
        <v>28</v>
      </c>
      <c r="C102" s="56" t="s">
        <v>332</v>
      </c>
      <c r="D102" s="38">
        <v>2500</v>
      </c>
      <c r="E102" s="5"/>
      <c r="F102" s="175">
        <v>511648</v>
      </c>
      <c r="G102" s="197"/>
    </row>
    <row r="103" spans="1:9" s="194" customFormat="1" ht="24" customHeight="1">
      <c r="A103" s="366">
        <v>5</v>
      </c>
      <c r="B103" s="366">
        <v>28</v>
      </c>
      <c r="C103" s="370" t="s">
        <v>333</v>
      </c>
      <c r="D103" s="236">
        <v>3200</v>
      </c>
      <c r="E103" s="368"/>
      <c r="F103" s="236">
        <v>514848</v>
      </c>
      <c r="G103" s="235"/>
    </row>
    <row r="104" spans="1:9" s="194" customFormat="1" ht="24" customHeight="1">
      <c r="A104" s="178">
        <v>5</v>
      </c>
      <c r="B104" s="178">
        <v>30</v>
      </c>
      <c r="C104" s="174" t="s">
        <v>352</v>
      </c>
      <c r="D104" s="367"/>
      <c r="E104" s="176">
        <v>30000</v>
      </c>
      <c r="F104" s="367">
        <v>484848</v>
      </c>
      <c r="G104" s="369"/>
      <c r="I104" s="196"/>
    </row>
    <row r="105" spans="1:9" s="194" customFormat="1" ht="24" customHeight="1">
      <c r="A105" s="4">
        <v>5</v>
      </c>
      <c r="B105" s="4">
        <v>30</v>
      </c>
      <c r="C105" s="53" t="s">
        <v>353</v>
      </c>
      <c r="D105" s="38">
        <v>2500</v>
      </c>
      <c r="E105" s="5"/>
      <c r="F105" s="175">
        <v>487348</v>
      </c>
      <c r="G105" s="197"/>
      <c r="H105" s="202"/>
    </row>
    <row r="106" spans="1:9" s="194" customFormat="1" ht="24" customHeight="1">
      <c r="A106" s="4">
        <v>5</v>
      </c>
      <c r="B106" s="4">
        <v>30</v>
      </c>
      <c r="C106" s="53" t="s">
        <v>355</v>
      </c>
      <c r="D106" s="38"/>
      <c r="E106" s="5">
        <v>205</v>
      </c>
      <c r="F106" s="175">
        <v>487143</v>
      </c>
      <c r="G106" s="197"/>
      <c r="H106" s="202"/>
    </row>
    <row r="107" spans="1:9" s="194" customFormat="1" ht="24" customHeight="1">
      <c r="A107" s="4">
        <v>6</v>
      </c>
      <c r="B107" s="4">
        <v>3</v>
      </c>
      <c r="C107" s="53" t="s">
        <v>208</v>
      </c>
      <c r="D107" s="38"/>
      <c r="E107" s="5">
        <v>1400</v>
      </c>
      <c r="F107" s="175">
        <v>485743</v>
      </c>
      <c r="G107" s="197"/>
      <c r="H107" s="202"/>
    </row>
    <row r="108" spans="1:9" s="194" customFormat="1" ht="24" customHeight="1" thickBot="1">
      <c r="A108" s="391">
        <v>6</v>
      </c>
      <c r="B108" s="233">
        <v>3</v>
      </c>
      <c r="C108" s="388" t="s">
        <v>356</v>
      </c>
      <c r="D108" s="236"/>
      <c r="E108" s="396">
        <v>189755</v>
      </c>
      <c r="F108" s="236">
        <v>295988</v>
      </c>
      <c r="G108" s="363"/>
      <c r="H108" s="202"/>
    </row>
    <row r="109" spans="1:9" s="194" customFormat="1" ht="24" customHeight="1" thickTop="1">
      <c r="A109" s="238">
        <v>6</v>
      </c>
      <c r="B109" s="383">
        <v>3</v>
      </c>
      <c r="C109" s="242" t="s">
        <v>357</v>
      </c>
      <c r="D109" s="390"/>
      <c r="E109" s="395">
        <v>8000</v>
      </c>
      <c r="F109" s="390">
        <v>287988</v>
      </c>
      <c r="G109" s="397"/>
      <c r="H109" s="202"/>
    </row>
    <row r="110" spans="1:9" s="194" customFormat="1" ht="24" customHeight="1">
      <c r="A110" s="178">
        <v>6</v>
      </c>
      <c r="B110" s="366">
        <v>3</v>
      </c>
      <c r="C110" s="365" t="s">
        <v>358</v>
      </c>
      <c r="D110" s="367">
        <v>1200</v>
      </c>
      <c r="E110" s="368"/>
      <c r="F110" s="175">
        <v>289188</v>
      </c>
      <c r="G110" s="369"/>
      <c r="H110" s="202"/>
    </row>
    <row r="111" spans="1:9" s="194" customFormat="1" ht="24" customHeight="1">
      <c r="A111" s="362">
        <v>6</v>
      </c>
      <c r="B111" s="362">
        <v>3</v>
      </c>
      <c r="C111" s="361" t="s">
        <v>382</v>
      </c>
      <c r="D111" s="38">
        <v>800</v>
      </c>
      <c r="E111" s="5"/>
      <c r="F111" s="175">
        <v>289988</v>
      </c>
      <c r="G111" s="197"/>
      <c r="H111" s="202"/>
    </row>
    <row r="112" spans="1:9" s="194" customFormat="1" ht="24" customHeight="1">
      <c r="A112" s="4">
        <v>6</v>
      </c>
      <c r="B112" s="4">
        <v>3</v>
      </c>
      <c r="C112" s="53" t="s">
        <v>359</v>
      </c>
      <c r="D112" s="153">
        <v>800</v>
      </c>
      <c r="E112" s="5"/>
      <c r="F112" s="175">
        <v>290788</v>
      </c>
      <c r="G112" s="197"/>
      <c r="H112" s="202"/>
    </row>
    <row r="113" spans="1:9" s="194" customFormat="1" ht="24" customHeight="1">
      <c r="A113" s="4">
        <v>6</v>
      </c>
      <c r="B113" s="4">
        <v>4</v>
      </c>
      <c r="C113" s="53" t="s">
        <v>360</v>
      </c>
      <c r="D113" s="38">
        <v>1050</v>
      </c>
      <c r="E113" s="5"/>
      <c r="F113" s="175">
        <v>291838</v>
      </c>
      <c r="G113" s="197"/>
    </row>
    <row r="114" spans="1:9" s="194" customFormat="1" ht="24" customHeight="1">
      <c r="A114" s="164">
        <v>6</v>
      </c>
      <c r="B114" s="164">
        <v>4</v>
      </c>
      <c r="C114" s="169" t="s">
        <v>362</v>
      </c>
      <c r="D114" s="165"/>
      <c r="E114" s="166">
        <v>320</v>
      </c>
      <c r="F114" s="175">
        <v>291518</v>
      </c>
      <c r="G114" s="198"/>
    </row>
    <row r="115" spans="1:9" s="194" customFormat="1" ht="24" customHeight="1">
      <c r="A115" s="164">
        <v>6</v>
      </c>
      <c r="B115" s="164">
        <v>4</v>
      </c>
      <c r="C115" s="169" t="s">
        <v>363</v>
      </c>
      <c r="D115" s="165"/>
      <c r="E115" s="166">
        <v>267</v>
      </c>
      <c r="F115" s="175">
        <v>291251</v>
      </c>
      <c r="G115" s="198"/>
    </row>
    <row r="116" spans="1:9" s="194" customFormat="1" ht="24" customHeight="1">
      <c r="A116" s="164">
        <v>6</v>
      </c>
      <c r="B116" s="164">
        <v>6</v>
      </c>
      <c r="C116" s="169" t="s">
        <v>367</v>
      </c>
      <c r="D116" s="165">
        <v>2500</v>
      </c>
      <c r="E116" s="166"/>
      <c r="F116" s="175">
        <v>293751</v>
      </c>
      <c r="G116" s="198"/>
    </row>
    <row r="117" spans="1:9" s="194" customFormat="1" ht="24" customHeight="1">
      <c r="A117" s="164">
        <v>6</v>
      </c>
      <c r="B117" s="164">
        <v>7</v>
      </c>
      <c r="C117" s="169" t="s">
        <v>368</v>
      </c>
      <c r="D117" s="165"/>
      <c r="E117" s="166">
        <v>96</v>
      </c>
      <c r="F117" s="175">
        <v>293655</v>
      </c>
      <c r="G117" s="198"/>
    </row>
    <row r="118" spans="1:9" s="194" customFormat="1" ht="24" customHeight="1">
      <c r="A118" s="164">
        <v>6</v>
      </c>
      <c r="B118" s="164">
        <v>7</v>
      </c>
      <c r="C118" s="169" t="s">
        <v>191</v>
      </c>
      <c r="D118" s="165">
        <v>2400</v>
      </c>
      <c r="E118" s="166"/>
      <c r="F118" s="175">
        <v>296055</v>
      </c>
      <c r="G118" s="198"/>
    </row>
    <row r="119" spans="1:9" s="194" customFormat="1" ht="24" customHeight="1">
      <c r="A119" s="164">
        <v>6</v>
      </c>
      <c r="B119" s="164">
        <v>8</v>
      </c>
      <c r="C119" s="169" t="s">
        <v>370</v>
      </c>
      <c r="D119" s="165">
        <v>2500</v>
      </c>
      <c r="E119" s="166"/>
      <c r="F119" s="175">
        <v>298555</v>
      </c>
      <c r="G119" s="198"/>
    </row>
    <row r="120" spans="1:9" s="194" customFormat="1" ht="24" customHeight="1">
      <c r="A120" s="164">
        <v>6</v>
      </c>
      <c r="B120" s="164">
        <v>8</v>
      </c>
      <c r="C120" s="169" t="s">
        <v>365</v>
      </c>
      <c r="D120" s="165"/>
      <c r="E120" s="166">
        <v>4000</v>
      </c>
      <c r="F120" s="175">
        <v>294555</v>
      </c>
      <c r="G120" s="198"/>
    </row>
    <row r="121" spans="1:9" s="194" customFormat="1" ht="24" customHeight="1">
      <c r="A121" s="164">
        <v>6</v>
      </c>
      <c r="B121" s="164">
        <v>8</v>
      </c>
      <c r="C121" s="169" t="s">
        <v>371</v>
      </c>
      <c r="D121" s="165"/>
      <c r="E121" s="166">
        <v>800</v>
      </c>
      <c r="F121" s="175">
        <v>293755</v>
      </c>
      <c r="G121" s="198"/>
      <c r="I121" s="196"/>
    </row>
    <row r="122" spans="1:9" s="194" customFormat="1" ht="24" customHeight="1">
      <c r="A122" s="164">
        <v>6</v>
      </c>
      <c r="B122" s="164">
        <v>8</v>
      </c>
      <c r="C122" s="169" t="s">
        <v>366</v>
      </c>
      <c r="D122" s="165"/>
      <c r="E122" s="166">
        <v>800</v>
      </c>
      <c r="F122" s="175">
        <v>292955</v>
      </c>
      <c r="G122" s="198"/>
    </row>
    <row r="123" spans="1:9" s="194" customFormat="1" ht="24" customHeight="1">
      <c r="A123" s="164">
        <v>6</v>
      </c>
      <c r="B123" s="164">
        <v>8</v>
      </c>
      <c r="C123" s="169" t="s">
        <v>373</v>
      </c>
      <c r="D123" s="165">
        <v>10000</v>
      </c>
      <c r="E123" s="166"/>
      <c r="F123" s="175">
        <v>302955</v>
      </c>
      <c r="G123" s="198"/>
    </row>
    <row r="124" spans="1:9" s="194" customFormat="1" ht="24" customHeight="1">
      <c r="A124" s="366">
        <v>6</v>
      </c>
      <c r="B124" s="366">
        <v>8</v>
      </c>
      <c r="C124" s="169" t="s">
        <v>374</v>
      </c>
      <c r="D124" s="367">
        <v>5800</v>
      </c>
      <c r="E124" s="273"/>
      <c r="F124" s="236">
        <v>308755</v>
      </c>
      <c r="G124" s="235"/>
    </row>
    <row r="125" spans="1:9" s="194" customFormat="1" ht="24" customHeight="1">
      <c r="A125" s="238">
        <v>6</v>
      </c>
      <c r="B125" s="178">
        <v>9</v>
      </c>
      <c r="C125" s="169" t="s">
        <v>372</v>
      </c>
      <c r="D125" s="175">
        <v>5000</v>
      </c>
      <c r="E125" s="368"/>
      <c r="F125" s="367">
        <v>313755</v>
      </c>
      <c r="G125" s="369"/>
      <c r="I125" s="203"/>
    </row>
    <row r="126" spans="1:9" s="194" customFormat="1" ht="24" customHeight="1">
      <c r="A126" s="164">
        <v>6</v>
      </c>
      <c r="B126" s="164">
        <v>13</v>
      </c>
      <c r="C126" s="169" t="s">
        <v>375</v>
      </c>
      <c r="D126" s="165">
        <v>5000</v>
      </c>
      <c r="E126" s="166"/>
      <c r="F126" s="175">
        <v>318755</v>
      </c>
      <c r="G126" s="198"/>
      <c r="I126" s="203"/>
    </row>
    <row r="127" spans="1:9" s="194" customFormat="1" ht="24" customHeight="1">
      <c r="A127" s="164">
        <v>6</v>
      </c>
      <c r="B127" s="398">
        <v>14</v>
      </c>
      <c r="C127" s="169" t="s">
        <v>376</v>
      </c>
      <c r="D127" s="165"/>
      <c r="E127" s="166">
        <v>12315</v>
      </c>
      <c r="F127" s="175">
        <v>306440</v>
      </c>
      <c r="G127" s="198"/>
      <c r="I127" s="203"/>
    </row>
    <row r="128" spans="1:9" s="194" customFormat="1" ht="24" customHeight="1">
      <c r="A128" s="164">
        <v>6</v>
      </c>
      <c r="B128" s="164">
        <v>14</v>
      </c>
      <c r="C128" s="169" t="s">
        <v>377</v>
      </c>
      <c r="D128" s="165">
        <v>2500</v>
      </c>
      <c r="E128" s="166"/>
      <c r="F128" s="175">
        <v>308940</v>
      </c>
      <c r="G128" s="198"/>
      <c r="I128" s="203"/>
    </row>
    <row r="129" spans="1:9" s="194" customFormat="1" ht="24" customHeight="1">
      <c r="A129" s="164">
        <v>6</v>
      </c>
      <c r="B129" s="164">
        <v>15</v>
      </c>
      <c r="C129" s="169" t="s">
        <v>378</v>
      </c>
      <c r="D129" s="165">
        <v>5000</v>
      </c>
      <c r="E129" s="166"/>
      <c r="F129" s="175">
        <v>313940</v>
      </c>
      <c r="G129" s="198"/>
      <c r="I129" s="203"/>
    </row>
    <row r="130" spans="1:9" s="194" customFormat="1" ht="24" customHeight="1">
      <c r="A130" s="164">
        <v>6</v>
      </c>
      <c r="B130" s="164">
        <v>17</v>
      </c>
      <c r="C130" s="169" t="s">
        <v>379</v>
      </c>
      <c r="D130" s="165">
        <v>400</v>
      </c>
      <c r="E130" s="166"/>
      <c r="F130" s="175">
        <v>314340</v>
      </c>
      <c r="G130" s="198"/>
      <c r="I130" s="203"/>
    </row>
    <row r="131" spans="1:9" s="194" customFormat="1" ht="24" customHeight="1">
      <c r="A131" s="164">
        <v>6</v>
      </c>
      <c r="B131" s="164">
        <v>17</v>
      </c>
      <c r="C131" s="169" t="s">
        <v>381</v>
      </c>
      <c r="D131" s="165">
        <v>1200</v>
      </c>
      <c r="E131" s="166"/>
      <c r="F131" s="175">
        <v>315540</v>
      </c>
      <c r="G131" s="198"/>
      <c r="I131" s="203"/>
    </row>
    <row r="132" spans="1:9" s="194" customFormat="1" ht="24" customHeight="1">
      <c r="A132" s="164">
        <v>6</v>
      </c>
      <c r="B132" s="164">
        <v>18</v>
      </c>
      <c r="C132" s="169" t="s">
        <v>380</v>
      </c>
      <c r="D132" s="165">
        <v>5000</v>
      </c>
      <c r="E132" s="166"/>
      <c r="F132" s="175">
        <v>320540</v>
      </c>
      <c r="G132" s="198"/>
      <c r="I132" s="203"/>
    </row>
    <row r="133" spans="1:9" s="194" customFormat="1" ht="24" customHeight="1">
      <c r="A133" s="164">
        <v>6</v>
      </c>
      <c r="B133" s="164">
        <v>21</v>
      </c>
      <c r="C133" s="169" t="s">
        <v>387</v>
      </c>
      <c r="D133" s="165">
        <v>128600</v>
      </c>
      <c r="E133" s="166"/>
      <c r="F133" s="175">
        <v>449140</v>
      </c>
      <c r="G133" s="198"/>
      <c r="I133" s="203"/>
    </row>
    <row r="134" spans="1:9" s="194" customFormat="1" ht="24" customHeight="1">
      <c r="A134" s="411">
        <v>6</v>
      </c>
      <c r="B134" s="233">
        <v>21</v>
      </c>
      <c r="C134" s="412" t="s">
        <v>390</v>
      </c>
      <c r="D134" s="165">
        <v>1184</v>
      </c>
      <c r="E134" s="166"/>
      <c r="F134" s="175">
        <v>450324</v>
      </c>
      <c r="G134" s="198"/>
      <c r="I134" s="203"/>
    </row>
    <row r="135" spans="1:9" s="194" customFormat="1" ht="24" customHeight="1">
      <c r="A135" s="409">
        <v>6</v>
      </c>
      <c r="B135" s="410">
        <v>22</v>
      </c>
      <c r="C135" s="413" t="s">
        <v>391</v>
      </c>
      <c r="D135" s="408">
        <v>3200</v>
      </c>
      <c r="E135" s="166"/>
      <c r="F135" s="367">
        <v>453524</v>
      </c>
      <c r="G135" s="369"/>
      <c r="H135" s="402"/>
      <c r="I135" s="203"/>
    </row>
    <row r="136" spans="1:9" s="194" customFormat="1" ht="24" customHeight="1">
      <c r="A136" s="164">
        <v>6</v>
      </c>
      <c r="B136" s="178">
        <v>22</v>
      </c>
      <c r="C136" s="179" t="s">
        <v>392</v>
      </c>
      <c r="D136" s="165">
        <v>1200</v>
      </c>
      <c r="E136" s="166"/>
      <c r="F136" s="175">
        <v>454724</v>
      </c>
      <c r="G136" s="198"/>
      <c r="I136" s="203"/>
    </row>
    <row r="137" spans="1:9" s="194" customFormat="1" ht="24" customHeight="1">
      <c r="A137" s="164">
        <v>6</v>
      </c>
      <c r="B137" s="164">
        <v>22</v>
      </c>
      <c r="C137" s="169" t="s">
        <v>393</v>
      </c>
      <c r="D137" s="165">
        <v>1200</v>
      </c>
      <c r="E137" s="166"/>
      <c r="F137" s="175">
        <v>455924</v>
      </c>
      <c r="G137" s="198"/>
      <c r="I137" s="203"/>
    </row>
    <row r="138" spans="1:9" s="194" customFormat="1" ht="24" customHeight="1">
      <c r="A138" s="233">
        <v>6</v>
      </c>
      <c r="B138" s="233">
        <v>27</v>
      </c>
      <c r="C138" s="400" t="s">
        <v>388</v>
      </c>
      <c r="D138" s="236">
        <v>2500</v>
      </c>
      <c r="E138" s="273"/>
      <c r="F138" s="236">
        <v>458424</v>
      </c>
      <c r="G138" s="365"/>
    </row>
    <row r="139" spans="1:9" s="194" customFormat="1" ht="24" customHeight="1">
      <c r="A139" s="366">
        <v>6</v>
      </c>
      <c r="B139" s="366">
        <v>29</v>
      </c>
      <c r="C139" s="179" t="s">
        <v>389</v>
      </c>
      <c r="D139" s="367"/>
      <c r="E139" s="368">
        <v>174570</v>
      </c>
      <c r="F139" s="367">
        <v>283854</v>
      </c>
      <c r="G139" s="401"/>
      <c r="I139" s="203"/>
    </row>
    <row r="140" spans="1:9" s="194" customFormat="1" ht="24" customHeight="1">
      <c r="A140" s="164">
        <v>7</v>
      </c>
      <c r="B140" s="164">
        <v>5</v>
      </c>
      <c r="C140" s="169" t="s">
        <v>205</v>
      </c>
      <c r="D140" s="165">
        <v>7000</v>
      </c>
      <c r="E140" s="166"/>
      <c r="F140" s="175">
        <v>290854</v>
      </c>
      <c r="G140" s="198"/>
      <c r="I140" s="203"/>
    </row>
    <row r="141" spans="1:9" s="194" customFormat="1" ht="24" customHeight="1">
      <c r="A141" s="164">
        <v>7</v>
      </c>
      <c r="B141" s="164">
        <v>10</v>
      </c>
      <c r="C141" s="169" t="s">
        <v>394</v>
      </c>
      <c r="D141" s="165">
        <v>15000</v>
      </c>
      <c r="E141" s="166"/>
      <c r="F141" s="192">
        <v>305854</v>
      </c>
      <c r="G141" s="198"/>
      <c r="I141" s="203"/>
    </row>
    <row r="142" spans="1:9" s="194" customFormat="1" ht="24" customHeight="1">
      <c r="A142" s="164">
        <v>7</v>
      </c>
      <c r="B142" s="164">
        <v>10</v>
      </c>
      <c r="C142" s="169" t="s">
        <v>380</v>
      </c>
      <c r="D142" s="165">
        <v>10000</v>
      </c>
      <c r="E142" s="166"/>
      <c r="F142" s="175">
        <v>315854</v>
      </c>
      <c r="G142" s="198"/>
      <c r="I142" s="203"/>
    </row>
    <row r="143" spans="1:9" ht="24" customHeight="1">
      <c r="A143" s="164">
        <v>7</v>
      </c>
      <c r="B143" s="164">
        <v>11</v>
      </c>
      <c r="C143" s="169" t="s">
        <v>299</v>
      </c>
      <c r="D143" s="165">
        <v>10000</v>
      </c>
      <c r="E143" s="204"/>
      <c r="F143" s="399">
        <v>325854</v>
      </c>
      <c r="G143" s="199"/>
    </row>
    <row r="144" spans="1:9" ht="24" customHeight="1">
      <c r="A144" s="164">
        <v>7</v>
      </c>
      <c r="B144" s="164">
        <v>11</v>
      </c>
      <c r="C144" s="199" t="s">
        <v>186</v>
      </c>
      <c r="D144" s="165">
        <v>7000</v>
      </c>
      <c r="E144" s="204"/>
      <c r="F144" s="192">
        <v>332854</v>
      </c>
      <c r="G144" s="199"/>
    </row>
    <row r="145" spans="1:7" ht="24" customHeight="1">
      <c r="A145" s="164">
        <v>7</v>
      </c>
      <c r="B145" s="164">
        <v>14</v>
      </c>
      <c r="C145" s="199" t="s">
        <v>395</v>
      </c>
      <c r="D145" s="165">
        <v>800</v>
      </c>
      <c r="E145" s="204"/>
      <c r="F145" s="192">
        <v>333654</v>
      </c>
      <c r="G145" s="199"/>
    </row>
    <row r="146" spans="1:7" ht="24" customHeight="1">
      <c r="A146" s="164">
        <v>7</v>
      </c>
      <c r="B146" s="164">
        <v>15</v>
      </c>
      <c r="C146" s="199" t="s">
        <v>396</v>
      </c>
      <c r="D146" s="165">
        <v>5000</v>
      </c>
      <c r="E146" s="204"/>
      <c r="F146" s="192">
        <v>338654</v>
      </c>
      <c r="G146" s="199"/>
    </row>
    <row r="147" spans="1:7" ht="24" customHeight="1">
      <c r="A147" s="164">
        <v>7</v>
      </c>
      <c r="B147" s="164">
        <v>16</v>
      </c>
      <c r="C147" s="206" t="s">
        <v>188</v>
      </c>
      <c r="D147" s="414">
        <v>5000</v>
      </c>
      <c r="E147" s="207"/>
      <c r="F147" s="192">
        <v>343654</v>
      </c>
      <c r="G147" s="199"/>
    </row>
    <row r="148" spans="1:7" ht="24" customHeight="1">
      <c r="A148" s="164">
        <v>7</v>
      </c>
      <c r="B148" s="164">
        <v>16</v>
      </c>
      <c r="C148" s="206" t="s">
        <v>208</v>
      </c>
      <c r="D148" s="206"/>
      <c r="E148" s="455">
        <v>1400</v>
      </c>
      <c r="F148" s="192">
        <v>342254</v>
      </c>
      <c r="G148" s="199"/>
    </row>
    <row r="149" spans="1:7" ht="24" customHeight="1">
      <c r="A149" s="164">
        <v>7</v>
      </c>
      <c r="B149" s="164">
        <v>20</v>
      </c>
      <c r="C149" s="206" t="s">
        <v>410</v>
      </c>
      <c r="D149" s="206"/>
      <c r="E149" s="207">
        <v>350</v>
      </c>
      <c r="F149" s="192">
        <v>341904</v>
      </c>
      <c r="G149" s="199"/>
    </row>
    <row r="150" spans="1:7" ht="24" customHeight="1">
      <c r="A150" s="164">
        <v>7</v>
      </c>
      <c r="B150" s="164">
        <v>20</v>
      </c>
      <c r="C150" s="206" t="s">
        <v>398</v>
      </c>
      <c r="D150" s="414">
        <v>259900</v>
      </c>
      <c r="E150" s="207"/>
      <c r="F150" s="192">
        <v>601804</v>
      </c>
      <c r="G150" s="199"/>
    </row>
    <row r="151" spans="1:7" ht="24" customHeight="1">
      <c r="A151" s="164">
        <v>7</v>
      </c>
      <c r="B151" s="164">
        <v>29</v>
      </c>
      <c r="C151" s="206" t="s">
        <v>411</v>
      </c>
      <c r="D151" s="414">
        <v>3500</v>
      </c>
      <c r="E151" s="207"/>
      <c r="F151" s="192">
        <v>605304</v>
      </c>
      <c r="G151" s="199"/>
    </row>
    <row r="152" spans="1:7" ht="24" customHeight="1" thickBot="1">
      <c r="A152" s="426">
        <v>8</v>
      </c>
      <c r="B152" s="432">
        <v>1</v>
      </c>
      <c r="C152" s="433" t="s">
        <v>412</v>
      </c>
      <c r="D152" s="425"/>
      <c r="E152" s="429">
        <v>254620</v>
      </c>
      <c r="F152" s="430">
        <v>350684</v>
      </c>
      <c r="G152" s="425"/>
    </row>
    <row r="153" spans="1:7" ht="25.5" customHeight="1" thickTop="1">
      <c r="A153" s="238">
        <v>8</v>
      </c>
      <c r="B153" s="238">
        <v>6</v>
      </c>
      <c r="C153" s="427" t="s">
        <v>205</v>
      </c>
      <c r="D153" s="448">
        <v>7000</v>
      </c>
      <c r="E153" s="428"/>
      <c r="F153" s="431">
        <v>357684</v>
      </c>
      <c r="G153" s="427"/>
    </row>
    <row r="154" spans="1:7" ht="24" customHeight="1">
      <c r="A154" s="422">
        <v>8</v>
      </c>
      <c r="B154" s="277">
        <v>12</v>
      </c>
      <c r="C154" s="425" t="s">
        <v>413</v>
      </c>
      <c r="D154" s="449">
        <v>2400</v>
      </c>
      <c r="E154" s="207"/>
      <c r="F154" s="192">
        <v>360084</v>
      </c>
      <c r="G154" s="206"/>
    </row>
    <row r="155" spans="1:7" ht="24" customHeight="1">
      <c r="A155" s="423">
        <v>8</v>
      </c>
      <c r="B155" s="238">
        <v>12</v>
      </c>
      <c r="C155" s="424" t="s">
        <v>414</v>
      </c>
      <c r="D155" s="450">
        <v>800</v>
      </c>
      <c r="E155" s="207"/>
      <c r="F155" s="192">
        <v>360884</v>
      </c>
    </row>
    <row r="156" spans="1:7" ht="23.25" customHeight="1">
      <c r="A156" s="164">
        <v>8</v>
      </c>
      <c r="B156" s="164">
        <v>12</v>
      </c>
      <c r="C156" s="206" t="s">
        <v>415</v>
      </c>
      <c r="D156" s="414">
        <v>800</v>
      </c>
      <c r="E156" s="207"/>
      <c r="F156" s="192">
        <v>361684</v>
      </c>
      <c r="G156" s="206"/>
    </row>
    <row r="157" spans="1:7" ht="24" customHeight="1">
      <c r="A157" s="164">
        <v>8</v>
      </c>
      <c r="B157" s="164">
        <v>13</v>
      </c>
      <c r="C157" s="206" t="s">
        <v>416</v>
      </c>
      <c r="D157" s="414">
        <v>20000</v>
      </c>
      <c r="E157" s="207"/>
      <c r="F157" s="192">
        <v>381684</v>
      </c>
      <c r="G157" s="206"/>
    </row>
    <row r="158" spans="1:7" ht="24" customHeight="1">
      <c r="A158" s="164">
        <v>8</v>
      </c>
      <c r="B158" s="164">
        <v>13</v>
      </c>
      <c r="C158" s="206" t="s">
        <v>417</v>
      </c>
      <c r="D158" s="414"/>
      <c r="E158" s="207">
        <v>231</v>
      </c>
      <c r="F158" s="192">
        <v>381453</v>
      </c>
      <c r="G158" s="192"/>
    </row>
    <row r="159" spans="1:7" ht="24" customHeight="1">
      <c r="A159" s="164">
        <v>8</v>
      </c>
      <c r="B159" s="164">
        <v>13</v>
      </c>
      <c r="C159" s="206" t="s">
        <v>418</v>
      </c>
      <c r="D159" s="414"/>
      <c r="E159" s="455">
        <v>4500</v>
      </c>
      <c r="F159" s="192">
        <v>376953</v>
      </c>
      <c r="G159" s="206"/>
    </row>
    <row r="160" spans="1:7" ht="24" customHeight="1">
      <c r="A160" s="164">
        <v>8</v>
      </c>
      <c r="B160" s="164">
        <v>13</v>
      </c>
      <c r="C160" s="206" t="s">
        <v>419</v>
      </c>
      <c r="D160" s="414">
        <v>15000</v>
      </c>
      <c r="E160" s="207"/>
      <c r="F160" s="192">
        <v>391953</v>
      </c>
      <c r="G160" s="206"/>
    </row>
    <row r="161" spans="1:7" ht="24" customHeight="1">
      <c r="A161" s="164">
        <v>8</v>
      </c>
      <c r="B161" s="164">
        <v>14</v>
      </c>
      <c r="C161" s="206" t="s">
        <v>420</v>
      </c>
      <c r="D161" s="414">
        <v>5000</v>
      </c>
      <c r="E161" s="207"/>
      <c r="F161" s="192">
        <v>396953</v>
      </c>
      <c r="G161" s="206"/>
    </row>
    <row r="162" spans="1:7" ht="24" customHeight="1">
      <c r="A162" s="164">
        <v>8</v>
      </c>
      <c r="B162" s="164">
        <v>15</v>
      </c>
      <c r="C162" s="206" t="s">
        <v>186</v>
      </c>
      <c r="D162" s="414">
        <v>7000</v>
      </c>
      <c r="E162" s="207"/>
      <c r="F162" s="192">
        <v>403953</v>
      </c>
      <c r="G162" s="206"/>
    </row>
    <row r="163" spans="1:7" ht="24" customHeight="1">
      <c r="A163" s="164">
        <v>8</v>
      </c>
      <c r="B163" s="164">
        <v>19</v>
      </c>
      <c r="C163" s="206" t="s">
        <v>293</v>
      </c>
      <c r="D163" s="414">
        <v>5000</v>
      </c>
      <c r="E163" s="207"/>
      <c r="F163" s="192">
        <v>408953</v>
      </c>
      <c r="G163" s="206"/>
    </row>
    <row r="164" spans="1:7" ht="24" customHeight="1">
      <c r="A164" s="164">
        <v>8</v>
      </c>
      <c r="B164" s="164">
        <v>21</v>
      </c>
      <c r="C164" s="206" t="s">
        <v>422</v>
      </c>
      <c r="D164" s="414"/>
      <c r="E164" s="455">
        <v>17340</v>
      </c>
      <c r="F164" s="192">
        <v>391613</v>
      </c>
      <c r="G164" s="206"/>
    </row>
    <row r="165" spans="1:7" ht="24" customHeight="1">
      <c r="A165" s="164">
        <v>8</v>
      </c>
      <c r="B165" s="164">
        <v>21</v>
      </c>
      <c r="C165" s="206" t="s">
        <v>421</v>
      </c>
      <c r="D165" s="414"/>
      <c r="E165" s="455">
        <v>4370</v>
      </c>
      <c r="F165" s="192">
        <v>387243</v>
      </c>
      <c r="G165" s="206"/>
    </row>
    <row r="166" spans="1:7" ht="24" customHeight="1">
      <c r="A166" s="164">
        <v>8</v>
      </c>
      <c r="B166" s="164">
        <v>24</v>
      </c>
      <c r="C166" s="446" t="s">
        <v>193</v>
      </c>
      <c r="D166" s="451">
        <v>5000</v>
      </c>
      <c r="E166" s="206"/>
      <c r="F166" s="192">
        <v>392243</v>
      </c>
      <c r="G166" s="206"/>
    </row>
    <row r="167" spans="1:7" ht="24" customHeight="1">
      <c r="A167" s="164">
        <v>8</v>
      </c>
      <c r="B167" s="164">
        <v>26</v>
      </c>
      <c r="C167" s="446" t="s">
        <v>445</v>
      </c>
      <c r="D167" s="451">
        <v>245900</v>
      </c>
      <c r="E167" s="206"/>
      <c r="F167" s="192">
        <v>638143</v>
      </c>
      <c r="G167" s="206"/>
    </row>
    <row r="168" spans="1:7" ht="24" customHeight="1">
      <c r="A168" s="164">
        <v>8</v>
      </c>
      <c r="B168" s="164">
        <v>26</v>
      </c>
      <c r="C168" s="206" t="s">
        <v>446</v>
      </c>
      <c r="D168" s="451"/>
      <c r="E168" s="455">
        <v>5950</v>
      </c>
      <c r="F168" s="192">
        <v>632193</v>
      </c>
      <c r="G168" s="206"/>
    </row>
    <row r="169" spans="1:7" ht="24" customHeight="1">
      <c r="A169" s="164">
        <v>8</v>
      </c>
      <c r="B169" s="164">
        <v>27</v>
      </c>
      <c r="C169" s="206" t="s">
        <v>448</v>
      </c>
      <c r="D169" s="414">
        <v>10000</v>
      </c>
      <c r="E169" s="207"/>
      <c r="F169" s="192">
        <v>642193</v>
      </c>
      <c r="G169" s="206"/>
    </row>
    <row r="170" spans="1:7" ht="24" customHeight="1">
      <c r="A170" s="164">
        <v>8</v>
      </c>
      <c r="B170" s="164">
        <v>29</v>
      </c>
      <c r="C170" s="206" t="s">
        <v>449</v>
      </c>
      <c r="D170" s="414">
        <v>5000</v>
      </c>
      <c r="E170" s="207"/>
      <c r="F170" s="192">
        <v>647193</v>
      </c>
      <c r="G170" s="206"/>
    </row>
    <row r="171" spans="1:7" ht="24" customHeight="1">
      <c r="A171" s="164">
        <v>8</v>
      </c>
      <c r="B171" s="164">
        <v>29</v>
      </c>
      <c r="C171" s="206" t="s">
        <v>450</v>
      </c>
      <c r="D171" s="452"/>
      <c r="E171" s="207">
        <v>650</v>
      </c>
      <c r="F171" s="192">
        <v>646543</v>
      </c>
      <c r="G171" s="206"/>
    </row>
    <row r="172" spans="1:7" ht="24" customHeight="1">
      <c r="A172" s="164">
        <v>8</v>
      </c>
      <c r="B172" s="164">
        <v>31</v>
      </c>
      <c r="C172" s="206" t="s">
        <v>293</v>
      </c>
      <c r="D172" s="414">
        <v>5000</v>
      </c>
      <c r="E172" s="207"/>
      <c r="F172" s="192">
        <v>651543</v>
      </c>
      <c r="G172" s="206"/>
    </row>
    <row r="173" spans="1:7" ht="24" customHeight="1">
      <c r="A173" s="164">
        <v>8</v>
      </c>
      <c r="B173" s="164">
        <v>31</v>
      </c>
      <c r="C173" s="206" t="s">
        <v>451</v>
      </c>
      <c r="D173" s="453">
        <v>4000</v>
      </c>
      <c r="E173" s="207"/>
      <c r="F173" s="192">
        <v>655543</v>
      </c>
      <c r="G173" s="206"/>
    </row>
    <row r="174" spans="1:7" ht="24" customHeight="1" thickBot="1">
      <c r="A174" s="277">
        <v>9</v>
      </c>
      <c r="B174" s="457">
        <v>3</v>
      </c>
      <c r="C174" s="425" t="s">
        <v>454</v>
      </c>
      <c r="D174" s="458"/>
      <c r="E174" s="459">
        <v>291635</v>
      </c>
      <c r="F174" s="430">
        <v>363908</v>
      </c>
      <c r="G174" s="425"/>
    </row>
    <row r="175" spans="1:7" ht="24" customHeight="1" thickTop="1">
      <c r="A175" s="383">
        <v>9</v>
      </c>
      <c r="B175" s="238">
        <v>4</v>
      </c>
      <c r="C175" s="427" t="s">
        <v>205</v>
      </c>
      <c r="D175" s="450">
        <v>5600</v>
      </c>
      <c r="E175" s="465"/>
      <c r="F175" s="431">
        <v>369508</v>
      </c>
      <c r="G175" s="427"/>
    </row>
    <row r="176" spans="1:7" ht="24" customHeight="1">
      <c r="A176" s="456">
        <v>9</v>
      </c>
      <c r="B176" s="164">
        <v>9</v>
      </c>
      <c r="C176" s="206" t="s">
        <v>455</v>
      </c>
      <c r="D176" s="414">
        <v>2800</v>
      </c>
      <c r="E176" s="466"/>
      <c r="F176" s="192">
        <v>372308</v>
      </c>
      <c r="G176" s="206"/>
    </row>
    <row r="177" spans="1:9" ht="24" customHeight="1">
      <c r="A177" s="456">
        <v>9</v>
      </c>
      <c r="B177" s="164">
        <v>9</v>
      </c>
      <c r="C177" s="206" t="s">
        <v>456</v>
      </c>
      <c r="D177" s="414">
        <v>5600</v>
      </c>
      <c r="E177" s="466"/>
      <c r="F177" s="192">
        <v>377908</v>
      </c>
      <c r="G177" s="206"/>
    </row>
    <row r="178" spans="1:9" ht="24" customHeight="1">
      <c r="A178" s="164">
        <v>9</v>
      </c>
      <c r="B178" s="164">
        <v>9</v>
      </c>
      <c r="C178" s="206" t="s">
        <v>458</v>
      </c>
      <c r="D178" s="414">
        <v>3500</v>
      </c>
      <c r="E178" s="466"/>
      <c r="F178" s="192">
        <v>381408</v>
      </c>
      <c r="G178" s="206"/>
    </row>
    <row r="179" spans="1:9" ht="24" customHeight="1">
      <c r="A179" s="456">
        <v>9</v>
      </c>
      <c r="B179" s="164">
        <v>9</v>
      </c>
      <c r="C179" s="206" t="s">
        <v>457</v>
      </c>
      <c r="D179" s="414">
        <v>5600</v>
      </c>
      <c r="E179" s="466"/>
      <c r="F179" s="192">
        <v>387008</v>
      </c>
      <c r="G179" s="206"/>
    </row>
    <row r="180" spans="1:9" ht="24" customHeight="1">
      <c r="A180" s="164">
        <v>9</v>
      </c>
      <c r="B180" s="164">
        <v>10</v>
      </c>
      <c r="C180" s="206" t="s">
        <v>459</v>
      </c>
      <c r="D180" s="452"/>
      <c r="E180" s="466">
        <v>1800</v>
      </c>
      <c r="F180" s="192">
        <v>385208</v>
      </c>
      <c r="G180" s="206"/>
    </row>
    <row r="181" spans="1:9" ht="24" customHeight="1">
      <c r="A181" s="164">
        <v>9</v>
      </c>
      <c r="B181" s="164">
        <v>10</v>
      </c>
      <c r="C181" s="206" t="s">
        <v>464</v>
      </c>
      <c r="D181" s="414"/>
      <c r="E181" s="466">
        <v>4258</v>
      </c>
      <c r="F181" s="192">
        <v>380950</v>
      </c>
      <c r="G181" s="206"/>
    </row>
    <row r="182" spans="1:9" ht="24" customHeight="1">
      <c r="A182" s="164">
        <v>9</v>
      </c>
      <c r="B182" s="164">
        <v>10</v>
      </c>
      <c r="C182" s="206" t="s">
        <v>465</v>
      </c>
      <c r="D182" s="414">
        <v>5500</v>
      </c>
      <c r="E182" s="466"/>
      <c r="F182" s="192">
        <v>386450</v>
      </c>
      <c r="G182" s="206"/>
    </row>
    <row r="183" spans="1:9" ht="24" customHeight="1">
      <c r="A183" s="164">
        <v>9</v>
      </c>
      <c r="B183" s="164">
        <v>11</v>
      </c>
      <c r="C183" s="206" t="s">
        <v>463</v>
      </c>
      <c r="D183" s="414"/>
      <c r="E183" s="466">
        <v>7000</v>
      </c>
      <c r="F183" s="192">
        <v>379450</v>
      </c>
      <c r="G183" s="206"/>
    </row>
    <row r="184" spans="1:9" ht="24" customHeight="1">
      <c r="A184" s="411">
        <v>9</v>
      </c>
      <c r="B184" s="411">
        <v>11</v>
      </c>
      <c r="C184" s="206" t="s">
        <v>460</v>
      </c>
      <c r="D184" s="460">
        <v>2800</v>
      </c>
      <c r="E184" s="467"/>
      <c r="F184" s="430">
        <v>382250</v>
      </c>
      <c r="G184" s="425"/>
      <c r="I184" s="489"/>
    </row>
    <row r="185" spans="1:9" ht="24" customHeight="1">
      <c r="A185" s="456">
        <v>9</v>
      </c>
      <c r="B185" s="456">
        <v>12</v>
      </c>
      <c r="C185" s="425" t="s">
        <v>461</v>
      </c>
      <c r="D185" s="462">
        <v>2800</v>
      </c>
      <c r="E185" s="468"/>
      <c r="F185" s="463">
        <v>385050</v>
      </c>
      <c r="G185" s="461"/>
      <c r="H185" s="461"/>
      <c r="I185" s="461"/>
    </row>
    <row r="186" spans="1:9" ht="24" customHeight="1">
      <c r="A186" s="456">
        <v>9</v>
      </c>
      <c r="B186" s="456">
        <v>13</v>
      </c>
      <c r="C186" s="461" t="s">
        <v>462</v>
      </c>
      <c r="D186" s="463">
        <v>5600</v>
      </c>
      <c r="E186" s="468"/>
      <c r="F186" s="463">
        <v>390650</v>
      </c>
      <c r="G186" s="461"/>
      <c r="H186" s="461"/>
      <c r="I186" s="461"/>
    </row>
    <row r="187" spans="1:9" ht="24" customHeight="1">
      <c r="A187" s="456">
        <v>9</v>
      </c>
      <c r="B187" s="456">
        <v>13</v>
      </c>
      <c r="C187" s="461" t="s">
        <v>468</v>
      </c>
      <c r="D187" s="463">
        <v>2800</v>
      </c>
      <c r="E187" s="468"/>
      <c r="F187" s="463">
        <v>393450</v>
      </c>
      <c r="G187" s="461"/>
      <c r="H187" s="461"/>
      <c r="I187" s="461"/>
    </row>
    <row r="188" spans="1:9" ht="24" customHeight="1">
      <c r="A188" s="456">
        <v>9</v>
      </c>
      <c r="B188" s="456">
        <v>16</v>
      </c>
      <c r="C188" s="461" t="s">
        <v>474</v>
      </c>
      <c r="D188" s="463"/>
      <c r="E188" s="468">
        <v>3690</v>
      </c>
      <c r="F188" s="463">
        <v>389760</v>
      </c>
      <c r="G188" s="461"/>
      <c r="H188" s="461"/>
      <c r="I188" s="461"/>
    </row>
    <row r="189" spans="1:9" ht="24" customHeight="1">
      <c r="A189" s="456">
        <v>9</v>
      </c>
      <c r="B189" s="456">
        <v>16</v>
      </c>
      <c r="C189" s="461" t="s">
        <v>469</v>
      </c>
      <c r="D189" s="463"/>
      <c r="E189" s="468">
        <v>4710</v>
      </c>
      <c r="F189" s="463">
        <v>385050</v>
      </c>
      <c r="G189" s="461"/>
      <c r="H189" s="461"/>
      <c r="I189" s="461"/>
    </row>
    <row r="190" spans="1:9" ht="24" customHeight="1">
      <c r="A190" s="456">
        <v>9</v>
      </c>
      <c r="B190" s="456">
        <v>16</v>
      </c>
      <c r="C190" s="461" t="s">
        <v>470</v>
      </c>
      <c r="D190" s="463"/>
      <c r="E190" s="468">
        <v>1800</v>
      </c>
      <c r="F190" s="463">
        <v>383250</v>
      </c>
      <c r="G190" s="461"/>
      <c r="H190" s="461"/>
      <c r="I190" s="461"/>
    </row>
    <row r="191" spans="1:9" ht="24" customHeight="1">
      <c r="A191" s="456">
        <v>9</v>
      </c>
      <c r="B191" s="456">
        <v>16</v>
      </c>
      <c r="C191" s="461" t="s">
        <v>471</v>
      </c>
      <c r="D191" s="463"/>
      <c r="E191" s="468">
        <v>5733</v>
      </c>
      <c r="F191" s="463">
        <v>377517</v>
      </c>
      <c r="G191" s="461" t="s">
        <v>493</v>
      </c>
      <c r="H191" s="461"/>
      <c r="I191" s="461"/>
    </row>
    <row r="192" spans="1:9" ht="24" customHeight="1">
      <c r="A192" s="456">
        <v>9</v>
      </c>
      <c r="B192" s="456">
        <v>16</v>
      </c>
      <c r="C192" s="461" t="s">
        <v>472</v>
      </c>
      <c r="D192" s="463"/>
      <c r="E192" s="468">
        <v>1800</v>
      </c>
      <c r="F192" s="463">
        <v>375171</v>
      </c>
      <c r="G192" s="461"/>
      <c r="H192" s="461"/>
      <c r="I192" s="461"/>
    </row>
    <row r="193" spans="1:9" ht="24" customHeight="1">
      <c r="A193" s="456">
        <v>9</v>
      </c>
      <c r="B193" s="456">
        <v>16</v>
      </c>
      <c r="C193" s="461" t="s">
        <v>473</v>
      </c>
      <c r="D193" s="463"/>
      <c r="E193" s="468">
        <v>13227</v>
      </c>
      <c r="F193" s="463">
        <v>362490</v>
      </c>
      <c r="G193" s="461"/>
      <c r="H193" s="461"/>
      <c r="I193" s="461"/>
    </row>
    <row r="194" spans="1:9" ht="24" customHeight="1">
      <c r="A194" s="456">
        <v>9</v>
      </c>
      <c r="B194" s="456">
        <v>20</v>
      </c>
      <c r="C194" s="461" t="s">
        <v>478</v>
      </c>
      <c r="D194" s="463"/>
      <c r="E194" s="468">
        <v>495</v>
      </c>
      <c r="F194" s="463">
        <v>361995</v>
      </c>
      <c r="G194" s="461"/>
      <c r="H194" s="461"/>
      <c r="I194" s="461"/>
    </row>
    <row r="195" spans="1:9" ht="24" customHeight="1">
      <c r="A195" s="456">
        <v>9</v>
      </c>
      <c r="B195" s="456">
        <v>20</v>
      </c>
      <c r="C195" s="461" t="s">
        <v>479</v>
      </c>
      <c r="D195" s="463"/>
      <c r="E195" s="468">
        <v>1400</v>
      </c>
      <c r="F195" s="463">
        <v>360595</v>
      </c>
      <c r="G195" s="461"/>
      <c r="H195" s="461"/>
      <c r="I195" s="461"/>
    </row>
    <row r="196" spans="1:9" ht="24" customHeight="1">
      <c r="A196" s="456">
        <v>9</v>
      </c>
      <c r="B196" s="456">
        <v>26</v>
      </c>
      <c r="C196" s="461" t="s">
        <v>480</v>
      </c>
      <c r="D196" s="463"/>
      <c r="E196" s="468">
        <v>270</v>
      </c>
      <c r="F196" s="463">
        <v>360325</v>
      </c>
      <c r="G196" s="461" t="s">
        <v>481</v>
      </c>
      <c r="H196" s="461"/>
      <c r="I196" s="461"/>
    </row>
    <row r="197" spans="1:9" ht="24" customHeight="1">
      <c r="A197" s="456">
        <v>9</v>
      </c>
      <c r="B197" s="456">
        <v>26</v>
      </c>
      <c r="C197" s="461" t="s">
        <v>486</v>
      </c>
      <c r="D197" s="463">
        <v>1200</v>
      </c>
      <c r="E197" s="468"/>
      <c r="F197" s="463">
        <v>361525</v>
      </c>
      <c r="G197" s="461"/>
      <c r="H197" s="461"/>
      <c r="I197" s="461"/>
    </row>
    <row r="198" spans="1:9" ht="24" customHeight="1">
      <c r="A198" s="456">
        <v>9</v>
      </c>
      <c r="B198" s="456">
        <v>27</v>
      </c>
      <c r="C198" s="461" t="s">
        <v>487</v>
      </c>
      <c r="D198" s="463">
        <v>130000</v>
      </c>
      <c r="E198" s="468"/>
      <c r="F198" s="463">
        <v>491525</v>
      </c>
      <c r="G198" s="461"/>
      <c r="H198" s="461"/>
      <c r="I198" s="461"/>
    </row>
    <row r="199" spans="1:9" ht="24" customHeight="1">
      <c r="A199" s="456">
        <v>9</v>
      </c>
      <c r="B199" s="456">
        <v>27</v>
      </c>
      <c r="C199" s="461" t="s">
        <v>488</v>
      </c>
      <c r="D199" s="463"/>
      <c r="E199" s="468">
        <v>1262</v>
      </c>
      <c r="F199" s="463">
        <v>490263</v>
      </c>
      <c r="G199" s="461"/>
      <c r="H199" s="461"/>
      <c r="I199" s="461"/>
    </row>
    <row r="200" spans="1:9" ht="24" customHeight="1">
      <c r="A200" s="456">
        <v>9</v>
      </c>
      <c r="B200" s="456">
        <v>28</v>
      </c>
      <c r="C200" s="461" t="s">
        <v>489</v>
      </c>
      <c r="D200" s="463">
        <v>1200</v>
      </c>
      <c r="E200" s="468"/>
      <c r="F200" s="463">
        <v>491463</v>
      </c>
      <c r="G200" s="461"/>
      <c r="H200" s="461"/>
      <c r="I200" s="461"/>
    </row>
    <row r="201" spans="1:9" ht="24" customHeight="1" thickBot="1">
      <c r="A201" s="411">
        <v>10</v>
      </c>
      <c r="B201" s="492">
        <v>1</v>
      </c>
      <c r="C201" s="493" t="s">
        <v>494</v>
      </c>
      <c r="D201" s="460"/>
      <c r="E201" s="496">
        <v>168970</v>
      </c>
      <c r="F201" s="460">
        <v>322493</v>
      </c>
      <c r="G201" s="493"/>
      <c r="H201" s="461"/>
      <c r="I201" s="461"/>
    </row>
    <row r="202" spans="1:9" ht="24" customHeight="1">
      <c r="A202" s="491">
        <v>10</v>
      </c>
      <c r="B202" s="238">
        <v>7</v>
      </c>
      <c r="C202" s="424" t="s">
        <v>188</v>
      </c>
      <c r="D202" s="494">
        <v>2500</v>
      </c>
      <c r="E202" s="495"/>
      <c r="F202" s="494">
        <v>324993</v>
      </c>
      <c r="G202" s="424"/>
      <c r="H202" s="461"/>
      <c r="I202" s="461"/>
    </row>
    <row r="203" spans="1:9" ht="24" customHeight="1">
      <c r="A203" s="456">
        <v>10</v>
      </c>
      <c r="B203" s="456">
        <v>7</v>
      </c>
      <c r="C203" s="461" t="s">
        <v>380</v>
      </c>
      <c r="D203" s="463">
        <v>4900</v>
      </c>
      <c r="E203" s="468"/>
      <c r="F203" s="463">
        <v>329893</v>
      </c>
      <c r="G203" s="461"/>
      <c r="H203" s="461"/>
      <c r="I203" s="461"/>
    </row>
    <row r="204" spans="1:9" ht="24" customHeight="1">
      <c r="A204" s="456">
        <v>10</v>
      </c>
      <c r="B204" s="456">
        <v>8</v>
      </c>
      <c r="C204" s="461" t="s">
        <v>518</v>
      </c>
      <c r="D204" s="463">
        <v>2800</v>
      </c>
      <c r="E204" s="468"/>
      <c r="F204" s="463">
        <v>332693</v>
      </c>
      <c r="G204" s="461"/>
      <c r="H204" s="461"/>
      <c r="I204" s="461"/>
    </row>
    <row r="205" spans="1:9" ht="24" customHeight="1">
      <c r="A205" s="456">
        <v>10</v>
      </c>
      <c r="B205" s="456">
        <v>8</v>
      </c>
      <c r="C205" s="461" t="s">
        <v>186</v>
      </c>
      <c r="D205" s="463">
        <v>4900</v>
      </c>
      <c r="E205" s="468"/>
      <c r="F205" s="463">
        <v>337593</v>
      </c>
      <c r="G205" s="461"/>
      <c r="H205" s="461"/>
      <c r="I205" s="461"/>
    </row>
    <row r="206" spans="1:9" ht="24" customHeight="1">
      <c r="A206" s="456">
        <v>10</v>
      </c>
      <c r="B206" s="456">
        <v>9</v>
      </c>
      <c r="C206" s="461" t="s">
        <v>191</v>
      </c>
      <c r="D206" s="463">
        <v>2400</v>
      </c>
      <c r="E206" s="468"/>
      <c r="F206" s="463">
        <v>339993</v>
      </c>
      <c r="G206" s="461"/>
      <c r="H206" s="461"/>
      <c r="I206" s="461"/>
    </row>
    <row r="207" spans="1:9" ht="24" customHeight="1">
      <c r="A207" s="456">
        <v>10</v>
      </c>
      <c r="B207" s="456">
        <v>9</v>
      </c>
      <c r="C207" s="461" t="s">
        <v>495</v>
      </c>
      <c r="D207" s="463">
        <v>5000</v>
      </c>
      <c r="E207" s="468"/>
      <c r="F207" s="463">
        <v>344993</v>
      </c>
      <c r="G207" s="461"/>
      <c r="H207" s="461"/>
      <c r="I207" s="461"/>
    </row>
    <row r="208" spans="1:9" ht="24" customHeight="1">
      <c r="A208" s="456">
        <v>10</v>
      </c>
      <c r="B208" s="456">
        <v>12</v>
      </c>
      <c r="C208" s="461" t="s">
        <v>205</v>
      </c>
      <c r="D208" s="463">
        <v>5000</v>
      </c>
      <c r="E208" s="468"/>
      <c r="F208" s="463">
        <v>349993</v>
      </c>
      <c r="G208" s="461"/>
      <c r="H208" s="461"/>
      <c r="I208" s="461"/>
    </row>
    <row r="209" spans="1:9" ht="24" customHeight="1">
      <c r="A209" s="456">
        <v>10</v>
      </c>
      <c r="B209" s="456">
        <v>12</v>
      </c>
      <c r="C209" s="461" t="s">
        <v>496</v>
      </c>
      <c r="D209" s="463">
        <v>2800</v>
      </c>
      <c r="E209" s="468"/>
      <c r="F209" s="463">
        <v>352793</v>
      </c>
      <c r="G209" s="461"/>
      <c r="H209" s="461"/>
      <c r="I209" s="461"/>
    </row>
    <row r="210" spans="1:9" ht="24" customHeight="1">
      <c r="A210" s="456">
        <v>10</v>
      </c>
      <c r="B210" s="456">
        <v>12</v>
      </c>
      <c r="C210" s="461" t="s">
        <v>497</v>
      </c>
      <c r="D210" s="463">
        <v>1200</v>
      </c>
      <c r="E210" s="468"/>
      <c r="F210" s="463">
        <v>353993</v>
      </c>
      <c r="G210" s="461"/>
      <c r="H210" s="461"/>
      <c r="I210" s="461"/>
    </row>
    <row r="211" spans="1:9" ht="24" customHeight="1">
      <c r="A211" s="456">
        <v>10</v>
      </c>
      <c r="B211" s="456">
        <v>12</v>
      </c>
      <c r="C211" s="461" t="s">
        <v>498</v>
      </c>
      <c r="D211" s="463">
        <v>1600</v>
      </c>
      <c r="E211" s="468"/>
      <c r="F211" s="463">
        <v>355593</v>
      </c>
      <c r="G211" s="461"/>
      <c r="H211" s="461"/>
      <c r="I211" s="461"/>
    </row>
    <row r="212" spans="1:9" ht="24" customHeight="1">
      <c r="A212" s="456">
        <v>10</v>
      </c>
      <c r="B212" s="456">
        <v>12</v>
      </c>
      <c r="C212" s="461" t="s">
        <v>370</v>
      </c>
      <c r="D212" s="463">
        <v>2500</v>
      </c>
      <c r="E212" s="468"/>
      <c r="F212" s="463">
        <v>358093</v>
      </c>
      <c r="G212" s="461"/>
      <c r="H212" s="461"/>
      <c r="I212" s="461"/>
    </row>
    <row r="213" spans="1:9" ht="24" customHeight="1">
      <c r="A213" s="456">
        <v>10</v>
      </c>
      <c r="B213" s="456">
        <v>12</v>
      </c>
      <c r="C213" s="461" t="s">
        <v>502</v>
      </c>
      <c r="D213" s="463">
        <v>5000</v>
      </c>
      <c r="E213" s="468"/>
      <c r="F213" s="463">
        <v>363093</v>
      </c>
      <c r="G213" s="461"/>
      <c r="H213" s="461"/>
      <c r="I213" s="461"/>
    </row>
    <row r="214" spans="1:9" ht="24" customHeight="1">
      <c r="A214" s="456">
        <v>10</v>
      </c>
      <c r="B214" s="456">
        <v>15</v>
      </c>
      <c r="C214" s="461" t="s">
        <v>503</v>
      </c>
      <c r="D214" s="463"/>
      <c r="E214" s="468">
        <v>1100</v>
      </c>
      <c r="F214" s="463">
        <v>361993</v>
      </c>
      <c r="G214" s="461"/>
      <c r="H214" s="461"/>
      <c r="I214" s="461"/>
    </row>
    <row r="215" spans="1:9" ht="24" customHeight="1">
      <c r="A215" s="456">
        <v>10</v>
      </c>
      <c r="B215" s="456">
        <v>18</v>
      </c>
      <c r="C215" s="461" t="s">
        <v>505</v>
      </c>
      <c r="D215" s="463"/>
      <c r="E215" s="468">
        <v>1106</v>
      </c>
      <c r="F215" s="463">
        <v>360887</v>
      </c>
      <c r="G215" s="461"/>
      <c r="H215" s="461"/>
      <c r="I215" s="461"/>
    </row>
    <row r="216" spans="1:9" ht="24" customHeight="1">
      <c r="A216" s="456">
        <v>10</v>
      </c>
      <c r="B216" s="456">
        <v>18</v>
      </c>
      <c r="C216" s="461" t="s">
        <v>504</v>
      </c>
      <c r="D216" s="463"/>
      <c r="E216" s="468">
        <v>512</v>
      </c>
      <c r="F216" s="463">
        <v>360375</v>
      </c>
      <c r="G216" s="461"/>
      <c r="H216" s="461"/>
      <c r="I216" s="461"/>
    </row>
    <row r="217" spans="1:9" ht="24" customHeight="1">
      <c r="A217" s="456">
        <v>10</v>
      </c>
      <c r="B217" s="456">
        <v>18</v>
      </c>
      <c r="C217" s="461" t="s">
        <v>506</v>
      </c>
      <c r="D217" s="463"/>
      <c r="E217" s="468">
        <v>2100</v>
      </c>
      <c r="F217" s="463">
        <v>358275</v>
      </c>
      <c r="G217" s="461"/>
      <c r="H217" s="461"/>
      <c r="I217" s="461"/>
    </row>
    <row r="218" spans="1:9" ht="24" customHeight="1">
      <c r="A218" s="456">
        <v>10</v>
      </c>
      <c r="B218" s="456">
        <v>19</v>
      </c>
      <c r="C218" s="461" t="s">
        <v>479</v>
      </c>
      <c r="D218" s="463"/>
      <c r="E218" s="468">
        <v>1400</v>
      </c>
      <c r="F218" s="463">
        <v>356875</v>
      </c>
      <c r="G218" s="461"/>
      <c r="H218" s="461"/>
      <c r="I218" s="461"/>
    </row>
    <row r="219" spans="1:9" ht="24" customHeight="1">
      <c r="A219" s="456">
        <v>10</v>
      </c>
      <c r="B219" s="456">
        <v>19</v>
      </c>
      <c r="C219" s="461" t="s">
        <v>507</v>
      </c>
      <c r="D219" s="463"/>
      <c r="E219" s="468">
        <v>600</v>
      </c>
      <c r="F219" s="463">
        <v>356275</v>
      </c>
      <c r="G219" s="461"/>
      <c r="H219" s="461"/>
      <c r="I219" s="461"/>
    </row>
    <row r="220" spans="1:9" ht="24" customHeight="1">
      <c r="A220" s="456">
        <v>10</v>
      </c>
      <c r="B220" s="456">
        <v>19</v>
      </c>
      <c r="C220" s="461" t="s">
        <v>508</v>
      </c>
      <c r="D220" s="463"/>
      <c r="E220" s="468">
        <v>3000</v>
      </c>
      <c r="F220" s="463">
        <v>353275</v>
      </c>
      <c r="G220" s="461"/>
      <c r="H220" s="461"/>
      <c r="I220" s="461"/>
    </row>
    <row r="221" spans="1:9" ht="24" customHeight="1">
      <c r="A221" s="456">
        <v>10</v>
      </c>
      <c r="B221" s="456">
        <v>19</v>
      </c>
      <c r="C221" s="461" t="s">
        <v>509</v>
      </c>
      <c r="D221" s="463"/>
      <c r="E221" s="468">
        <v>3000</v>
      </c>
      <c r="F221" s="463">
        <v>350275</v>
      </c>
      <c r="G221" s="461" t="s">
        <v>501</v>
      </c>
      <c r="H221" s="461"/>
      <c r="I221" s="461"/>
    </row>
    <row r="222" spans="1:9" ht="24" customHeight="1">
      <c r="A222" s="456">
        <v>10</v>
      </c>
      <c r="B222" s="456">
        <v>20</v>
      </c>
      <c r="C222" s="461" t="s">
        <v>534</v>
      </c>
      <c r="D222" s="463"/>
      <c r="E222" s="468">
        <v>6000</v>
      </c>
      <c r="F222" s="463">
        <v>344275</v>
      </c>
      <c r="G222" s="461"/>
      <c r="H222" s="461"/>
      <c r="I222" s="461"/>
    </row>
    <row r="223" spans="1:9" ht="24" customHeight="1">
      <c r="A223" s="456">
        <v>10</v>
      </c>
      <c r="B223" s="456">
        <v>25</v>
      </c>
      <c r="C223" s="461" t="s">
        <v>511</v>
      </c>
      <c r="D223" s="463"/>
      <c r="E223" s="468">
        <v>4945</v>
      </c>
      <c r="F223" s="463">
        <v>339330</v>
      </c>
      <c r="G223" s="461"/>
      <c r="H223" s="461"/>
      <c r="I223" s="461"/>
    </row>
    <row r="224" spans="1:9" ht="24" customHeight="1">
      <c r="A224" s="456">
        <v>10</v>
      </c>
      <c r="B224" s="456">
        <v>25</v>
      </c>
      <c r="C224" s="461" t="s">
        <v>510</v>
      </c>
      <c r="D224" s="463"/>
      <c r="E224" s="468">
        <v>1308</v>
      </c>
      <c r="F224" s="463">
        <v>338022</v>
      </c>
      <c r="G224" s="461"/>
      <c r="H224" s="461"/>
      <c r="I224" s="461"/>
    </row>
    <row r="225" spans="1:9" ht="24" customHeight="1">
      <c r="A225" s="456">
        <v>10</v>
      </c>
      <c r="B225" s="501">
        <v>25</v>
      </c>
      <c r="C225" s="502" t="s">
        <v>512</v>
      </c>
      <c r="D225" s="463"/>
      <c r="E225" s="468">
        <v>500</v>
      </c>
      <c r="F225" s="463">
        <v>337522</v>
      </c>
      <c r="G225" s="461"/>
      <c r="H225" s="461"/>
      <c r="I225" s="461"/>
    </row>
    <row r="226" spans="1:9" ht="24" customHeight="1">
      <c r="A226" s="501">
        <v>10</v>
      </c>
      <c r="B226" s="501">
        <v>25</v>
      </c>
      <c r="C226" s="502" t="s">
        <v>513</v>
      </c>
      <c r="D226" s="463"/>
      <c r="E226" s="468">
        <v>496</v>
      </c>
      <c r="F226" s="463">
        <v>337026</v>
      </c>
      <c r="G226" s="461"/>
      <c r="H226" s="461"/>
      <c r="I226" s="461"/>
    </row>
    <row r="227" spans="1:9" ht="24" customHeight="1">
      <c r="A227" s="456">
        <v>10</v>
      </c>
      <c r="B227" s="456">
        <v>25</v>
      </c>
      <c r="C227" s="502" t="s">
        <v>514</v>
      </c>
      <c r="D227" s="463"/>
      <c r="E227" s="468">
        <v>240</v>
      </c>
      <c r="F227" s="463">
        <v>336786</v>
      </c>
      <c r="G227" s="461"/>
      <c r="H227" s="461"/>
      <c r="I227" s="461"/>
    </row>
    <row r="228" spans="1:9" ht="24" customHeight="1">
      <c r="A228" s="456">
        <v>10</v>
      </c>
      <c r="B228" s="456">
        <v>26</v>
      </c>
      <c r="C228" s="502" t="s">
        <v>520</v>
      </c>
      <c r="D228" s="463">
        <v>600</v>
      </c>
      <c r="E228" s="468"/>
      <c r="F228" s="463">
        <v>337386</v>
      </c>
      <c r="G228" s="461"/>
      <c r="H228" s="461"/>
      <c r="I228" s="461"/>
    </row>
    <row r="229" spans="1:9" ht="24" customHeight="1">
      <c r="A229" s="456">
        <v>10</v>
      </c>
      <c r="B229" s="456">
        <v>26</v>
      </c>
      <c r="C229" s="502" t="s">
        <v>521</v>
      </c>
      <c r="D229" s="463">
        <v>600</v>
      </c>
      <c r="E229" s="468"/>
      <c r="F229" s="463">
        <v>337986</v>
      </c>
      <c r="G229" s="461"/>
      <c r="H229" s="461"/>
      <c r="I229" s="461"/>
    </row>
    <row r="230" spans="1:9" ht="24" customHeight="1">
      <c r="A230" s="456">
        <v>10</v>
      </c>
      <c r="B230" s="456">
        <v>29</v>
      </c>
      <c r="C230" s="461" t="s">
        <v>522</v>
      </c>
      <c r="D230" s="463">
        <v>129500</v>
      </c>
      <c r="E230" s="468"/>
      <c r="F230" s="463">
        <v>467486</v>
      </c>
      <c r="G230" s="461"/>
      <c r="H230" s="461"/>
      <c r="I230" s="461"/>
    </row>
    <row r="231" spans="1:9" ht="24" customHeight="1">
      <c r="A231" s="456">
        <v>10</v>
      </c>
      <c r="B231" s="456">
        <v>29</v>
      </c>
      <c r="C231" s="461" t="s">
        <v>531</v>
      </c>
      <c r="D231" s="463">
        <v>7500</v>
      </c>
      <c r="E231" s="468"/>
      <c r="F231" s="463">
        <v>474986</v>
      </c>
      <c r="G231" s="461"/>
      <c r="H231" s="461"/>
      <c r="I231" s="461"/>
    </row>
    <row r="232" spans="1:9" ht="24" customHeight="1">
      <c r="A232" s="456">
        <v>10</v>
      </c>
      <c r="B232" s="456">
        <v>29</v>
      </c>
      <c r="C232" s="461" t="s">
        <v>532</v>
      </c>
      <c r="D232" s="463">
        <v>1800</v>
      </c>
      <c r="E232" s="468"/>
      <c r="F232" s="463">
        <v>476786</v>
      </c>
      <c r="G232" s="461"/>
      <c r="H232" s="461"/>
      <c r="I232" s="461"/>
    </row>
    <row r="233" spans="1:9" ht="24" customHeight="1">
      <c r="A233" s="456">
        <v>10</v>
      </c>
      <c r="B233" s="456">
        <v>29</v>
      </c>
      <c r="C233" s="461" t="s">
        <v>533</v>
      </c>
      <c r="D233" s="463"/>
      <c r="E233" s="468">
        <v>4000</v>
      </c>
      <c r="F233" s="463">
        <v>472786</v>
      </c>
      <c r="G233" s="461"/>
      <c r="H233" s="461"/>
      <c r="I233" s="461"/>
    </row>
    <row r="234" spans="1:9" ht="24" customHeight="1" thickBot="1">
      <c r="A234" s="513">
        <v>11</v>
      </c>
      <c r="B234" s="513">
        <v>1</v>
      </c>
      <c r="C234" s="425" t="s">
        <v>542</v>
      </c>
      <c r="D234" s="460"/>
      <c r="E234" s="514">
        <v>158461</v>
      </c>
      <c r="F234" s="515">
        <v>314325</v>
      </c>
      <c r="G234" s="425"/>
      <c r="H234" s="461"/>
      <c r="I234" s="461"/>
    </row>
    <row r="235" spans="1:9" ht="24" customHeight="1" thickTop="1">
      <c r="A235" s="238">
        <v>11</v>
      </c>
      <c r="B235" s="238">
        <v>6</v>
      </c>
      <c r="C235" s="427" t="s">
        <v>543</v>
      </c>
      <c r="D235" s="448">
        <v>5000</v>
      </c>
      <c r="E235" s="495"/>
      <c r="F235" s="450">
        <v>319325</v>
      </c>
      <c r="G235" s="427"/>
      <c r="H235" s="461"/>
      <c r="I235" s="461"/>
    </row>
    <row r="236" spans="1:9" ht="24" customHeight="1">
      <c r="A236" s="456">
        <v>11</v>
      </c>
      <c r="B236" s="456">
        <v>6</v>
      </c>
      <c r="C236" s="461" t="s">
        <v>544</v>
      </c>
      <c r="D236" s="463">
        <v>2400</v>
      </c>
      <c r="E236" s="468"/>
      <c r="F236" s="463">
        <v>321725</v>
      </c>
      <c r="G236" s="461"/>
      <c r="H236" s="461"/>
      <c r="I236" s="461"/>
    </row>
    <row r="237" spans="1:9" ht="24" customHeight="1">
      <c r="A237" s="456">
        <v>11</v>
      </c>
      <c r="B237" s="456">
        <v>8</v>
      </c>
      <c r="C237" s="461" t="s">
        <v>186</v>
      </c>
      <c r="D237" s="463">
        <v>4900</v>
      </c>
      <c r="E237" s="468"/>
      <c r="F237" s="463">
        <v>326625</v>
      </c>
      <c r="G237" s="461"/>
      <c r="H237" s="461"/>
      <c r="I237" s="461"/>
    </row>
    <row r="238" spans="1:9" ht="24" customHeight="1">
      <c r="A238" s="456">
        <v>11</v>
      </c>
      <c r="B238" s="456">
        <v>8</v>
      </c>
      <c r="C238" s="461" t="s">
        <v>188</v>
      </c>
      <c r="D238" s="463">
        <v>2500</v>
      </c>
      <c r="E238" s="468"/>
      <c r="F238" s="463">
        <v>329125</v>
      </c>
      <c r="G238" s="461"/>
      <c r="H238" s="461"/>
      <c r="I238" s="461"/>
    </row>
    <row r="239" spans="1:9" ht="24" customHeight="1">
      <c r="A239" s="456">
        <v>11</v>
      </c>
      <c r="B239" s="456">
        <v>11</v>
      </c>
      <c r="C239" s="461" t="s">
        <v>546</v>
      </c>
      <c r="D239" s="463">
        <v>5000</v>
      </c>
      <c r="E239" s="468"/>
      <c r="F239" s="463">
        <v>334125</v>
      </c>
      <c r="G239" s="461"/>
      <c r="H239" s="461"/>
      <c r="I239" s="461"/>
    </row>
    <row r="240" spans="1:9" ht="24" customHeight="1">
      <c r="A240" s="456">
        <v>11</v>
      </c>
      <c r="B240" s="456">
        <v>13</v>
      </c>
      <c r="C240" s="461" t="s">
        <v>551</v>
      </c>
      <c r="D240" s="463">
        <v>1250</v>
      </c>
      <c r="E240" s="468"/>
      <c r="F240" s="463">
        <v>335375</v>
      </c>
      <c r="G240" s="461"/>
      <c r="H240" s="461"/>
      <c r="I240" s="461"/>
    </row>
    <row r="241" spans="1:9" ht="24" customHeight="1">
      <c r="A241" s="456">
        <v>11</v>
      </c>
      <c r="B241" s="456">
        <v>19</v>
      </c>
      <c r="C241" s="461" t="s">
        <v>547</v>
      </c>
      <c r="D241" s="463">
        <v>2500</v>
      </c>
      <c r="E241" s="468"/>
      <c r="F241" s="463">
        <v>337875</v>
      </c>
      <c r="G241" s="461"/>
      <c r="H241" s="461"/>
      <c r="I241" s="461"/>
    </row>
    <row r="242" spans="1:9" ht="24" customHeight="1">
      <c r="A242" s="456">
        <v>11</v>
      </c>
      <c r="B242" s="456">
        <v>20</v>
      </c>
      <c r="C242" s="461" t="s">
        <v>596</v>
      </c>
      <c r="D242" s="463">
        <v>134600</v>
      </c>
      <c r="E242" s="468"/>
      <c r="F242" s="463">
        <v>472475</v>
      </c>
      <c r="G242" s="461"/>
      <c r="H242" s="461"/>
      <c r="I242" s="461"/>
    </row>
    <row r="243" spans="1:9" ht="24" customHeight="1">
      <c r="A243" s="456">
        <v>11</v>
      </c>
      <c r="B243" s="456">
        <v>20</v>
      </c>
      <c r="C243" s="461" t="s">
        <v>553</v>
      </c>
      <c r="D243" s="463">
        <v>600</v>
      </c>
      <c r="E243" s="468"/>
      <c r="F243" s="463">
        <v>473075</v>
      </c>
      <c r="G243" s="461"/>
      <c r="H243" s="461"/>
      <c r="I243" s="461"/>
    </row>
    <row r="244" spans="1:9" ht="24" customHeight="1">
      <c r="A244" s="456">
        <v>11</v>
      </c>
      <c r="B244" s="456">
        <v>20</v>
      </c>
      <c r="C244" s="461" t="s">
        <v>554</v>
      </c>
      <c r="D244" s="463">
        <v>2500</v>
      </c>
      <c r="E244" s="468"/>
      <c r="F244" s="463">
        <v>475575</v>
      </c>
      <c r="G244" s="461"/>
      <c r="H244" s="461"/>
      <c r="I244" s="461"/>
    </row>
    <row r="245" spans="1:9" ht="24" customHeight="1">
      <c r="A245" s="456">
        <v>11</v>
      </c>
      <c r="B245" s="456">
        <v>21</v>
      </c>
      <c r="C245" s="461" t="s">
        <v>555</v>
      </c>
      <c r="D245" s="463"/>
      <c r="E245" s="468">
        <v>1400</v>
      </c>
      <c r="F245" s="463">
        <v>474175</v>
      </c>
      <c r="G245" s="461"/>
      <c r="H245" s="461"/>
      <c r="I245" s="461"/>
    </row>
    <row r="246" spans="1:9" ht="24" customHeight="1">
      <c r="A246" s="456">
        <v>11</v>
      </c>
      <c r="B246" s="456">
        <v>22</v>
      </c>
      <c r="C246" s="461" t="s">
        <v>205</v>
      </c>
      <c r="D246" s="463">
        <v>5000</v>
      </c>
      <c r="E246" s="468"/>
      <c r="F246" s="463">
        <v>479175</v>
      </c>
      <c r="G246" s="461"/>
      <c r="H246" s="461"/>
      <c r="I246" s="461"/>
    </row>
    <row r="247" spans="1:9" ht="24" customHeight="1">
      <c r="A247" s="456">
        <v>11</v>
      </c>
      <c r="B247" s="456">
        <v>23</v>
      </c>
      <c r="C247" s="461" t="s">
        <v>556</v>
      </c>
      <c r="D247" s="463">
        <v>1200</v>
      </c>
      <c r="E247" s="468"/>
      <c r="F247" s="463">
        <v>480375</v>
      </c>
      <c r="G247" s="461"/>
      <c r="H247" s="461"/>
      <c r="I247" s="461"/>
    </row>
    <row r="248" spans="1:9" ht="24" customHeight="1">
      <c r="A248" s="456">
        <v>11</v>
      </c>
      <c r="B248" s="456">
        <v>25</v>
      </c>
      <c r="C248" s="461" t="s">
        <v>558</v>
      </c>
      <c r="D248" s="463"/>
      <c r="E248" s="468">
        <v>4400</v>
      </c>
      <c r="F248" s="463">
        <v>475975</v>
      </c>
      <c r="G248" s="461"/>
      <c r="H248" s="461"/>
      <c r="I248" s="461"/>
    </row>
    <row r="249" spans="1:9" ht="24" customHeight="1">
      <c r="A249" s="456">
        <v>11</v>
      </c>
      <c r="B249" s="456">
        <v>26</v>
      </c>
      <c r="C249" s="461" t="s">
        <v>559</v>
      </c>
      <c r="D249" s="463">
        <v>1200</v>
      </c>
      <c r="E249" s="468"/>
      <c r="F249" s="463">
        <v>477175</v>
      </c>
      <c r="G249" s="461"/>
      <c r="H249" s="461"/>
      <c r="I249" s="461"/>
    </row>
    <row r="250" spans="1:9" ht="24" customHeight="1">
      <c r="A250" s="456">
        <v>11</v>
      </c>
      <c r="B250" s="456">
        <v>29</v>
      </c>
      <c r="C250" s="461" t="s">
        <v>560</v>
      </c>
      <c r="D250" s="463"/>
      <c r="E250" s="468">
        <v>8688</v>
      </c>
      <c r="F250" s="463">
        <v>468487</v>
      </c>
      <c r="G250" s="461"/>
      <c r="H250" s="461"/>
      <c r="I250" s="461"/>
    </row>
    <row r="251" spans="1:9" ht="24" customHeight="1">
      <c r="A251" s="456">
        <v>11</v>
      </c>
      <c r="B251" s="456">
        <v>29</v>
      </c>
      <c r="C251" s="461" t="s">
        <v>561</v>
      </c>
      <c r="D251" s="463"/>
      <c r="E251" s="468">
        <v>1360</v>
      </c>
      <c r="F251" s="463">
        <v>467127</v>
      </c>
      <c r="G251" s="461"/>
      <c r="H251" s="461"/>
      <c r="I251" s="461"/>
    </row>
    <row r="252" spans="1:9" ht="24" customHeight="1">
      <c r="A252" s="456">
        <v>11</v>
      </c>
      <c r="B252" s="456">
        <v>29</v>
      </c>
      <c r="C252" s="461" t="s">
        <v>562</v>
      </c>
      <c r="D252" s="463"/>
      <c r="E252" s="468">
        <v>1500</v>
      </c>
      <c r="F252" s="463">
        <v>465627</v>
      </c>
      <c r="G252" s="461"/>
      <c r="H252" s="461"/>
      <c r="I252" s="461"/>
    </row>
    <row r="253" spans="1:9" ht="24" customHeight="1" thickBot="1">
      <c r="A253" s="513">
        <v>11</v>
      </c>
      <c r="B253" s="513">
        <v>30</v>
      </c>
      <c r="C253" s="533" t="s">
        <v>566</v>
      </c>
      <c r="D253" s="515"/>
      <c r="E253" s="467">
        <v>145560</v>
      </c>
      <c r="F253" s="515">
        <v>320067</v>
      </c>
      <c r="G253" s="533"/>
      <c r="H253" s="461"/>
      <c r="I253" s="461"/>
    </row>
    <row r="254" spans="1:9" ht="24" customHeight="1" thickTop="1">
      <c r="A254" s="531">
        <v>12</v>
      </c>
      <c r="B254" s="531">
        <v>2</v>
      </c>
      <c r="C254" s="532" t="s">
        <v>567</v>
      </c>
      <c r="D254" s="534">
        <v>2500</v>
      </c>
      <c r="E254" s="465"/>
      <c r="F254" s="534">
        <v>322567</v>
      </c>
      <c r="G254" s="532"/>
      <c r="H254" s="461"/>
      <c r="I254" s="461"/>
    </row>
    <row r="255" spans="1:9" ht="24" customHeight="1">
      <c r="A255" s="456">
        <v>12</v>
      </c>
      <c r="B255" s="456">
        <v>3</v>
      </c>
      <c r="C255" s="461" t="s">
        <v>570</v>
      </c>
      <c r="D255" s="463">
        <v>600</v>
      </c>
      <c r="E255" s="468"/>
      <c r="F255" s="463">
        <v>323167</v>
      </c>
      <c r="G255" s="461"/>
      <c r="H255" s="461"/>
      <c r="I255" s="461"/>
    </row>
    <row r="256" spans="1:9" ht="24" customHeight="1">
      <c r="A256" s="456">
        <v>12</v>
      </c>
      <c r="B256" s="456">
        <v>4</v>
      </c>
      <c r="C256" s="461" t="s">
        <v>568</v>
      </c>
      <c r="D256" s="463"/>
      <c r="E256" s="468">
        <v>2140</v>
      </c>
      <c r="F256" s="463">
        <v>321027</v>
      </c>
      <c r="G256" s="461"/>
      <c r="H256" s="461"/>
      <c r="I256" s="461"/>
    </row>
    <row r="257" spans="1:9" ht="24" customHeight="1">
      <c r="A257" s="456">
        <v>12</v>
      </c>
      <c r="B257" s="456">
        <v>5</v>
      </c>
      <c r="C257" s="461" t="s">
        <v>569</v>
      </c>
      <c r="D257" s="463">
        <v>5400</v>
      </c>
      <c r="E257" s="464"/>
      <c r="F257" s="463">
        <v>326427</v>
      </c>
      <c r="G257" s="461"/>
      <c r="H257" s="461"/>
      <c r="I257" s="461"/>
    </row>
    <row r="258" spans="1:9" ht="24" customHeight="1">
      <c r="A258" s="456">
        <v>12</v>
      </c>
      <c r="B258" s="456">
        <v>5</v>
      </c>
      <c r="C258" s="461" t="s">
        <v>584</v>
      </c>
      <c r="D258" s="463">
        <v>1800</v>
      </c>
      <c r="E258" s="464"/>
      <c r="F258" s="463">
        <v>328227</v>
      </c>
      <c r="G258" s="461"/>
      <c r="H258" s="461"/>
      <c r="I258" s="461"/>
    </row>
    <row r="259" spans="1:9" ht="24" customHeight="1" thickBot="1">
      <c r="A259" s="456">
        <v>12</v>
      </c>
      <c r="B259" s="456">
        <v>6</v>
      </c>
      <c r="C259" s="461" t="s">
        <v>571</v>
      </c>
      <c r="D259" s="463">
        <v>3000</v>
      </c>
      <c r="E259" s="464"/>
      <c r="F259" s="515">
        <v>331227</v>
      </c>
      <c r="G259" s="461"/>
      <c r="H259" s="461"/>
      <c r="I259" s="461"/>
    </row>
    <row r="260" spans="1:9" ht="24" customHeight="1" thickTop="1">
      <c r="A260" s="456">
        <v>12</v>
      </c>
      <c r="B260" s="456">
        <v>8</v>
      </c>
      <c r="C260" s="461" t="s">
        <v>572</v>
      </c>
      <c r="D260" s="463">
        <v>2900</v>
      </c>
      <c r="E260" s="464"/>
      <c r="F260" s="534">
        <v>334127</v>
      </c>
      <c r="G260" s="461"/>
      <c r="H260" s="461"/>
      <c r="I260" s="461"/>
    </row>
    <row r="261" spans="1:9" ht="24" customHeight="1">
      <c r="A261" s="456">
        <v>12</v>
      </c>
      <c r="B261" s="456">
        <v>10</v>
      </c>
      <c r="C261" s="461" t="s">
        <v>573</v>
      </c>
      <c r="D261" s="463">
        <v>5400</v>
      </c>
      <c r="E261" s="464"/>
      <c r="F261" s="463">
        <v>339527</v>
      </c>
      <c r="G261" s="461"/>
      <c r="H261" s="461"/>
      <c r="I261" s="461"/>
    </row>
    <row r="262" spans="1:9" ht="24" customHeight="1">
      <c r="A262" s="456">
        <v>12</v>
      </c>
      <c r="B262" s="456">
        <v>11</v>
      </c>
      <c r="C262" s="461" t="s">
        <v>574</v>
      </c>
      <c r="D262" s="463">
        <v>6000</v>
      </c>
      <c r="E262" s="464"/>
      <c r="F262" s="463">
        <v>345527</v>
      </c>
      <c r="G262" s="461"/>
      <c r="H262" s="461"/>
      <c r="I262" s="461"/>
    </row>
    <row r="263" spans="1:9" ht="24" customHeight="1">
      <c r="A263" s="456">
        <v>12</v>
      </c>
      <c r="B263" s="456">
        <v>13</v>
      </c>
      <c r="C263" s="461" t="s">
        <v>575</v>
      </c>
      <c r="D263" s="463">
        <v>3000</v>
      </c>
      <c r="E263" s="464"/>
      <c r="F263" s="463">
        <v>348527</v>
      </c>
      <c r="G263" s="461"/>
      <c r="H263" s="461"/>
      <c r="I263" s="461"/>
    </row>
    <row r="264" spans="1:9" ht="24" customHeight="1">
      <c r="A264" s="456">
        <v>12</v>
      </c>
      <c r="B264" s="456">
        <v>16</v>
      </c>
      <c r="C264" s="461" t="s">
        <v>576</v>
      </c>
      <c r="D264" s="463"/>
      <c r="E264" s="464">
        <v>10000</v>
      </c>
      <c r="F264" s="463">
        <v>338527</v>
      </c>
      <c r="G264" s="461"/>
      <c r="H264" s="461"/>
      <c r="I264" s="461"/>
    </row>
    <row r="265" spans="1:9" ht="24" customHeight="1">
      <c r="A265" s="456">
        <v>12</v>
      </c>
      <c r="B265" s="456">
        <v>16</v>
      </c>
      <c r="C265" s="461" t="s">
        <v>577</v>
      </c>
      <c r="D265" s="463"/>
      <c r="E265" s="464">
        <v>300</v>
      </c>
      <c r="F265" s="463">
        <v>338227</v>
      </c>
      <c r="G265" s="461"/>
      <c r="H265" s="461"/>
      <c r="I265" s="461"/>
    </row>
    <row r="266" spans="1:9" ht="24" customHeight="1">
      <c r="A266" s="456">
        <v>12</v>
      </c>
      <c r="B266" s="456">
        <v>17</v>
      </c>
      <c r="C266" s="461" t="s">
        <v>601</v>
      </c>
      <c r="D266" s="463">
        <v>800</v>
      </c>
      <c r="E266" s="464"/>
      <c r="F266" s="463">
        <v>339027</v>
      </c>
      <c r="G266" s="461"/>
      <c r="H266" s="461"/>
      <c r="I266" s="461"/>
    </row>
    <row r="267" spans="1:9" ht="24" customHeight="1">
      <c r="A267" s="456">
        <v>12</v>
      </c>
      <c r="B267" s="456">
        <v>21</v>
      </c>
      <c r="C267" s="461" t="s">
        <v>205</v>
      </c>
      <c r="D267" s="463">
        <v>5500</v>
      </c>
      <c r="E267" s="464"/>
      <c r="F267" s="463">
        <v>344527</v>
      </c>
      <c r="G267" s="461"/>
      <c r="H267" s="461"/>
      <c r="I267" s="461"/>
    </row>
    <row r="268" spans="1:9" ht="24" customHeight="1">
      <c r="A268" s="456">
        <v>12</v>
      </c>
      <c r="B268" s="456">
        <v>21</v>
      </c>
      <c r="C268" s="461" t="s">
        <v>580</v>
      </c>
      <c r="D268" s="463"/>
      <c r="E268" s="464">
        <v>5680</v>
      </c>
      <c r="F268" s="463">
        <v>338847</v>
      </c>
      <c r="G268" s="461"/>
      <c r="H268" s="461"/>
      <c r="I268" s="461"/>
    </row>
    <row r="269" spans="1:9" ht="24" customHeight="1">
      <c r="A269" s="456">
        <v>12</v>
      </c>
      <c r="B269" s="456">
        <v>21</v>
      </c>
      <c r="C269" s="461" t="s">
        <v>587</v>
      </c>
      <c r="D269" s="463">
        <v>1363</v>
      </c>
      <c r="E269" s="464"/>
      <c r="F269" s="463">
        <v>340210</v>
      </c>
      <c r="G269" s="461"/>
      <c r="H269" s="461"/>
      <c r="I269" s="461"/>
    </row>
    <row r="270" spans="1:9" ht="24" customHeight="1">
      <c r="A270" s="456">
        <v>12</v>
      </c>
      <c r="B270" s="456">
        <v>21</v>
      </c>
      <c r="C270" s="461" t="s">
        <v>588</v>
      </c>
      <c r="D270" s="463">
        <v>4200</v>
      </c>
      <c r="E270" s="464"/>
      <c r="F270" s="463">
        <v>344410</v>
      </c>
      <c r="G270" s="461"/>
      <c r="H270" s="461"/>
      <c r="I270" s="461"/>
    </row>
    <row r="271" spans="1:9" ht="24" customHeight="1">
      <c r="A271" s="456">
        <v>12</v>
      </c>
      <c r="B271" s="456">
        <v>21</v>
      </c>
      <c r="C271" s="461" t="s">
        <v>589</v>
      </c>
      <c r="D271" s="463"/>
      <c r="E271" s="464">
        <v>13616</v>
      </c>
      <c r="F271" s="463">
        <v>330794</v>
      </c>
      <c r="G271" s="461"/>
      <c r="H271" s="461"/>
      <c r="I271" s="461"/>
    </row>
    <row r="272" spans="1:9" ht="24" customHeight="1">
      <c r="A272" s="456">
        <v>12</v>
      </c>
      <c r="B272" s="456">
        <v>23</v>
      </c>
      <c r="C272" s="461" t="s">
        <v>553</v>
      </c>
      <c r="D272" s="463">
        <v>600</v>
      </c>
      <c r="E272" s="464"/>
      <c r="F272" s="463">
        <v>331394</v>
      </c>
      <c r="G272" s="461"/>
      <c r="H272" s="461"/>
      <c r="I272" s="461"/>
    </row>
    <row r="273" spans="1:9" ht="24" customHeight="1">
      <c r="A273" s="456">
        <v>12</v>
      </c>
      <c r="B273" s="456">
        <v>24</v>
      </c>
      <c r="C273" s="461" t="s">
        <v>479</v>
      </c>
      <c r="D273" s="463"/>
      <c r="E273" s="464">
        <v>1400</v>
      </c>
      <c r="F273" s="463">
        <v>329994</v>
      </c>
      <c r="G273" s="461"/>
      <c r="H273" s="461"/>
      <c r="I273" s="461"/>
    </row>
    <row r="274" spans="1:9" ht="24" customHeight="1">
      <c r="A274" s="456">
        <v>12</v>
      </c>
      <c r="B274" s="456">
        <v>25</v>
      </c>
      <c r="C274" s="461" t="s">
        <v>552</v>
      </c>
      <c r="D274" s="463">
        <v>137000</v>
      </c>
      <c r="E274" s="464"/>
      <c r="F274" s="463">
        <v>466994</v>
      </c>
      <c r="G274" s="461"/>
      <c r="H274" s="461"/>
      <c r="I274" s="461"/>
    </row>
    <row r="275" spans="1:9" ht="24" customHeight="1">
      <c r="A275" s="456">
        <v>12</v>
      </c>
      <c r="B275" s="456">
        <v>28</v>
      </c>
      <c r="C275" s="461" t="s">
        <v>584</v>
      </c>
      <c r="D275" s="463">
        <v>3000</v>
      </c>
      <c r="E275" s="464"/>
      <c r="F275" s="463">
        <v>469994</v>
      </c>
      <c r="G275" s="461"/>
      <c r="H275" s="461"/>
      <c r="I275" s="461"/>
    </row>
    <row r="276" spans="1:9" ht="24" customHeight="1">
      <c r="A276" s="456">
        <v>12</v>
      </c>
      <c r="B276" s="456">
        <v>28</v>
      </c>
      <c r="C276" s="461" t="s">
        <v>591</v>
      </c>
      <c r="D276" s="463">
        <v>1600</v>
      </c>
      <c r="E276" s="464"/>
      <c r="F276" s="463">
        <v>471594</v>
      </c>
      <c r="G276" s="461"/>
      <c r="H276" s="461"/>
      <c r="I276" s="461"/>
    </row>
    <row r="277" spans="1:9" ht="24" customHeight="1">
      <c r="A277" s="456">
        <v>12</v>
      </c>
      <c r="B277" s="456">
        <v>28</v>
      </c>
      <c r="C277" s="461" t="s">
        <v>592</v>
      </c>
      <c r="D277" s="463">
        <v>400</v>
      </c>
      <c r="E277" s="464"/>
      <c r="F277" s="463">
        <v>471994</v>
      </c>
      <c r="G277" s="461"/>
      <c r="H277" s="461"/>
      <c r="I277" s="461"/>
    </row>
    <row r="278" spans="1:9" ht="24" customHeight="1">
      <c r="A278" s="456">
        <v>12</v>
      </c>
      <c r="B278" s="456">
        <v>29</v>
      </c>
      <c r="C278" s="461" t="s">
        <v>593</v>
      </c>
      <c r="D278" s="463">
        <v>1200</v>
      </c>
      <c r="E278" s="464"/>
      <c r="F278" s="463">
        <v>473194</v>
      </c>
      <c r="G278" s="461"/>
      <c r="H278" s="461"/>
      <c r="I278" s="461"/>
    </row>
    <row r="279" spans="1:9" ht="24" customHeight="1">
      <c r="A279" s="456">
        <v>12</v>
      </c>
      <c r="B279" s="456">
        <v>29</v>
      </c>
      <c r="C279" s="461" t="s">
        <v>594</v>
      </c>
      <c r="D279" s="463">
        <v>1200</v>
      </c>
      <c r="E279" s="464"/>
      <c r="F279" s="463">
        <v>474394</v>
      </c>
      <c r="G279" s="461"/>
      <c r="H279" s="461"/>
      <c r="I279" s="461"/>
    </row>
    <row r="280" spans="1:9" ht="24" customHeight="1">
      <c r="A280" s="456">
        <v>12</v>
      </c>
      <c r="B280" s="456">
        <v>29</v>
      </c>
      <c r="C280" s="461" t="s">
        <v>595</v>
      </c>
      <c r="D280" s="463">
        <v>800</v>
      </c>
      <c r="E280" s="464"/>
      <c r="F280" s="463">
        <v>475194</v>
      </c>
      <c r="G280" s="461"/>
      <c r="H280" s="461"/>
      <c r="I280" s="461"/>
    </row>
    <row r="281" spans="1:9" ht="24" customHeight="1">
      <c r="A281" s="456">
        <v>12</v>
      </c>
      <c r="B281" s="456">
        <v>29</v>
      </c>
      <c r="C281" s="461" t="s">
        <v>597</v>
      </c>
      <c r="D281" s="463">
        <v>1600</v>
      </c>
      <c r="E281" s="464"/>
      <c r="F281" s="463">
        <v>476794</v>
      </c>
      <c r="G281" s="461"/>
      <c r="H281" s="461"/>
      <c r="I281" s="461"/>
    </row>
    <row r="282" spans="1:9" ht="24" customHeight="1">
      <c r="A282" s="456">
        <v>12</v>
      </c>
      <c r="B282" s="456">
        <v>29</v>
      </c>
      <c r="C282" s="461" t="s">
        <v>554</v>
      </c>
      <c r="D282" s="463">
        <v>3000</v>
      </c>
      <c r="E282" s="464"/>
      <c r="F282" s="463">
        <v>479794</v>
      </c>
      <c r="G282" s="461"/>
      <c r="H282" s="461"/>
      <c r="I282" s="461"/>
    </row>
    <row r="283" spans="1:9" ht="24" customHeight="1">
      <c r="A283" s="456">
        <v>12</v>
      </c>
      <c r="B283" s="456">
        <v>30</v>
      </c>
      <c r="C283" s="461" t="s">
        <v>598</v>
      </c>
      <c r="D283" s="463">
        <v>5500</v>
      </c>
      <c r="E283" s="464"/>
      <c r="F283" s="463">
        <v>485294</v>
      </c>
      <c r="G283" s="461"/>
      <c r="H283" s="461"/>
      <c r="I283" s="461"/>
    </row>
    <row r="284" spans="1:9" ht="24" customHeight="1">
      <c r="A284" s="456">
        <v>12</v>
      </c>
      <c r="B284" s="456">
        <v>30</v>
      </c>
      <c r="C284" s="461" t="s">
        <v>449</v>
      </c>
      <c r="D284" s="463">
        <v>3000</v>
      </c>
      <c r="E284" s="464"/>
      <c r="F284" s="463">
        <v>488294</v>
      </c>
      <c r="G284" s="461" t="s">
        <v>599</v>
      </c>
      <c r="H284" s="461"/>
      <c r="I284" s="461"/>
    </row>
    <row r="285" spans="1:9" ht="24" customHeight="1">
      <c r="A285" s="456"/>
      <c r="B285" s="456"/>
      <c r="C285" s="461"/>
      <c r="D285" s="463"/>
      <c r="E285" s="464"/>
      <c r="F285" s="463"/>
      <c r="G285" s="461"/>
      <c r="H285" s="461"/>
      <c r="I285" s="461"/>
    </row>
    <row r="286" spans="1:9" ht="24" customHeight="1">
      <c r="A286" s="456"/>
      <c r="B286" s="456"/>
      <c r="C286" s="461"/>
      <c r="D286" s="463"/>
      <c r="E286" s="464"/>
      <c r="F286" s="463"/>
      <c r="G286" s="461"/>
      <c r="H286" s="461"/>
      <c r="I286" s="461"/>
    </row>
    <row r="287" spans="1:9" ht="24" customHeight="1">
      <c r="A287" s="456"/>
      <c r="B287" s="456"/>
      <c r="C287" s="461"/>
      <c r="D287" s="463"/>
      <c r="E287" s="464"/>
      <c r="F287" s="463"/>
      <c r="G287" s="461"/>
      <c r="H287" s="461"/>
      <c r="I287" s="461"/>
    </row>
    <row r="288" spans="1:9" ht="24" customHeight="1">
      <c r="A288" s="456"/>
      <c r="B288" s="456"/>
      <c r="C288" s="461"/>
      <c r="D288" s="463"/>
      <c r="E288" s="464"/>
      <c r="F288" s="463"/>
      <c r="G288" s="461"/>
      <c r="H288" s="461"/>
      <c r="I288" s="461"/>
    </row>
    <row r="289" spans="1:9" ht="24" customHeight="1">
      <c r="A289" s="456"/>
      <c r="B289" s="456"/>
      <c r="C289" s="461"/>
      <c r="D289" s="463"/>
      <c r="E289" s="464"/>
      <c r="F289" s="463"/>
      <c r="G289" s="461"/>
      <c r="H289" s="461"/>
      <c r="I289" s="461"/>
    </row>
    <row r="290" spans="1:9" ht="24" customHeight="1">
      <c r="A290" s="456"/>
      <c r="B290" s="456"/>
      <c r="C290" s="461"/>
      <c r="D290" s="463"/>
      <c r="E290" s="464"/>
      <c r="F290" s="463"/>
      <c r="G290" s="461"/>
      <c r="H290" s="461"/>
      <c r="I290" s="461"/>
    </row>
    <row r="291" spans="1:9" ht="24" customHeight="1">
      <c r="A291" s="456"/>
      <c r="B291" s="456"/>
      <c r="C291" s="461"/>
      <c r="D291" s="463"/>
      <c r="E291" s="464"/>
      <c r="F291" s="463"/>
      <c r="G291" s="461"/>
      <c r="H291" s="461"/>
      <c r="I291" s="461"/>
    </row>
    <row r="292" spans="1:9" ht="24" customHeight="1">
      <c r="A292" s="456"/>
      <c r="B292" s="456"/>
      <c r="C292" s="461"/>
      <c r="D292" s="463"/>
      <c r="E292" s="464"/>
      <c r="F292" s="463"/>
      <c r="G292" s="461"/>
      <c r="H292" s="461"/>
      <c r="I292" s="461"/>
    </row>
    <row r="293" spans="1:9" ht="24" customHeight="1">
      <c r="A293" s="456"/>
      <c r="B293" s="456"/>
      <c r="C293" s="461"/>
      <c r="D293" s="463"/>
      <c r="E293" s="464"/>
      <c r="F293" s="463"/>
      <c r="G293" s="461"/>
      <c r="H293" s="461"/>
      <c r="I293" s="461"/>
    </row>
    <row r="294" spans="1:9" ht="24" customHeight="1">
      <c r="A294" s="456"/>
      <c r="B294" s="456"/>
      <c r="C294" s="461"/>
      <c r="D294" s="463"/>
      <c r="E294" s="464"/>
      <c r="F294" s="463"/>
      <c r="G294" s="461"/>
      <c r="H294" s="461"/>
      <c r="I294" s="461"/>
    </row>
    <row r="295" spans="1:9" ht="24" customHeight="1">
      <c r="A295" s="456"/>
      <c r="B295" s="456"/>
      <c r="C295" s="461"/>
      <c r="D295" s="463"/>
      <c r="E295" s="464"/>
      <c r="F295" s="463"/>
      <c r="G295" s="461"/>
      <c r="H295" s="461"/>
      <c r="I295" s="461"/>
    </row>
    <row r="296" spans="1:9" ht="24" customHeight="1">
      <c r="A296" s="456"/>
      <c r="B296" s="456"/>
      <c r="C296" s="461"/>
      <c r="D296" s="463"/>
      <c r="E296" s="464"/>
      <c r="F296" s="463"/>
      <c r="G296" s="461"/>
      <c r="H296" s="461"/>
      <c r="I296" s="461"/>
    </row>
    <row r="297" spans="1:9" ht="24" customHeight="1">
      <c r="A297" s="456"/>
      <c r="B297" s="456"/>
      <c r="C297" s="461"/>
      <c r="D297" s="463"/>
      <c r="E297" s="464"/>
      <c r="F297" s="463"/>
      <c r="G297" s="461"/>
      <c r="H297" s="461"/>
      <c r="I297" s="461"/>
    </row>
    <row r="298" spans="1:9" ht="24" customHeight="1">
      <c r="A298" s="456"/>
      <c r="B298" s="456"/>
      <c r="C298" s="461"/>
      <c r="D298" s="463"/>
      <c r="E298" s="464"/>
      <c r="F298" s="463"/>
      <c r="G298" s="461"/>
      <c r="H298" s="461"/>
      <c r="I298" s="461"/>
    </row>
    <row r="299" spans="1:9" ht="24" customHeight="1">
      <c r="A299" s="456"/>
      <c r="B299" s="456"/>
      <c r="C299" s="461"/>
      <c r="D299" s="463"/>
      <c r="E299" s="464"/>
      <c r="F299" s="463"/>
      <c r="G299" s="461"/>
      <c r="H299" s="461"/>
      <c r="I299" s="461"/>
    </row>
    <row r="300" spans="1:9" ht="24" customHeight="1">
      <c r="A300" s="456"/>
      <c r="B300" s="456"/>
      <c r="C300" s="461"/>
      <c r="D300" s="463"/>
      <c r="E300" s="464"/>
      <c r="F300" s="463"/>
      <c r="G300" s="461"/>
      <c r="H300" s="461"/>
      <c r="I300" s="461"/>
    </row>
    <row r="301" spans="1:9" ht="24" customHeight="1">
      <c r="A301" s="456"/>
      <c r="B301" s="456"/>
      <c r="C301" s="461"/>
      <c r="D301" s="463"/>
      <c r="E301" s="464"/>
      <c r="F301" s="463"/>
      <c r="G301" s="461"/>
      <c r="H301" s="461"/>
      <c r="I301" s="461"/>
    </row>
    <row r="302" spans="1:9" ht="24" customHeight="1">
      <c r="A302" s="456"/>
      <c r="B302" s="456"/>
      <c r="C302" s="461"/>
      <c r="D302" s="463"/>
      <c r="E302" s="464"/>
      <c r="F302" s="463"/>
      <c r="G302" s="461"/>
      <c r="H302" s="461"/>
      <c r="I302" s="461"/>
    </row>
    <row r="303" spans="1:9" ht="24" customHeight="1">
      <c r="A303" s="456"/>
      <c r="B303" s="456"/>
      <c r="C303" s="461"/>
      <c r="D303" s="463"/>
      <c r="E303" s="464"/>
      <c r="F303" s="463"/>
      <c r="G303" s="461"/>
      <c r="H303" s="461"/>
      <c r="I303" s="461"/>
    </row>
    <row r="304" spans="1:9" ht="24" customHeight="1">
      <c r="A304" s="456"/>
      <c r="B304" s="456"/>
      <c r="C304" s="461"/>
      <c r="D304" s="463"/>
      <c r="E304" s="464"/>
      <c r="F304" s="463"/>
      <c r="G304" s="461"/>
      <c r="H304" s="461"/>
      <c r="I304" s="461"/>
    </row>
    <row r="305" spans="1:9" ht="24" customHeight="1">
      <c r="A305" s="456"/>
      <c r="B305" s="456"/>
      <c r="C305" s="461"/>
      <c r="D305" s="463"/>
      <c r="E305" s="464"/>
      <c r="F305" s="463"/>
      <c r="G305" s="461"/>
      <c r="H305" s="461"/>
      <c r="I305" s="461"/>
    </row>
    <row r="306" spans="1:9" ht="24" customHeight="1">
      <c r="A306" s="456"/>
      <c r="B306" s="456"/>
      <c r="C306" s="461"/>
      <c r="D306" s="463"/>
      <c r="E306" s="464"/>
      <c r="F306" s="463"/>
      <c r="G306" s="461"/>
      <c r="H306" s="461"/>
      <c r="I306" s="461"/>
    </row>
    <row r="307" spans="1:9" ht="24" customHeight="1">
      <c r="A307" s="456"/>
      <c r="B307" s="456"/>
      <c r="C307" s="461"/>
      <c r="D307" s="463"/>
      <c r="E307" s="464"/>
      <c r="F307" s="463"/>
      <c r="G307" s="461"/>
      <c r="H307" s="461"/>
      <c r="I307" s="461"/>
    </row>
    <row r="308" spans="1:9" ht="24" customHeight="1">
      <c r="A308" s="456"/>
      <c r="B308" s="456"/>
      <c r="C308" s="461"/>
      <c r="D308" s="463"/>
      <c r="E308" s="464"/>
      <c r="F308" s="463"/>
      <c r="G308" s="461"/>
      <c r="H308" s="461"/>
      <c r="I308" s="461"/>
    </row>
    <row r="309" spans="1:9" ht="24" customHeight="1">
      <c r="A309" s="456"/>
      <c r="B309" s="456"/>
      <c r="C309" s="461"/>
      <c r="D309" s="463"/>
      <c r="E309" s="464"/>
      <c r="F309" s="463"/>
      <c r="G309" s="461"/>
      <c r="H309" s="461"/>
      <c r="I309" s="461"/>
    </row>
    <row r="310" spans="1:9" ht="24" customHeight="1">
      <c r="A310" s="456"/>
      <c r="B310" s="456"/>
      <c r="C310" s="461"/>
      <c r="D310" s="463"/>
      <c r="E310" s="464"/>
      <c r="F310" s="463"/>
      <c r="G310" s="461"/>
      <c r="H310" s="461"/>
      <c r="I310" s="461"/>
    </row>
    <row r="311" spans="1:9" ht="24" customHeight="1">
      <c r="A311" s="456"/>
      <c r="B311" s="456"/>
      <c r="C311" s="461"/>
      <c r="D311" s="463"/>
      <c r="E311" s="464"/>
      <c r="F311" s="463"/>
      <c r="G311" s="461"/>
      <c r="H311" s="461"/>
      <c r="I311" s="461"/>
    </row>
    <row r="312" spans="1:9" ht="24" customHeight="1">
      <c r="A312" s="456"/>
      <c r="B312" s="456"/>
      <c r="C312" s="461"/>
      <c r="D312" s="463"/>
      <c r="E312" s="464"/>
      <c r="F312" s="463"/>
      <c r="G312" s="461"/>
      <c r="H312" s="461"/>
      <c r="I312" s="461"/>
    </row>
    <row r="313" spans="1:9" ht="24" customHeight="1">
      <c r="A313" s="456"/>
      <c r="B313" s="456"/>
      <c r="C313" s="461"/>
      <c r="D313" s="463"/>
      <c r="E313" s="464"/>
      <c r="F313" s="463"/>
      <c r="G313" s="461"/>
      <c r="H313" s="461"/>
      <c r="I313" s="461"/>
    </row>
    <row r="314" spans="1:9" ht="24" customHeight="1">
      <c r="A314" s="456"/>
      <c r="B314" s="456"/>
      <c r="C314" s="461"/>
      <c r="D314" s="463"/>
      <c r="E314" s="464"/>
      <c r="F314" s="463"/>
      <c r="G314" s="461"/>
      <c r="H314" s="461"/>
      <c r="I314" s="461"/>
    </row>
    <row r="315" spans="1:9" ht="24" customHeight="1">
      <c r="A315" s="456"/>
      <c r="B315" s="456"/>
      <c r="C315" s="461"/>
      <c r="D315" s="463"/>
      <c r="E315" s="464"/>
      <c r="F315" s="463"/>
      <c r="G315" s="461"/>
      <c r="H315" s="461"/>
      <c r="I315" s="461"/>
    </row>
    <row r="316" spans="1:9" ht="24" customHeight="1">
      <c r="A316" s="456"/>
      <c r="B316" s="456"/>
      <c r="C316" s="461"/>
      <c r="D316" s="463"/>
      <c r="E316" s="464"/>
      <c r="F316" s="463"/>
      <c r="G316" s="461"/>
      <c r="H316" s="461"/>
      <c r="I316" s="461"/>
    </row>
    <row r="317" spans="1:9" ht="24" customHeight="1">
      <c r="A317" s="456"/>
      <c r="B317" s="456"/>
      <c r="C317" s="461"/>
      <c r="D317" s="463"/>
      <c r="E317" s="464"/>
      <c r="F317" s="463"/>
      <c r="G317" s="461"/>
      <c r="H317" s="461"/>
      <c r="I317" s="461"/>
    </row>
    <row r="318" spans="1:9" ht="24" customHeight="1">
      <c r="A318" s="456"/>
      <c r="B318" s="456"/>
      <c r="C318" s="461"/>
      <c r="D318" s="463"/>
      <c r="E318" s="464"/>
      <c r="F318" s="463"/>
      <c r="G318" s="461"/>
      <c r="H318" s="461"/>
      <c r="I318" s="461"/>
    </row>
    <row r="319" spans="1:9" ht="24" customHeight="1">
      <c r="A319" s="456"/>
      <c r="B319" s="456"/>
      <c r="C319" s="461"/>
      <c r="D319" s="463"/>
      <c r="E319" s="464"/>
      <c r="F319" s="463"/>
      <c r="G319" s="461"/>
      <c r="H319" s="461"/>
      <c r="I319" s="461"/>
    </row>
    <row r="320" spans="1:9" ht="24" customHeight="1">
      <c r="A320" s="456"/>
      <c r="B320" s="456"/>
      <c r="C320" s="461"/>
      <c r="D320" s="463"/>
      <c r="E320" s="464"/>
      <c r="F320" s="463"/>
      <c r="G320" s="461"/>
      <c r="H320" s="461"/>
      <c r="I320" s="461"/>
    </row>
    <row r="321" spans="1:9" ht="24" customHeight="1">
      <c r="A321" s="456"/>
      <c r="B321" s="456"/>
      <c r="C321" s="461"/>
      <c r="D321" s="463"/>
      <c r="E321" s="464"/>
      <c r="F321" s="463"/>
      <c r="G321" s="461"/>
      <c r="H321" s="461"/>
      <c r="I321" s="461"/>
    </row>
    <row r="322" spans="1:9" ht="24" customHeight="1">
      <c r="A322" s="456"/>
      <c r="B322" s="456"/>
      <c r="C322" s="461"/>
      <c r="D322" s="463"/>
      <c r="E322" s="464"/>
      <c r="F322" s="463"/>
      <c r="G322" s="461"/>
      <c r="H322" s="461"/>
      <c r="I322" s="461"/>
    </row>
    <row r="323" spans="1:9" ht="24" customHeight="1">
      <c r="A323" s="456"/>
      <c r="B323" s="456"/>
      <c r="C323" s="461"/>
      <c r="D323" s="463"/>
      <c r="E323" s="464"/>
      <c r="F323" s="463"/>
      <c r="G323" s="461"/>
      <c r="H323" s="461"/>
      <c r="I323" s="461"/>
    </row>
    <row r="324" spans="1:9" ht="24" customHeight="1">
      <c r="A324" s="456"/>
      <c r="B324" s="456"/>
      <c r="C324" s="461"/>
      <c r="D324" s="463"/>
      <c r="E324" s="464"/>
      <c r="F324" s="463"/>
      <c r="G324" s="461"/>
      <c r="H324" s="461"/>
      <c r="I324" s="461"/>
    </row>
    <row r="325" spans="1:9" ht="24" customHeight="1">
      <c r="A325" s="456"/>
      <c r="B325" s="456"/>
      <c r="C325" s="461"/>
      <c r="D325" s="463"/>
      <c r="E325" s="464"/>
      <c r="F325" s="463"/>
      <c r="G325" s="461"/>
      <c r="H325" s="461"/>
      <c r="I325" s="461"/>
    </row>
    <row r="326" spans="1:9" ht="24" customHeight="1">
      <c r="A326" s="456"/>
      <c r="B326" s="456"/>
      <c r="C326" s="461"/>
      <c r="D326" s="463"/>
      <c r="E326" s="464"/>
      <c r="F326" s="463"/>
      <c r="G326" s="461"/>
      <c r="H326" s="461"/>
      <c r="I326" s="461"/>
    </row>
    <row r="327" spans="1:9" ht="24" customHeight="1">
      <c r="A327" s="456"/>
      <c r="B327" s="456"/>
      <c r="C327" s="461"/>
      <c r="D327" s="463"/>
      <c r="E327" s="464"/>
      <c r="F327" s="463"/>
      <c r="G327" s="461"/>
      <c r="H327" s="461"/>
      <c r="I327" s="461"/>
    </row>
    <row r="328" spans="1:9" ht="24" customHeight="1">
      <c r="A328" s="456"/>
      <c r="B328" s="456"/>
      <c r="C328" s="461"/>
      <c r="D328" s="463"/>
      <c r="E328" s="464"/>
      <c r="F328" s="463"/>
      <c r="G328" s="461"/>
      <c r="H328" s="461"/>
      <c r="I328" s="461"/>
    </row>
    <row r="329" spans="1:9" ht="24" customHeight="1">
      <c r="A329" s="456"/>
      <c r="B329" s="456"/>
      <c r="C329" s="461"/>
      <c r="D329" s="463"/>
      <c r="E329" s="464"/>
      <c r="F329" s="463"/>
      <c r="G329" s="461"/>
      <c r="H329" s="461"/>
      <c r="I329" s="461"/>
    </row>
    <row r="330" spans="1:9" ht="24" customHeight="1">
      <c r="A330" s="456"/>
      <c r="B330" s="456"/>
      <c r="C330" s="461"/>
      <c r="D330" s="463"/>
      <c r="E330" s="464"/>
      <c r="F330" s="463"/>
      <c r="G330" s="461"/>
      <c r="H330" s="461"/>
      <c r="I330" s="461"/>
    </row>
    <row r="331" spans="1:9" ht="24" customHeight="1">
      <c r="A331" s="456"/>
      <c r="B331" s="456"/>
      <c r="C331" s="461"/>
      <c r="D331" s="463"/>
      <c r="E331" s="464"/>
      <c r="F331" s="463"/>
      <c r="G331" s="461"/>
      <c r="H331" s="461"/>
      <c r="I331" s="461"/>
    </row>
    <row r="332" spans="1:9" ht="24" customHeight="1">
      <c r="A332" s="456"/>
      <c r="B332" s="456"/>
      <c r="C332" s="461"/>
      <c r="D332" s="463"/>
      <c r="E332" s="464"/>
      <c r="F332" s="463"/>
      <c r="G332" s="461"/>
      <c r="H332" s="461"/>
      <c r="I332" s="461"/>
    </row>
    <row r="333" spans="1:9" ht="24" customHeight="1">
      <c r="A333" s="456"/>
      <c r="B333" s="456"/>
      <c r="C333" s="461"/>
      <c r="D333" s="463"/>
      <c r="E333" s="464"/>
      <c r="F333" s="463"/>
      <c r="G333" s="461"/>
      <c r="H333" s="461"/>
      <c r="I333" s="461"/>
    </row>
    <row r="334" spans="1:9" ht="24" customHeight="1">
      <c r="A334" s="456"/>
      <c r="B334" s="456"/>
      <c r="C334" s="461"/>
      <c r="D334" s="463"/>
      <c r="E334" s="464"/>
      <c r="F334" s="463"/>
      <c r="G334" s="461"/>
      <c r="H334" s="461"/>
      <c r="I334" s="461"/>
    </row>
    <row r="335" spans="1:9" ht="24" customHeight="1">
      <c r="A335" s="456"/>
      <c r="B335" s="456"/>
      <c r="C335" s="461"/>
      <c r="D335" s="463"/>
      <c r="E335" s="464"/>
      <c r="F335" s="463"/>
      <c r="G335" s="461"/>
      <c r="H335" s="461"/>
      <c r="I335" s="461"/>
    </row>
    <row r="336" spans="1:9" ht="24" customHeight="1">
      <c r="A336" s="456"/>
      <c r="B336" s="456"/>
      <c r="C336" s="461"/>
      <c r="D336" s="463"/>
      <c r="E336" s="464"/>
      <c r="F336" s="463"/>
      <c r="G336" s="461"/>
      <c r="H336" s="461"/>
      <c r="I336" s="461"/>
    </row>
    <row r="337" spans="1:9" ht="24" customHeight="1">
      <c r="A337" s="456"/>
      <c r="B337" s="456"/>
      <c r="C337" s="461"/>
      <c r="D337" s="463"/>
      <c r="E337" s="464"/>
      <c r="F337" s="463"/>
      <c r="G337" s="461"/>
      <c r="H337" s="461"/>
      <c r="I337" s="461"/>
    </row>
    <row r="338" spans="1:9" ht="24" customHeight="1">
      <c r="A338" s="456"/>
      <c r="B338" s="456"/>
      <c r="C338" s="461"/>
      <c r="D338" s="463"/>
      <c r="E338" s="464"/>
      <c r="F338" s="463"/>
      <c r="G338" s="461"/>
      <c r="H338" s="461"/>
      <c r="I338" s="461"/>
    </row>
    <row r="339" spans="1:9" ht="24" customHeight="1">
      <c r="A339" s="456"/>
      <c r="B339" s="456"/>
      <c r="C339" s="461"/>
      <c r="D339" s="463"/>
      <c r="E339" s="464"/>
      <c r="F339" s="463"/>
      <c r="G339" s="461"/>
      <c r="H339" s="461"/>
      <c r="I339" s="461"/>
    </row>
    <row r="340" spans="1:9" ht="24" customHeight="1">
      <c r="A340" s="456"/>
      <c r="B340" s="456"/>
      <c r="C340" s="461"/>
      <c r="D340" s="463"/>
      <c r="E340" s="464"/>
      <c r="F340" s="463"/>
      <c r="G340" s="461"/>
      <c r="H340" s="461"/>
      <c r="I340" s="461"/>
    </row>
    <row r="341" spans="1:9" ht="24" customHeight="1">
      <c r="A341" s="456"/>
      <c r="B341" s="456"/>
      <c r="C341" s="461"/>
      <c r="D341" s="463"/>
      <c r="E341" s="464"/>
      <c r="F341" s="463"/>
      <c r="G341" s="461"/>
      <c r="H341" s="461"/>
      <c r="I341" s="461"/>
    </row>
    <row r="342" spans="1:9" ht="24" customHeight="1">
      <c r="A342" s="456"/>
      <c r="B342" s="456"/>
      <c r="C342" s="461"/>
      <c r="D342" s="463"/>
      <c r="E342" s="464"/>
      <c r="F342" s="463"/>
      <c r="G342" s="461"/>
      <c r="H342" s="461"/>
      <c r="I342" s="461"/>
    </row>
    <row r="343" spans="1:9" ht="24" customHeight="1">
      <c r="A343" s="456"/>
      <c r="B343" s="456"/>
      <c r="C343" s="461"/>
      <c r="D343" s="463"/>
      <c r="E343" s="464"/>
      <c r="F343" s="463"/>
      <c r="G343" s="461"/>
      <c r="H343" s="461"/>
      <c r="I343" s="461"/>
    </row>
    <row r="344" spans="1:9" ht="24" customHeight="1">
      <c r="A344" s="456"/>
      <c r="B344" s="456"/>
      <c r="C344" s="461"/>
      <c r="D344" s="463"/>
      <c r="E344" s="464"/>
      <c r="F344" s="463"/>
      <c r="G344" s="461"/>
      <c r="H344" s="461"/>
      <c r="I344" s="461"/>
    </row>
    <row r="345" spans="1:9" ht="24" customHeight="1">
      <c r="A345" s="456"/>
      <c r="B345" s="456"/>
      <c r="C345" s="461"/>
      <c r="D345" s="463"/>
      <c r="E345" s="464"/>
      <c r="F345" s="463"/>
      <c r="G345" s="461"/>
      <c r="H345" s="461"/>
      <c r="I345" s="461"/>
    </row>
    <row r="346" spans="1:9" ht="24" customHeight="1">
      <c r="A346" s="456"/>
      <c r="B346" s="456"/>
      <c r="C346" s="461"/>
      <c r="D346" s="463"/>
      <c r="E346" s="464"/>
      <c r="F346" s="463"/>
      <c r="G346" s="461"/>
      <c r="H346" s="461"/>
      <c r="I346" s="461"/>
    </row>
    <row r="347" spans="1:9" ht="24" customHeight="1">
      <c r="A347" s="456"/>
      <c r="B347" s="456"/>
      <c r="C347" s="461"/>
      <c r="D347" s="463"/>
      <c r="E347" s="464"/>
      <c r="F347" s="463"/>
      <c r="G347" s="461"/>
      <c r="H347" s="461"/>
      <c r="I347" s="461"/>
    </row>
    <row r="348" spans="1:9" ht="24" customHeight="1">
      <c r="A348" s="456"/>
      <c r="B348" s="456"/>
      <c r="C348" s="461"/>
      <c r="D348" s="463"/>
      <c r="E348" s="464"/>
      <c r="F348" s="463"/>
      <c r="G348" s="461"/>
      <c r="H348" s="461"/>
      <c r="I348" s="461"/>
    </row>
    <row r="349" spans="1:9" ht="24" customHeight="1">
      <c r="A349" s="456"/>
      <c r="B349" s="456"/>
      <c r="C349" s="461"/>
      <c r="D349" s="463"/>
      <c r="E349" s="464"/>
      <c r="F349" s="463"/>
      <c r="G349" s="461"/>
      <c r="H349" s="461"/>
      <c r="I349" s="461"/>
    </row>
    <row r="350" spans="1:9" ht="24" customHeight="1">
      <c r="A350" s="456"/>
      <c r="B350" s="456"/>
      <c r="C350" s="461"/>
      <c r="D350" s="463"/>
      <c r="E350" s="464"/>
      <c r="F350" s="463"/>
      <c r="G350" s="461"/>
      <c r="H350" s="461"/>
      <c r="I350" s="461"/>
    </row>
    <row r="351" spans="1:9" ht="24" customHeight="1">
      <c r="A351" s="456"/>
      <c r="B351" s="456"/>
      <c r="C351" s="461"/>
      <c r="D351" s="463"/>
      <c r="E351" s="464"/>
      <c r="F351" s="463"/>
      <c r="G351" s="461"/>
      <c r="H351" s="461"/>
      <c r="I351" s="461"/>
    </row>
    <row r="352" spans="1:9" ht="24" customHeight="1">
      <c r="A352" s="456"/>
      <c r="B352" s="456"/>
      <c r="C352" s="461"/>
      <c r="D352" s="463"/>
      <c r="E352" s="464"/>
      <c r="F352" s="463"/>
      <c r="G352" s="461"/>
      <c r="H352" s="461"/>
      <c r="I352" s="461"/>
    </row>
    <row r="353" spans="1:9" ht="24" customHeight="1">
      <c r="A353" s="456"/>
      <c r="B353" s="456"/>
      <c r="C353" s="461"/>
      <c r="D353" s="463"/>
      <c r="E353" s="464"/>
      <c r="F353" s="463"/>
      <c r="G353" s="461"/>
      <c r="H353" s="461"/>
      <c r="I353" s="461"/>
    </row>
    <row r="354" spans="1:9" ht="24" customHeight="1">
      <c r="A354" s="456"/>
      <c r="B354" s="456"/>
      <c r="C354" s="461"/>
      <c r="D354" s="463"/>
      <c r="E354" s="464"/>
      <c r="F354" s="463"/>
      <c r="G354" s="461"/>
      <c r="H354" s="461"/>
      <c r="I354" s="461"/>
    </row>
    <row r="355" spans="1:9" ht="24" customHeight="1">
      <c r="A355" s="456"/>
      <c r="B355" s="456"/>
      <c r="C355" s="461"/>
      <c r="D355" s="463"/>
      <c r="E355" s="464"/>
      <c r="F355" s="463"/>
      <c r="G355" s="461"/>
      <c r="H355" s="461"/>
      <c r="I355" s="461"/>
    </row>
    <row r="356" spans="1:9" ht="24" customHeight="1">
      <c r="A356" s="456"/>
      <c r="B356" s="456"/>
      <c r="C356" s="461"/>
      <c r="D356" s="463"/>
      <c r="E356" s="464"/>
      <c r="F356" s="463"/>
      <c r="G356" s="461"/>
      <c r="H356" s="461"/>
      <c r="I356" s="461"/>
    </row>
    <row r="357" spans="1:9" ht="24" customHeight="1">
      <c r="A357" s="456"/>
      <c r="B357" s="456"/>
      <c r="C357" s="461"/>
      <c r="D357" s="463"/>
      <c r="E357" s="464"/>
      <c r="F357" s="463"/>
      <c r="G357" s="461"/>
      <c r="H357" s="461"/>
      <c r="I357" s="461"/>
    </row>
    <row r="358" spans="1:9" ht="24" customHeight="1">
      <c r="A358" s="456"/>
      <c r="B358" s="456"/>
      <c r="C358" s="461"/>
      <c r="D358" s="463"/>
      <c r="E358" s="464"/>
      <c r="F358" s="463"/>
      <c r="G358" s="461"/>
      <c r="H358" s="461"/>
      <c r="I358" s="461"/>
    </row>
    <row r="359" spans="1:9" ht="24" customHeight="1">
      <c r="A359" s="456"/>
      <c r="B359" s="456"/>
      <c r="C359" s="461"/>
      <c r="D359" s="463"/>
      <c r="E359" s="464"/>
      <c r="F359" s="463"/>
      <c r="G359" s="461"/>
      <c r="H359" s="461"/>
      <c r="I359" s="461"/>
    </row>
    <row r="360" spans="1:9" ht="24" customHeight="1">
      <c r="A360" s="456"/>
      <c r="B360" s="456"/>
      <c r="C360" s="461"/>
      <c r="D360" s="463"/>
      <c r="E360" s="464"/>
      <c r="F360" s="463"/>
      <c r="G360" s="461"/>
      <c r="H360" s="461"/>
      <c r="I360" s="461"/>
    </row>
    <row r="361" spans="1:9" ht="24" customHeight="1">
      <c r="A361" s="456"/>
      <c r="B361" s="456"/>
      <c r="C361" s="461"/>
      <c r="D361" s="463"/>
      <c r="E361" s="464"/>
      <c r="F361" s="463"/>
      <c r="G361" s="461"/>
      <c r="H361" s="461"/>
      <c r="I361" s="461"/>
    </row>
    <row r="362" spans="1:9" ht="24" customHeight="1">
      <c r="A362" s="456"/>
      <c r="B362" s="456"/>
      <c r="C362" s="461"/>
      <c r="D362" s="463"/>
      <c r="E362" s="464"/>
      <c r="F362" s="463"/>
      <c r="G362" s="461"/>
      <c r="H362" s="461"/>
      <c r="I362" s="461"/>
    </row>
    <row r="363" spans="1:9" ht="24" customHeight="1">
      <c r="A363" s="456"/>
      <c r="B363" s="456"/>
      <c r="C363" s="461"/>
      <c r="D363" s="463"/>
      <c r="E363" s="464"/>
      <c r="F363" s="463"/>
      <c r="G363" s="461"/>
      <c r="H363" s="461"/>
      <c r="I363" s="461"/>
    </row>
    <row r="364" spans="1:9" ht="24" customHeight="1">
      <c r="A364" s="456"/>
      <c r="B364" s="456"/>
      <c r="C364" s="461"/>
      <c r="D364" s="463"/>
      <c r="E364" s="464"/>
      <c r="F364" s="463"/>
      <c r="G364" s="461"/>
      <c r="H364" s="461"/>
      <c r="I364" s="461"/>
    </row>
    <row r="365" spans="1:9" ht="24" customHeight="1">
      <c r="A365" s="456"/>
      <c r="B365" s="456"/>
      <c r="C365" s="461"/>
      <c r="D365" s="463"/>
      <c r="E365" s="464"/>
      <c r="F365" s="463"/>
      <c r="G365" s="461"/>
      <c r="H365" s="461"/>
      <c r="I365" s="461"/>
    </row>
    <row r="366" spans="1:9" ht="24" customHeight="1">
      <c r="A366" s="456"/>
      <c r="B366" s="456"/>
      <c r="C366" s="461"/>
      <c r="D366" s="463"/>
      <c r="E366" s="464"/>
      <c r="F366" s="463"/>
      <c r="G366" s="461"/>
      <c r="H366" s="461"/>
      <c r="I366" s="461"/>
    </row>
    <row r="367" spans="1:9" ht="24" customHeight="1">
      <c r="A367" s="456"/>
      <c r="B367" s="456"/>
      <c r="C367" s="461"/>
      <c r="D367" s="463"/>
      <c r="E367" s="464"/>
      <c r="F367" s="463"/>
      <c r="G367" s="461"/>
      <c r="H367" s="461"/>
      <c r="I367" s="461"/>
    </row>
    <row r="368" spans="1:9" ht="24" customHeight="1">
      <c r="A368" s="456"/>
      <c r="B368" s="456"/>
      <c r="C368" s="461"/>
      <c r="D368" s="463"/>
      <c r="E368" s="464"/>
      <c r="F368" s="463"/>
      <c r="G368" s="461"/>
      <c r="H368" s="461"/>
      <c r="I368" s="461"/>
    </row>
    <row r="369" spans="1:9" ht="24" customHeight="1">
      <c r="A369" s="456"/>
      <c r="B369" s="456"/>
      <c r="C369" s="461"/>
      <c r="D369" s="463"/>
      <c r="E369" s="464"/>
      <c r="F369" s="463"/>
      <c r="G369" s="461"/>
      <c r="H369" s="461"/>
      <c r="I369" s="461"/>
    </row>
    <row r="370" spans="1:9" ht="24" customHeight="1">
      <c r="A370" s="456"/>
      <c r="B370" s="456"/>
      <c r="C370" s="461"/>
      <c r="D370" s="463"/>
      <c r="E370" s="464"/>
      <c r="F370" s="463"/>
      <c r="G370" s="461"/>
      <c r="H370" s="461"/>
      <c r="I370" s="461"/>
    </row>
    <row r="371" spans="1:9" ht="24" customHeight="1">
      <c r="A371" s="456"/>
      <c r="B371" s="456"/>
      <c r="C371" s="461"/>
      <c r="D371" s="463"/>
      <c r="E371" s="464"/>
      <c r="F371" s="463"/>
      <c r="G371" s="461"/>
      <c r="H371" s="461"/>
      <c r="I371" s="461"/>
    </row>
    <row r="372" spans="1:9" ht="24" customHeight="1">
      <c r="A372" s="456"/>
      <c r="B372" s="456"/>
      <c r="C372" s="461"/>
      <c r="D372" s="463"/>
      <c r="E372" s="464"/>
      <c r="F372" s="463"/>
      <c r="G372" s="461"/>
      <c r="H372" s="461"/>
      <c r="I372" s="461"/>
    </row>
    <row r="373" spans="1:9" ht="24" customHeight="1">
      <c r="A373" s="456"/>
      <c r="B373" s="456"/>
      <c r="C373" s="461"/>
      <c r="D373" s="463"/>
      <c r="E373" s="464"/>
      <c r="F373" s="463"/>
      <c r="G373" s="461"/>
      <c r="H373" s="461"/>
      <c r="I373" s="461"/>
    </row>
    <row r="374" spans="1:9" ht="24" customHeight="1">
      <c r="A374" s="456"/>
      <c r="B374" s="456"/>
      <c r="C374" s="461"/>
      <c r="D374" s="463"/>
      <c r="E374" s="464"/>
      <c r="F374" s="463"/>
      <c r="G374" s="461"/>
      <c r="H374" s="461"/>
      <c r="I374" s="461"/>
    </row>
    <row r="375" spans="1:9" ht="24" customHeight="1">
      <c r="A375" s="456"/>
      <c r="B375" s="456"/>
      <c r="C375" s="461"/>
      <c r="D375" s="463"/>
      <c r="E375" s="464"/>
      <c r="F375" s="463"/>
      <c r="G375" s="461"/>
      <c r="H375" s="461"/>
      <c r="I375" s="461"/>
    </row>
    <row r="376" spans="1:9" ht="24" customHeight="1">
      <c r="A376" s="456"/>
      <c r="B376" s="456"/>
      <c r="C376" s="461"/>
      <c r="D376" s="463"/>
      <c r="E376" s="464"/>
      <c r="F376" s="463"/>
      <c r="G376" s="461"/>
      <c r="H376" s="461"/>
      <c r="I376" s="461"/>
    </row>
    <row r="377" spans="1:9" ht="24" customHeight="1">
      <c r="A377" s="456"/>
      <c r="B377" s="456"/>
      <c r="C377" s="461"/>
      <c r="D377" s="463"/>
      <c r="E377" s="464"/>
      <c r="F377" s="463"/>
      <c r="G377" s="461"/>
      <c r="H377" s="461"/>
      <c r="I377" s="461"/>
    </row>
    <row r="378" spans="1:9" ht="24" customHeight="1">
      <c r="A378" s="456"/>
      <c r="B378" s="456"/>
      <c r="C378" s="461"/>
      <c r="D378" s="463"/>
      <c r="E378" s="464"/>
      <c r="F378" s="463"/>
      <c r="G378" s="461"/>
      <c r="H378" s="461"/>
      <c r="I378" s="461"/>
    </row>
    <row r="379" spans="1:9" ht="24" customHeight="1">
      <c r="A379" s="456"/>
      <c r="B379" s="456"/>
      <c r="C379" s="461"/>
      <c r="D379" s="463"/>
      <c r="E379" s="464"/>
      <c r="F379" s="463"/>
      <c r="G379" s="461"/>
      <c r="H379" s="461"/>
      <c r="I379" s="461"/>
    </row>
    <row r="380" spans="1:9" ht="24" customHeight="1">
      <c r="A380" s="456"/>
      <c r="B380" s="456"/>
      <c r="C380" s="461"/>
      <c r="D380" s="463"/>
      <c r="E380" s="464"/>
      <c r="F380" s="463"/>
      <c r="G380" s="461"/>
      <c r="H380" s="461"/>
      <c r="I380" s="461"/>
    </row>
    <row r="381" spans="1:9" ht="24" customHeight="1">
      <c r="A381" s="456"/>
      <c r="B381" s="456"/>
      <c r="C381" s="461"/>
      <c r="D381" s="463"/>
      <c r="E381" s="464"/>
      <c r="F381" s="463"/>
      <c r="G381" s="461"/>
      <c r="H381" s="461"/>
      <c r="I381" s="461"/>
    </row>
    <row r="382" spans="1:9" ht="24" customHeight="1">
      <c r="A382" s="456"/>
      <c r="B382" s="456"/>
      <c r="C382" s="461"/>
      <c r="D382" s="463"/>
      <c r="E382" s="464"/>
      <c r="F382" s="463"/>
      <c r="G382" s="461"/>
      <c r="H382" s="461"/>
      <c r="I382" s="461"/>
    </row>
    <row r="383" spans="1:9" ht="24" customHeight="1">
      <c r="A383" s="456"/>
      <c r="B383" s="456"/>
      <c r="C383" s="461"/>
      <c r="D383" s="463"/>
      <c r="E383" s="464"/>
      <c r="F383" s="463"/>
      <c r="G383" s="461"/>
      <c r="H383" s="461"/>
      <c r="I383" s="461"/>
    </row>
    <row r="384" spans="1:9" ht="24" customHeight="1">
      <c r="A384" s="456"/>
      <c r="B384" s="456"/>
      <c r="C384" s="461"/>
      <c r="D384" s="463"/>
      <c r="E384" s="464"/>
      <c r="F384" s="463"/>
      <c r="G384" s="461"/>
      <c r="H384" s="461"/>
      <c r="I384" s="461"/>
    </row>
    <row r="385" spans="1:9" ht="24" customHeight="1">
      <c r="A385" s="456"/>
      <c r="B385" s="456"/>
      <c r="C385" s="461"/>
      <c r="D385" s="463"/>
      <c r="E385" s="464"/>
      <c r="F385" s="463"/>
      <c r="G385" s="461"/>
      <c r="H385" s="461"/>
      <c r="I385" s="461"/>
    </row>
    <row r="386" spans="1:9" ht="24" customHeight="1">
      <c r="A386" s="456"/>
      <c r="B386" s="456"/>
      <c r="C386" s="461"/>
      <c r="D386" s="463"/>
      <c r="E386" s="464"/>
      <c r="F386" s="463"/>
      <c r="G386" s="461"/>
      <c r="H386" s="461"/>
      <c r="I386" s="461"/>
    </row>
    <row r="387" spans="1:9" ht="24" customHeight="1">
      <c r="A387" s="456"/>
      <c r="B387" s="456"/>
      <c r="C387" s="461"/>
      <c r="D387" s="463"/>
      <c r="E387" s="464"/>
      <c r="F387" s="463"/>
      <c r="G387" s="461"/>
      <c r="H387" s="461"/>
      <c r="I387" s="461"/>
    </row>
    <row r="388" spans="1:9" ht="24" customHeight="1">
      <c r="A388" s="456"/>
      <c r="B388" s="456"/>
      <c r="C388" s="461"/>
      <c r="D388" s="463"/>
      <c r="E388" s="464"/>
      <c r="F388" s="463"/>
      <c r="G388" s="461"/>
      <c r="H388" s="461"/>
      <c r="I388" s="461"/>
    </row>
    <row r="389" spans="1:9" ht="24" customHeight="1">
      <c r="A389" s="456"/>
      <c r="B389" s="456"/>
      <c r="C389" s="461"/>
      <c r="D389" s="463"/>
      <c r="E389" s="464"/>
      <c r="F389" s="463"/>
      <c r="G389" s="461"/>
      <c r="H389" s="461"/>
      <c r="I389" s="461"/>
    </row>
    <row r="390" spans="1:9" ht="24" customHeight="1">
      <c r="A390" s="456"/>
      <c r="B390" s="456"/>
      <c r="C390" s="461"/>
      <c r="D390" s="463"/>
      <c r="E390" s="464"/>
      <c r="F390" s="463"/>
      <c r="G390" s="461"/>
      <c r="H390" s="461"/>
      <c r="I390" s="461"/>
    </row>
    <row r="391" spans="1:9" ht="24" customHeight="1">
      <c r="A391" s="456"/>
      <c r="B391" s="456"/>
      <c r="C391" s="461"/>
      <c r="D391" s="463"/>
      <c r="E391" s="464"/>
      <c r="F391" s="463"/>
      <c r="G391" s="461"/>
      <c r="H391" s="461"/>
      <c r="I391" s="461"/>
    </row>
    <row r="392" spans="1:9" ht="24" customHeight="1">
      <c r="A392" s="456"/>
      <c r="B392" s="456"/>
      <c r="C392" s="461"/>
      <c r="D392" s="463"/>
      <c r="E392" s="464"/>
      <c r="F392" s="463"/>
      <c r="G392" s="461"/>
      <c r="H392" s="461"/>
      <c r="I392" s="461"/>
    </row>
    <row r="393" spans="1:9" ht="24" customHeight="1">
      <c r="A393" s="456"/>
      <c r="B393" s="456"/>
      <c r="C393" s="461"/>
      <c r="D393" s="463"/>
      <c r="E393" s="464"/>
      <c r="F393" s="463"/>
      <c r="G393" s="461"/>
      <c r="H393" s="461"/>
      <c r="I393" s="461"/>
    </row>
    <row r="394" spans="1:9" ht="24" customHeight="1">
      <c r="A394" s="456"/>
      <c r="B394" s="456"/>
      <c r="C394" s="461"/>
      <c r="D394" s="463"/>
      <c r="E394" s="464"/>
      <c r="F394" s="463"/>
      <c r="G394" s="461"/>
      <c r="H394" s="461"/>
      <c r="I394" s="461"/>
    </row>
    <row r="395" spans="1:9" ht="24" customHeight="1">
      <c r="A395" s="456"/>
      <c r="B395" s="456"/>
      <c r="C395" s="461"/>
      <c r="D395" s="463"/>
      <c r="E395" s="464"/>
      <c r="F395" s="463"/>
      <c r="G395" s="461"/>
      <c r="H395" s="461"/>
      <c r="I395" s="461"/>
    </row>
    <row r="396" spans="1:9" ht="24" customHeight="1">
      <c r="A396" s="456"/>
      <c r="B396" s="456"/>
      <c r="C396" s="461"/>
      <c r="D396" s="463"/>
      <c r="E396" s="464"/>
      <c r="F396" s="463"/>
      <c r="G396" s="461"/>
      <c r="H396" s="461"/>
      <c r="I396" s="461"/>
    </row>
    <row r="397" spans="1:9" ht="24" customHeight="1">
      <c r="A397" s="456"/>
      <c r="B397" s="456"/>
      <c r="C397" s="461"/>
      <c r="D397" s="463"/>
      <c r="E397" s="464"/>
      <c r="F397" s="463"/>
      <c r="G397" s="461"/>
      <c r="H397" s="461"/>
      <c r="I397" s="461"/>
    </row>
    <row r="398" spans="1:9" ht="24" customHeight="1">
      <c r="A398" s="456"/>
      <c r="B398" s="456"/>
      <c r="C398" s="461"/>
      <c r="D398" s="463"/>
      <c r="E398" s="464"/>
      <c r="F398" s="463"/>
      <c r="G398" s="461"/>
      <c r="H398" s="461"/>
      <c r="I398" s="461"/>
    </row>
    <row r="399" spans="1:9" ht="24" customHeight="1">
      <c r="A399" s="456"/>
      <c r="B399" s="456"/>
      <c r="C399" s="461"/>
      <c r="D399" s="463"/>
      <c r="E399" s="464"/>
      <c r="F399" s="463"/>
      <c r="G399" s="461"/>
      <c r="H399" s="461"/>
      <c r="I399" s="461"/>
    </row>
    <row r="400" spans="1:9" ht="24" customHeight="1">
      <c r="A400" s="456"/>
      <c r="B400" s="456"/>
      <c r="C400" s="461"/>
      <c r="D400" s="463"/>
      <c r="E400" s="464"/>
      <c r="F400" s="463"/>
      <c r="G400" s="461"/>
      <c r="H400" s="461"/>
      <c r="I400" s="461"/>
    </row>
    <row r="401" spans="1:9" ht="24" customHeight="1">
      <c r="A401" s="456"/>
      <c r="B401" s="456"/>
      <c r="C401" s="461"/>
      <c r="D401" s="463"/>
      <c r="E401" s="464"/>
      <c r="F401" s="463"/>
      <c r="G401" s="461"/>
      <c r="H401" s="461"/>
      <c r="I401" s="461"/>
    </row>
    <row r="402" spans="1:9" ht="24" customHeight="1">
      <c r="A402" s="456"/>
      <c r="B402" s="456"/>
      <c r="C402" s="461"/>
      <c r="D402" s="463"/>
      <c r="E402" s="464"/>
      <c r="F402" s="463"/>
      <c r="G402" s="461"/>
      <c r="H402" s="461"/>
      <c r="I402" s="461"/>
    </row>
    <row r="403" spans="1:9" ht="24" customHeight="1">
      <c r="A403" s="456"/>
      <c r="B403" s="456"/>
      <c r="C403" s="461"/>
      <c r="D403" s="463"/>
      <c r="E403" s="464"/>
      <c r="F403" s="463"/>
      <c r="G403" s="461"/>
      <c r="H403" s="461"/>
      <c r="I403" s="461"/>
    </row>
    <row r="404" spans="1:9" ht="24" customHeight="1">
      <c r="A404" s="456"/>
      <c r="B404" s="456"/>
      <c r="C404" s="461"/>
      <c r="D404" s="463"/>
      <c r="E404" s="464"/>
      <c r="F404" s="463"/>
      <c r="G404" s="461"/>
      <c r="H404" s="461"/>
      <c r="I404" s="461"/>
    </row>
    <row r="405" spans="1:9" ht="24" customHeight="1">
      <c r="A405" s="456"/>
      <c r="B405" s="456"/>
      <c r="C405" s="461"/>
      <c r="D405" s="463"/>
      <c r="E405" s="464"/>
      <c r="F405" s="463"/>
      <c r="G405" s="461"/>
      <c r="H405" s="461"/>
      <c r="I405" s="461"/>
    </row>
    <row r="406" spans="1:9" ht="24" customHeight="1">
      <c r="A406" s="456"/>
      <c r="B406" s="456"/>
      <c r="C406" s="461"/>
      <c r="D406" s="463"/>
      <c r="E406" s="464"/>
      <c r="F406" s="463"/>
      <c r="G406" s="461"/>
      <c r="H406" s="461"/>
      <c r="I406" s="461"/>
    </row>
    <row r="407" spans="1:9" ht="24" customHeight="1">
      <c r="A407" s="456"/>
      <c r="B407" s="456"/>
      <c r="C407" s="461"/>
      <c r="D407" s="463"/>
      <c r="E407" s="464"/>
      <c r="F407" s="463"/>
      <c r="G407" s="461"/>
      <c r="H407" s="461"/>
      <c r="I407" s="461"/>
    </row>
    <row r="408" spans="1:9" ht="24" customHeight="1">
      <c r="A408" s="456"/>
      <c r="B408" s="456"/>
      <c r="C408" s="461"/>
      <c r="D408" s="463"/>
      <c r="E408" s="464"/>
      <c r="F408" s="463"/>
      <c r="G408" s="461"/>
      <c r="H408" s="461"/>
      <c r="I408" s="461"/>
    </row>
    <row r="409" spans="1:9" ht="24" customHeight="1">
      <c r="A409" s="456"/>
      <c r="B409" s="456"/>
      <c r="C409" s="461"/>
      <c r="D409" s="463"/>
      <c r="E409" s="464"/>
      <c r="F409" s="463"/>
      <c r="G409" s="461"/>
      <c r="H409" s="461"/>
      <c r="I409" s="461"/>
    </row>
    <row r="410" spans="1:9" ht="24" customHeight="1">
      <c r="A410" s="456"/>
      <c r="B410" s="456"/>
      <c r="C410" s="461"/>
      <c r="D410" s="463"/>
      <c r="E410" s="464"/>
      <c r="F410" s="463"/>
      <c r="G410" s="461"/>
      <c r="H410" s="461"/>
      <c r="I410" s="461"/>
    </row>
    <row r="411" spans="1:9" ht="24" customHeight="1">
      <c r="A411" s="456"/>
      <c r="B411" s="456"/>
      <c r="C411" s="461"/>
      <c r="D411" s="463"/>
      <c r="E411" s="464"/>
      <c r="F411" s="463"/>
      <c r="G411" s="461"/>
      <c r="H411" s="461"/>
      <c r="I411" s="461"/>
    </row>
    <row r="412" spans="1:9" ht="24" customHeight="1">
      <c r="A412" s="456"/>
      <c r="B412" s="456"/>
      <c r="C412" s="461"/>
      <c r="D412" s="463"/>
      <c r="E412" s="464"/>
      <c r="F412" s="463"/>
      <c r="G412" s="461"/>
      <c r="H412" s="461"/>
      <c r="I412" s="461"/>
    </row>
    <row r="413" spans="1:9" ht="24" customHeight="1">
      <c r="A413" s="456"/>
      <c r="B413" s="456"/>
      <c r="C413" s="461"/>
      <c r="D413" s="463"/>
      <c r="E413" s="464"/>
      <c r="F413" s="463"/>
      <c r="G413" s="461"/>
      <c r="H413" s="461"/>
      <c r="I413" s="461"/>
    </row>
    <row r="414" spans="1:9" ht="24" customHeight="1">
      <c r="A414" s="456"/>
      <c r="B414" s="456"/>
      <c r="C414" s="461"/>
      <c r="D414" s="463"/>
      <c r="E414" s="464"/>
      <c r="F414" s="463"/>
      <c r="G414" s="461"/>
      <c r="H414" s="461"/>
      <c r="I414" s="461"/>
    </row>
    <row r="415" spans="1:9" ht="24" customHeight="1">
      <c r="A415" s="456"/>
      <c r="B415" s="456"/>
      <c r="C415" s="461"/>
      <c r="D415" s="463"/>
      <c r="E415" s="464"/>
      <c r="F415" s="463"/>
      <c r="G415" s="461"/>
      <c r="H415" s="461"/>
      <c r="I415" s="461"/>
    </row>
    <row r="416" spans="1:9" ht="24" customHeight="1">
      <c r="A416" s="456"/>
      <c r="B416" s="456"/>
      <c r="C416" s="461"/>
      <c r="D416" s="463"/>
      <c r="E416" s="464"/>
      <c r="F416" s="463"/>
      <c r="G416" s="461"/>
      <c r="H416" s="461"/>
      <c r="I416" s="461"/>
    </row>
    <row r="417" spans="1:9" ht="24" customHeight="1">
      <c r="A417" s="456"/>
      <c r="B417" s="456"/>
      <c r="C417" s="461"/>
      <c r="D417" s="463"/>
      <c r="E417" s="464"/>
      <c r="F417" s="463"/>
      <c r="G417" s="461"/>
      <c r="H417" s="461"/>
      <c r="I417" s="461"/>
    </row>
    <row r="418" spans="1:9" ht="24" customHeight="1">
      <c r="A418" s="456"/>
      <c r="B418" s="456"/>
      <c r="C418" s="461"/>
      <c r="D418" s="463"/>
      <c r="E418" s="464"/>
      <c r="F418" s="463"/>
      <c r="G418" s="461"/>
      <c r="H418" s="461"/>
      <c r="I418" s="461"/>
    </row>
  </sheetData>
  <mergeCells count="1">
    <mergeCell ref="A1:G1"/>
  </mergeCells>
  <phoneticPr fontId="2" type="noConversion"/>
  <conditionalFormatting sqref="D3:D148 F3:F184 G158">
    <cfRule type="cellIs" dxfId="7" priority="4" stopIfTrue="1" operator="lessThan">
      <formula>0</formula>
    </cfRule>
  </conditionalFormatting>
  <pageMargins left="0.74803149606299213" right="0.74803149606299213" top="0.98425196850393704" bottom="0.98425196850393704" header="0.51181102362204722" footer="0.51181102362204722"/>
  <pageSetup paperSize="9" scale="42" fitToHeight="0" orientation="portrait" horizontalDpi="4294967294" r:id="rId1"/>
  <headerFooter>
    <oddFooter>&amp;C&amp;"Helvetica Neue,Regular"&amp;12&amp;K000000&amp;P</oddFooter>
  </headerFooter>
  <rowBreaks count="3" manualBreakCount="3">
    <brk id="67" max="8" man="1"/>
    <brk id="139" max="16383" man="1"/>
    <brk id="154" max="16383" man="1"/>
  </rowBreaks>
  <colBreaks count="2" manualBreakCount="2">
    <brk id="1" max="1048575" man="1"/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>
    <pageSetUpPr fitToPage="1"/>
  </sheetPr>
  <dimension ref="A1:IV21"/>
  <sheetViews>
    <sheetView showGridLines="0" showRuler="0" view="pageBreakPreview" zoomScale="82" zoomScaleNormal="90" zoomScaleSheetLayoutView="82" workbookViewId="0">
      <pane ySplit="2" topLeftCell="A15" activePane="bottomLeft" state="frozen"/>
      <selection pane="bottomLeft" activeCell="M21" sqref="M21"/>
    </sheetView>
  </sheetViews>
  <sheetFormatPr defaultColWidth="8.81640625" defaultRowHeight="37.5" customHeight="1"/>
  <cols>
    <col min="1" max="1" width="14.81640625" style="6" customWidth="1"/>
    <col min="2" max="2" width="11.90625" style="16" customWidth="1"/>
    <col min="3" max="3" width="12.90625" style="16" customWidth="1"/>
    <col min="4" max="6" width="12.08984375" style="16" bestFit="1" customWidth="1"/>
    <col min="7" max="7" width="11.453125" style="16" customWidth="1"/>
    <col min="8" max="9" width="12.08984375" style="16" bestFit="1" customWidth="1"/>
    <col min="10" max="10" width="11.453125" style="16" customWidth="1"/>
    <col min="11" max="11" width="12" style="16" customWidth="1"/>
    <col min="12" max="12" width="12.90625" style="16" customWidth="1"/>
    <col min="13" max="13" width="13.6328125" style="16" customWidth="1"/>
    <col min="14" max="14" width="20.08984375" style="16" customWidth="1"/>
    <col min="15" max="15" width="32.6328125" style="16" customWidth="1"/>
    <col min="16" max="256" width="8.81640625" style="6" customWidth="1"/>
    <col min="257" max="16384" width="8.81640625" style="17"/>
  </cols>
  <sheetData>
    <row r="1" spans="1:15" s="6" customFormat="1" ht="37.5" customHeight="1">
      <c r="A1" s="566" t="s">
        <v>155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567"/>
      <c r="N1" s="567"/>
      <c r="O1" s="567"/>
    </row>
    <row r="2" spans="1:15" s="6" customFormat="1" ht="37.5" customHeight="1">
      <c r="A2" s="248" t="s">
        <v>236</v>
      </c>
      <c r="B2" s="243" t="s">
        <v>235</v>
      </c>
      <c r="C2" s="8" t="s">
        <v>277</v>
      </c>
      <c r="D2" s="8" t="s">
        <v>7</v>
      </c>
      <c r="E2" s="8" t="s">
        <v>8</v>
      </c>
      <c r="F2" s="8" t="s">
        <v>9</v>
      </c>
      <c r="G2" s="8" t="s">
        <v>10</v>
      </c>
      <c r="H2" s="8" t="s">
        <v>11</v>
      </c>
      <c r="I2" s="8" t="s">
        <v>12</v>
      </c>
      <c r="J2" s="8" t="s">
        <v>13</v>
      </c>
      <c r="K2" s="8" t="s">
        <v>14</v>
      </c>
      <c r="L2" s="8" t="s">
        <v>15</v>
      </c>
      <c r="M2" s="8" t="s">
        <v>16</v>
      </c>
      <c r="N2" s="8" t="s">
        <v>17</v>
      </c>
      <c r="O2" s="8" t="s">
        <v>18</v>
      </c>
    </row>
    <row r="3" spans="1:15" s="6" customFormat="1" ht="37.5" customHeight="1">
      <c r="A3" s="9" t="s">
        <v>19</v>
      </c>
      <c r="B3" s="245">
        <v>317800</v>
      </c>
      <c r="C3" s="37">
        <v>108400</v>
      </c>
      <c r="D3" s="37">
        <v>177000</v>
      </c>
      <c r="E3" s="37">
        <v>189500</v>
      </c>
      <c r="F3" s="37">
        <v>172300</v>
      </c>
      <c r="G3" s="37">
        <v>17100</v>
      </c>
      <c r="H3" s="37">
        <v>323200</v>
      </c>
      <c r="I3" s="37">
        <v>337900</v>
      </c>
      <c r="J3" s="37">
        <v>173800</v>
      </c>
      <c r="K3" s="37">
        <v>174400</v>
      </c>
      <c r="L3" s="37">
        <v>166800</v>
      </c>
      <c r="M3" s="37">
        <v>194600</v>
      </c>
      <c r="N3" s="37"/>
      <c r="O3" s="10"/>
    </row>
    <row r="4" spans="1:15" s="6" customFormat="1" ht="37.5" customHeight="1">
      <c r="A4" s="9" t="s">
        <v>20</v>
      </c>
      <c r="B4" s="244"/>
      <c r="C4" s="37"/>
      <c r="D4" s="37"/>
      <c r="E4" s="37"/>
      <c r="F4" s="37">
        <v>400</v>
      </c>
      <c r="G4" s="37">
        <v>18034</v>
      </c>
      <c r="H4" s="37"/>
      <c r="I4" s="37"/>
      <c r="J4" s="37">
        <v>1200</v>
      </c>
      <c r="K4" s="37">
        <v>3200</v>
      </c>
      <c r="L4" s="37">
        <v>1850</v>
      </c>
      <c r="M4" s="37">
        <v>6763</v>
      </c>
      <c r="N4" s="37"/>
      <c r="O4" s="10" t="e">
        <f>N4/$N$5</f>
        <v>#DIV/0!</v>
      </c>
    </row>
    <row r="5" spans="1:15" s="6" customFormat="1" ht="37.5" customHeight="1">
      <c r="A5" s="9" t="s">
        <v>21</v>
      </c>
      <c r="B5" s="245">
        <v>317800</v>
      </c>
      <c r="C5" s="37">
        <v>108400</v>
      </c>
      <c r="D5" s="37">
        <v>177000</v>
      </c>
      <c r="E5" s="37">
        <v>189500</v>
      </c>
      <c r="F5" s="37">
        <v>172700</v>
      </c>
      <c r="G5" s="37">
        <v>189034</v>
      </c>
      <c r="H5" s="37"/>
      <c r="I5" s="37"/>
      <c r="J5" s="37">
        <v>175000</v>
      </c>
      <c r="K5" s="37">
        <v>177600</v>
      </c>
      <c r="L5" s="37">
        <v>168650</v>
      </c>
      <c r="M5" s="37">
        <v>201363</v>
      </c>
      <c r="N5" s="37"/>
      <c r="O5" s="10">
        <v>1</v>
      </c>
    </row>
    <row r="6" spans="1:15" s="6" customFormat="1" ht="37.5" customHeight="1">
      <c r="A6" s="31" t="s">
        <v>22</v>
      </c>
      <c r="B6" s="247">
        <v>189687</v>
      </c>
      <c r="C6" s="34">
        <v>147391</v>
      </c>
      <c r="D6" s="34">
        <v>159185</v>
      </c>
      <c r="E6" s="34">
        <v>153641</v>
      </c>
      <c r="F6" s="34">
        <v>189755</v>
      </c>
      <c r="G6" s="34">
        <v>174570</v>
      </c>
      <c r="H6" s="34">
        <v>254620</v>
      </c>
      <c r="I6" s="34">
        <v>291635</v>
      </c>
      <c r="J6" s="34">
        <v>168970</v>
      </c>
      <c r="K6" s="34">
        <v>158461</v>
      </c>
      <c r="L6" s="34">
        <v>145560</v>
      </c>
      <c r="M6" s="34">
        <v>163060</v>
      </c>
      <c r="N6" s="34"/>
      <c r="O6" s="11" t="e">
        <f t="shared" ref="O6:O19" si="0">N6/$N$5</f>
        <v>#DIV/0!</v>
      </c>
    </row>
    <row r="7" spans="1:15" s="6" customFormat="1" ht="37.5" customHeight="1">
      <c r="A7" s="31" t="s">
        <v>23</v>
      </c>
      <c r="B7" s="246">
        <v>120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11" t="e">
        <f t="shared" si="0"/>
        <v>#DIV/0!</v>
      </c>
    </row>
    <row r="8" spans="1:15" s="6" customFormat="1" ht="37.5" customHeight="1">
      <c r="A8" s="31" t="s">
        <v>24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11" t="e">
        <f t="shared" si="0"/>
        <v>#DIV/0!</v>
      </c>
    </row>
    <row r="9" spans="1:15" s="6" customFormat="1" ht="37.5" customHeight="1">
      <c r="A9" s="31" t="s">
        <v>25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11" t="e">
        <f t="shared" si="0"/>
        <v>#DIV/0!</v>
      </c>
    </row>
    <row r="10" spans="1:15" s="6" customFormat="1" ht="37.5" customHeight="1">
      <c r="A10" s="31" t="s">
        <v>26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11" t="e">
        <f t="shared" si="0"/>
        <v>#DIV/0!</v>
      </c>
    </row>
    <row r="11" spans="1:15" s="6" customFormat="1" ht="37.5" customHeight="1">
      <c r="A11" s="31" t="s">
        <v>68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>
        <v>8688</v>
      </c>
      <c r="M11" s="34"/>
      <c r="N11" s="34"/>
      <c r="O11" s="11" t="e">
        <f t="shared" si="0"/>
        <v>#DIV/0!</v>
      </c>
    </row>
    <row r="12" spans="1:15" s="6" customFormat="1" ht="37.5" customHeight="1">
      <c r="A12" s="191" t="s">
        <v>120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11" t="e">
        <f t="shared" si="0"/>
        <v>#DIV/0!</v>
      </c>
    </row>
    <row r="13" spans="1:15" s="6" customFormat="1" ht="37.5" customHeight="1">
      <c r="A13" s="161" t="s">
        <v>67</v>
      </c>
      <c r="B13" s="247">
        <v>15700</v>
      </c>
      <c r="C13" s="34"/>
      <c r="D13" s="34"/>
      <c r="E13" s="34"/>
      <c r="F13" s="34">
        <v>7819</v>
      </c>
      <c r="G13" s="34"/>
      <c r="H13" s="34"/>
      <c r="I13" s="34">
        <v>17340</v>
      </c>
      <c r="J13" s="34">
        <v>16462</v>
      </c>
      <c r="K13" s="34">
        <v>4162</v>
      </c>
      <c r="L13" s="34">
        <v>1500</v>
      </c>
      <c r="M13" s="34">
        <v>10000</v>
      </c>
      <c r="N13" s="34"/>
      <c r="O13" s="11" t="e">
        <f t="shared" si="0"/>
        <v>#DIV/0!</v>
      </c>
    </row>
    <row r="14" spans="1:15" s="6" customFormat="1" ht="37.5" customHeight="1">
      <c r="A14" s="31" t="s">
        <v>27</v>
      </c>
      <c r="B14" s="247">
        <v>1400</v>
      </c>
      <c r="C14" s="34"/>
      <c r="D14" s="34"/>
      <c r="E14" s="34"/>
      <c r="F14" s="34">
        <v>8872</v>
      </c>
      <c r="G14" s="34"/>
      <c r="H14" s="34"/>
      <c r="I14" s="34">
        <v>4370</v>
      </c>
      <c r="J14" s="34">
        <v>16726</v>
      </c>
      <c r="K14" s="34">
        <v>8145</v>
      </c>
      <c r="L14" s="34">
        <v>1360</v>
      </c>
      <c r="M14" s="34">
        <v>300</v>
      </c>
      <c r="N14" s="34"/>
      <c r="O14" s="11" t="e">
        <f t="shared" si="0"/>
        <v>#DIV/0!</v>
      </c>
    </row>
    <row r="15" spans="1:15" s="6" customFormat="1" ht="37.5" customHeight="1">
      <c r="A15" s="31" t="s">
        <v>28</v>
      </c>
      <c r="B15" s="34"/>
      <c r="C15" s="34"/>
      <c r="D15" s="34"/>
      <c r="E15" s="34"/>
      <c r="F15" s="34"/>
      <c r="G15" s="34"/>
      <c r="H15" s="34"/>
      <c r="I15" s="34"/>
      <c r="J15" s="34">
        <v>100</v>
      </c>
      <c r="K15" s="34"/>
      <c r="L15" s="34"/>
      <c r="M15" s="34"/>
      <c r="N15" s="34"/>
      <c r="O15" s="11" t="e">
        <f t="shared" si="0"/>
        <v>#DIV/0!</v>
      </c>
    </row>
    <row r="16" spans="1:15" s="6" customFormat="1" ht="37.5" customHeight="1">
      <c r="A16" s="31" t="s">
        <v>29</v>
      </c>
      <c r="B16" s="34"/>
      <c r="C16" s="34"/>
      <c r="D16" s="34"/>
      <c r="E16" s="34"/>
      <c r="F16" s="34"/>
      <c r="G16" s="34">
        <v>5600</v>
      </c>
      <c r="H16" s="160"/>
      <c r="I16" s="34"/>
      <c r="J16" s="34"/>
      <c r="K16" s="34">
        <v>3600</v>
      </c>
      <c r="L16" s="34"/>
      <c r="M16" s="34"/>
      <c r="N16" s="34"/>
      <c r="O16" s="11" t="e">
        <f t="shared" si="0"/>
        <v>#DIV/0!</v>
      </c>
    </row>
    <row r="17" spans="1:15" s="6" customFormat="1" ht="37.5" customHeight="1">
      <c r="A17" s="31" t="s">
        <v>30</v>
      </c>
      <c r="B17" s="34">
        <v>1400</v>
      </c>
      <c r="C17" s="34">
        <v>21775</v>
      </c>
      <c r="D17" s="34">
        <v>1400</v>
      </c>
      <c r="E17" s="34">
        <v>1400</v>
      </c>
      <c r="F17" s="34">
        <v>34050</v>
      </c>
      <c r="G17" s="34">
        <v>20998</v>
      </c>
      <c r="H17" s="34">
        <v>1750</v>
      </c>
      <c r="I17" s="34">
        <v>11331</v>
      </c>
      <c r="J17" s="34">
        <v>14157</v>
      </c>
      <c r="K17" s="34">
        <v>11400</v>
      </c>
      <c r="L17" s="34">
        <v>5800</v>
      </c>
      <c r="M17" s="34">
        <v>22836</v>
      </c>
      <c r="N17" s="34"/>
      <c r="O17" s="11" t="e">
        <f t="shared" si="0"/>
        <v>#DIV/0!</v>
      </c>
    </row>
    <row r="18" spans="1:15" s="6" customFormat="1" ht="45" customHeight="1">
      <c r="A18" s="32" t="s">
        <v>31</v>
      </c>
      <c r="B18" s="33">
        <v>208307</v>
      </c>
      <c r="C18" s="33">
        <v>169166</v>
      </c>
      <c r="D18" s="33">
        <v>160585</v>
      </c>
      <c r="E18" s="33">
        <v>155041</v>
      </c>
      <c r="F18" s="33">
        <v>240496</v>
      </c>
      <c r="G18" s="33">
        <v>201168</v>
      </c>
      <c r="H18" s="33">
        <v>256370</v>
      </c>
      <c r="I18" s="33">
        <v>324676</v>
      </c>
      <c r="J18" s="33">
        <v>216415</v>
      </c>
      <c r="K18" s="33">
        <v>185768</v>
      </c>
      <c r="L18" s="33">
        <v>162908</v>
      </c>
      <c r="M18" s="33">
        <v>196196</v>
      </c>
      <c r="N18" s="33"/>
      <c r="O18" s="12" t="e">
        <f t="shared" si="0"/>
        <v>#DIV/0!</v>
      </c>
    </row>
    <row r="19" spans="1:15" s="6" customFormat="1" ht="45" customHeight="1">
      <c r="A19" s="7" t="s">
        <v>32</v>
      </c>
      <c r="B19" s="35">
        <v>109493</v>
      </c>
      <c r="C19" s="158">
        <v>-60766</v>
      </c>
      <c r="D19" s="158">
        <v>16415</v>
      </c>
      <c r="E19" s="158">
        <v>34459</v>
      </c>
      <c r="F19" s="158">
        <v>67796</v>
      </c>
      <c r="G19" s="158">
        <v>-12134</v>
      </c>
      <c r="H19" s="158">
        <v>66830</v>
      </c>
      <c r="I19" s="158">
        <v>13224</v>
      </c>
      <c r="J19" s="158">
        <v>-41415</v>
      </c>
      <c r="K19" s="158">
        <v>-8168</v>
      </c>
      <c r="L19" s="158">
        <v>5742</v>
      </c>
      <c r="M19" s="158">
        <v>5167</v>
      </c>
      <c r="N19" s="158"/>
      <c r="O19" s="159" t="e">
        <f t="shared" si="0"/>
        <v>#DIV/0!</v>
      </c>
    </row>
    <row r="20" spans="1:15" s="6" customFormat="1" ht="60.75" customHeight="1">
      <c r="A20" s="251" t="s">
        <v>237</v>
      </c>
      <c r="B20" s="250">
        <v>383676</v>
      </c>
      <c r="C20" s="250">
        <v>322910</v>
      </c>
      <c r="D20" s="36">
        <v>339325</v>
      </c>
      <c r="E20" s="36">
        <v>373784</v>
      </c>
      <c r="F20" s="36">
        <v>295988</v>
      </c>
      <c r="G20" s="36">
        <v>283854</v>
      </c>
      <c r="H20" s="36">
        <v>350684</v>
      </c>
      <c r="I20" s="36">
        <v>363908</v>
      </c>
      <c r="J20" s="36">
        <v>322493</v>
      </c>
      <c r="K20" s="36">
        <v>314325</v>
      </c>
      <c r="L20" s="36">
        <v>320067</v>
      </c>
      <c r="M20" s="36">
        <v>325234</v>
      </c>
      <c r="N20" s="36"/>
      <c r="O20" s="13"/>
    </row>
    <row r="21" spans="1:15" s="6" customFormat="1" ht="37.5" customHeight="1">
      <c r="A21" s="249"/>
      <c r="B21" s="14"/>
      <c r="C21" s="14"/>
      <c r="D21" s="14"/>
      <c r="E21" s="14"/>
      <c r="F21" s="14"/>
      <c r="G21" s="14"/>
      <c r="H21" s="14"/>
      <c r="I21" s="15"/>
      <c r="J21" s="14"/>
      <c r="K21" s="14"/>
      <c r="L21" s="14"/>
      <c r="M21" s="14"/>
    </row>
  </sheetData>
  <mergeCells count="1">
    <mergeCell ref="A1:O1"/>
  </mergeCells>
  <phoneticPr fontId="2" type="noConversion"/>
  <conditionalFormatting sqref="B19:N19">
    <cfRule type="cellIs" dxfId="6" priority="1" stopIfTrue="1" operator="lessThan">
      <formula>0</formula>
    </cfRule>
  </conditionalFormatting>
  <pageMargins left="0.23622047244094491" right="0.23622047244094491" top="0.55118110236220474" bottom="0.55118110236220474" header="0.31496062992125984" footer="0.31496062992125984"/>
  <pageSetup scale="52" orientation="landscape" horizontalDpi="4294967293" r:id="rId1"/>
  <headerFooter>
    <oddFooter>&amp;LJ&amp;C 第 &amp;P 頁 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>
    <pageSetUpPr fitToPage="1"/>
  </sheetPr>
  <dimension ref="A1:IV73"/>
  <sheetViews>
    <sheetView showRuler="0" topLeftCell="A22" zoomScale="80" zoomScaleNormal="80" workbookViewId="0">
      <selection activeCell="C11" sqref="C11"/>
    </sheetView>
  </sheetViews>
  <sheetFormatPr defaultColWidth="8.81640625" defaultRowHeight="18.75" customHeight="1"/>
  <cols>
    <col min="1" max="2" width="4.1796875" style="1" customWidth="1"/>
    <col min="3" max="3" width="51.54296875" style="1" customWidth="1"/>
    <col min="4" max="4" width="15.90625" style="95" customWidth="1"/>
    <col min="5" max="5" width="15.81640625" style="102" customWidth="1"/>
    <col min="6" max="6" width="17.1796875" style="3" customWidth="1"/>
    <col min="7" max="7" width="87" style="1" bestFit="1" customWidth="1"/>
    <col min="8" max="256" width="8.81640625" style="1" customWidth="1"/>
    <col min="257" max="16384" width="8.81640625" style="2"/>
  </cols>
  <sheetData>
    <row r="1" spans="1:9" s="1" customFormat="1" ht="25.95" customHeight="1" thickTop="1">
      <c r="A1" s="90" t="s">
        <v>0</v>
      </c>
      <c r="B1" s="85" t="s">
        <v>1</v>
      </c>
      <c r="C1" s="85" t="s">
        <v>2</v>
      </c>
      <c r="D1" s="86" t="s">
        <v>3</v>
      </c>
      <c r="E1" s="96" t="s">
        <v>4</v>
      </c>
      <c r="F1" s="96" t="s">
        <v>17</v>
      </c>
      <c r="G1" s="87" t="s">
        <v>6</v>
      </c>
    </row>
    <row r="2" spans="1:9" s="1" customFormat="1" ht="25.5" customHeight="1">
      <c r="A2" s="91">
        <v>1</v>
      </c>
      <c r="B2" s="88">
        <v>27</v>
      </c>
      <c r="C2" s="56" t="s">
        <v>214</v>
      </c>
      <c r="D2" s="185"/>
      <c r="E2" s="97">
        <v>15700</v>
      </c>
      <c r="F2" s="112"/>
      <c r="G2" s="89"/>
    </row>
    <row r="3" spans="1:9" s="1" customFormat="1" ht="25.5" customHeight="1" thickBot="1">
      <c r="A3" s="351">
        <v>1</v>
      </c>
      <c r="B3" s="352">
        <v>27</v>
      </c>
      <c r="C3" s="177" t="s">
        <v>210</v>
      </c>
      <c r="D3" s="353"/>
      <c r="E3" s="354">
        <v>1400</v>
      </c>
      <c r="F3" s="355">
        <v>17100</v>
      </c>
      <c r="G3" s="356"/>
      <c r="I3" s="1" t="s">
        <v>72</v>
      </c>
    </row>
    <row r="4" spans="1:9" s="1" customFormat="1" ht="25.5" customHeight="1" thickTop="1">
      <c r="A4" s="92">
        <v>5</v>
      </c>
      <c r="B4" s="93">
        <v>8</v>
      </c>
      <c r="C4" s="174" t="s">
        <v>427</v>
      </c>
      <c r="D4" s="104"/>
      <c r="E4" s="357">
        <v>7000</v>
      </c>
      <c r="F4" s="113"/>
      <c r="G4" s="94"/>
    </row>
    <row r="5" spans="1:9" s="1" customFormat="1" ht="25.5" customHeight="1">
      <c r="A5" s="91">
        <v>5</v>
      </c>
      <c r="B5" s="88">
        <v>21</v>
      </c>
      <c r="C5" s="56" t="s">
        <v>426</v>
      </c>
      <c r="D5" s="103"/>
      <c r="E5" s="359">
        <v>7819</v>
      </c>
      <c r="F5" s="298"/>
      <c r="G5" s="89"/>
    </row>
    <row r="6" spans="1:9" s="1" customFormat="1" ht="25.2" thickBot="1">
      <c r="A6" s="373">
        <v>5</v>
      </c>
      <c r="B6" s="375">
        <v>21</v>
      </c>
      <c r="C6" s="374" t="s">
        <v>428</v>
      </c>
      <c r="D6" s="377"/>
      <c r="E6" s="378">
        <v>8872</v>
      </c>
      <c r="F6" s="380">
        <v>23691</v>
      </c>
      <c r="G6" s="381"/>
    </row>
    <row r="7" spans="1:9" s="1" customFormat="1" ht="25.5" customHeight="1">
      <c r="A7" s="372">
        <v>6</v>
      </c>
      <c r="B7" s="221">
        <v>8</v>
      </c>
      <c r="C7" s="239" t="s">
        <v>369</v>
      </c>
      <c r="D7" s="376"/>
      <c r="E7" s="382">
        <v>4000</v>
      </c>
      <c r="F7" s="379"/>
      <c r="G7" s="138"/>
    </row>
    <row r="8" spans="1:9" s="1" customFormat="1" ht="25.5" customHeight="1" thickBot="1">
      <c r="A8" s="436">
        <v>6</v>
      </c>
      <c r="B8" s="442">
        <v>8</v>
      </c>
      <c r="C8" s="562" t="s">
        <v>424</v>
      </c>
      <c r="D8" s="437"/>
      <c r="E8" s="438">
        <v>1600</v>
      </c>
      <c r="F8" s="441">
        <v>5600</v>
      </c>
      <c r="G8" s="439"/>
    </row>
    <row r="9" spans="1:9" s="1" customFormat="1" ht="25.5" customHeight="1" thickTop="1">
      <c r="A9" s="92">
        <v>8</v>
      </c>
      <c r="B9" s="93">
        <v>21</v>
      </c>
      <c r="C9" s="239" t="s">
        <v>425</v>
      </c>
      <c r="D9" s="376"/>
      <c r="E9" s="444">
        <v>1970</v>
      </c>
      <c r="F9" s="443"/>
      <c r="G9" s="94"/>
    </row>
    <row r="10" spans="1:9" s="1" customFormat="1" ht="25.5" customHeight="1">
      <c r="A10" s="92">
        <v>8</v>
      </c>
      <c r="B10" s="93">
        <v>21</v>
      </c>
      <c r="C10" s="440" t="s">
        <v>429</v>
      </c>
      <c r="D10" s="104"/>
      <c r="E10" s="445">
        <v>12600</v>
      </c>
      <c r="F10" s="113"/>
      <c r="G10" s="94"/>
    </row>
    <row r="11" spans="1:9" s="1" customFormat="1" ht="25.5" customHeight="1">
      <c r="A11" s="92">
        <v>8</v>
      </c>
      <c r="B11" s="93">
        <v>21</v>
      </c>
      <c r="C11" s="239" t="s">
        <v>430</v>
      </c>
      <c r="D11" s="104"/>
      <c r="E11" s="445">
        <v>2400</v>
      </c>
      <c r="F11" s="113"/>
      <c r="G11" s="89"/>
    </row>
    <row r="12" spans="1:9" s="1" customFormat="1" ht="25.5" customHeight="1" thickBot="1">
      <c r="A12" s="469">
        <v>8</v>
      </c>
      <c r="B12" s="470">
        <v>21</v>
      </c>
      <c r="C12" s="471" t="s">
        <v>431</v>
      </c>
      <c r="D12" s="472"/>
      <c r="E12" s="474">
        <v>4725</v>
      </c>
      <c r="F12" s="475">
        <v>21695</v>
      </c>
      <c r="G12" s="477"/>
    </row>
    <row r="13" spans="1:9" s="1" customFormat="1" ht="25.5" customHeight="1" thickTop="1">
      <c r="A13" s="372">
        <v>9</v>
      </c>
      <c r="B13" s="221">
        <v>10</v>
      </c>
      <c r="C13" s="222" t="s">
        <v>466</v>
      </c>
      <c r="D13" s="376"/>
      <c r="E13" s="473">
        <v>1800</v>
      </c>
      <c r="F13" s="379"/>
      <c r="G13" s="476"/>
    </row>
    <row r="14" spans="1:9" s="1" customFormat="1" ht="25.5" customHeight="1">
      <c r="A14" s="92">
        <v>9</v>
      </c>
      <c r="B14" s="93">
        <v>10</v>
      </c>
      <c r="C14" s="222" t="s">
        <v>467</v>
      </c>
      <c r="D14" s="104"/>
      <c r="E14" s="478">
        <v>4528</v>
      </c>
      <c r="F14" s="113"/>
      <c r="G14" s="94"/>
    </row>
    <row r="15" spans="1:9" s="1" customFormat="1" ht="25.5" customHeight="1">
      <c r="A15" s="92">
        <v>9</v>
      </c>
      <c r="B15" s="93">
        <v>16</v>
      </c>
      <c r="C15" s="479" t="s">
        <v>475</v>
      </c>
      <c r="D15" s="104"/>
      <c r="E15" s="480">
        <v>3600</v>
      </c>
      <c r="F15" s="113"/>
      <c r="G15" s="94"/>
    </row>
    <row r="16" spans="1:9" s="1" customFormat="1" ht="25.5" customHeight="1">
      <c r="A16" s="92">
        <v>9</v>
      </c>
      <c r="B16" s="93">
        <v>16</v>
      </c>
      <c r="C16" s="488" t="s">
        <v>490</v>
      </c>
      <c r="D16" s="104"/>
      <c r="E16" s="480">
        <v>5733</v>
      </c>
      <c r="F16" s="113"/>
      <c r="G16" s="94" t="s">
        <v>492</v>
      </c>
    </row>
    <row r="17" spans="1:7" s="1" customFormat="1" ht="25.5" customHeight="1">
      <c r="A17" s="91">
        <v>9</v>
      </c>
      <c r="B17" s="299">
        <v>16</v>
      </c>
      <c r="C17" s="481" t="s">
        <v>476</v>
      </c>
      <c r="D17" s="300"/>
      <c r="E17" s="301">
        <v>13227</v>
      </c>
      <c r="F17" s="298"/>
      <c r="G17" s="89" t="s">
        <v>491</v>
      </c>
    </row>
    <row r="18" spans="1:7" s="1" customFormat="1" ht="25.2" customHeight="1">
      <c r="A18" s="221">
        <v>9</v>
      </c>
      <c r="B18" s="221">
        <v>16</v>
      </c>
      <c r="C18" s="239" t="s">
        <v>477</v>
      </c>
      <c r="D18" s="302"/>
      <c r="E18" s="132">
        <v>3690</v>
      </c>
      <c r="F18" s="133"/>
      <c r="G18" s="148"/>
    </row>
    <row r="19" spans="1:7" s="1" customFormat="1" ht="25.2" customHeight="1" thickBot="1">
      <c r="A19" s="504">
        <v>9</v>
      </c>
      <c r="B19" s="504">
        <v>16</v>
      </c>
      <c r="C19" s="511" t="s">
        <v>469</v>
      </c>
      <c r="D19" s="506"/>
      <c r="E19" s="507">
        <v>4710</v>
      </c>
      <c r="F19" s="508">
        <v>37288</v>
      </c>
      <c r="G19" s="510"/>
    </row>
    <row r="20" spans="1:7" s="1" customFormat="1" ht="25.2" customHeight="1" thickTop="1">
      <c r="A20" s="221">
        <v>10</v>
      </c>
      <c r="B20" s="221">
        <v>15</v>
      </c>
      <c r="C20" s="503" t="s">
        <v>523</v>
      </c>
      <c r="D20" s="505"/>
      <c r="E20" s="473">
        <v>3200</v>
      </c>
      <c r="F20" s="379"/>
      <c r="G20" s="509"/>
    </row>
    <row r="21" spans="1:7" s="1" customFormat="1" ht="25.2" customHeight="1">
      <c r="A21" s="218">
        <v>10</v>
      </c>
      <c r="B21" s="213">
        <v>18</v>
      </c>
      <c r="C21" s="214" t="s">
        <v>524</v>
      </c>
      <c r="D21" s="215"/>
      <c r="E21" s="211">
        <v>1618</v>
      </c>
      <c r="F21" s="212"/>
      <c r="G21" s="213"/>
    </row>
    <row r="22" spans="1:7" s="1" customFormat="1" ht="25.5" customHeight="1">
      <c r="A22" s="219">
        <v>10</v>
      </c>
      <c r="B22" s="219">
        <v>19</v>
      </c>
      <c r="C22" s="220" t="s">
        <v>527</v>
      </c>
      <c r="D22" s="216"/>
      <c r="E22" s="98">
        <v>3000</v>
      </c>
      <c r="F22" s="131"/>
      <c r="G22" s="210"/>
    </row>
    <row r="23" spans="1:7" s="1" customFormat="1" ht="25.5" customHeight="1">
      <c r="A23" s="145">
        <v>10</v>
      </c>
      <c r="B23" s="146">
        <v>19</v>
      </c>
      <c r="C23" s="220" t="s">
        <v>528</v>
      </c>
      <c r="D23" s="134"/>
      <c r="E23" s="135">
        <v>600</v>
      </c>
      <c r="F23" s="147"/>
      <c r="G23" s="137"/>
    </row>
    <row r="24" spans="1:7" s="1" customFormat="1" ht="25.5" customHeight="1">
      <c r="A24" s="303">
        <v>10</v>
      </c>
      <c r="B24" s="304">
        <v>19</v>
      </c>
      <c r="C24" s="152" t="s">
        <v>529</v>
      </c>
      <c r="D24" s="139"/>
      <c r="E24" s="140">
        <v>3000</v>
      </c>
      <c r="F24" s="306"/>
      <c r="G24" s="305"/>
    </row>
    <row r="25" spans="1:7" s="1" customFormat="1" ht="25.5" customHeight="1">
      <c r="A25" s="141">
        <v>10</v>
      </c>
      <c r="B25" s="142">
        <v>25</v>
      </c>
      <c r="C25" s="217" t="s">
        <v>530</v>
      </c>
      <c r="D25" s="105"/>
      <c r="E25" s="98">
        <v>10000</v>
      </c>
      <c r="F25" s="131"/>
      <c r="G25" s="143"/>
    </row>
    <row r="26" spans="1:7" s="1" customFormat="1" ht="25.5" customHeight="1">
      <c r="A26" s="149">
        <v>10</v>
      </c>
      <c r="B26" s="150">
        <v>25</v>
      </c>
      <c r="C26" s="217" t="s">
        <v>525</v>
      </c>
      <c r="D26" s="134"/>
      <c r="E26" s="135">
        <v>4945</v>
      </c>
      <c r="F26" s="136"/>
      <c r="G26" s="151"/>
    </row>
    <row r="27" spans="1:7" s="1" customFormat="1" ht="25.5" customHeight="1" thickBot="1">
      <c r="A27" s="518">
        <v>10</v>
      </c>
      <c r="B27" s="520">
        <v>25</v>
      </c>
      <c r="C27" s="522" t="s">
        <v>526</v>
      </c>
      <c r="D27" s="524"/>
      <c r="E27" s="526">
        <v>2544</v>
      </c>
      <c r="F27" s="528">
        <v>28907</v>
      </c>
      <c r="G27" s="530"/>
    </row>
    <row r="28" spans="1:7" s="1" customFormat="1" ht="25.5" customHeight="1" thickTop="1">
      <c r="A28" s="517">
        <v>11</v>
      </c>
      <c r="B28" s="519">
        <v>28</v>
      </c>
      <c r="C28" s="521" t="s">
        <v>563</v>
      </c>
      <c r="D28" s="523"/>
      <c r="E28" s="525">
        <v>1306</v>
      </c>
      <c r="F28" s="527"/>
      <c r="G28" s="529"/>
    </row>
    <row r="29" spans="1:7" s="1" customFormat="1" ht="25.95" customHeight="1" thickBot="1">
      <c r="A29" s="546">
        <v>11</v>
      </c>
      <c r="B29" s="545">
        <v>28</v>
      </c>
      <c r="C29" s="537" t="s">
        <v>564</v>
      </c>
      <c r="D29" s="539"/>
      <c r="E29" s="541">
        <v>1500</v>
      </c>
      <c r="F29" s="542">
        <v>2860</v>
      </c>
      <c r="G29" s="544"/>
    </row>
    <row r="30" spans="1:7" s="1" customFormat="1" ht="25.2" customHeight="1" thickTop="1">
      <c r="A30" s="535">
        <v>12</v>
      </c>
      <c r="B30" s="536">
        <v>13</v>
      </c>
      <c r="C30" s="554" t="s">
        <v>578</v>
      </c>
      <c r="D30" s="538"/>
      <c r="E30" s="540">
        <v>10000</v>
      </c>
      <c r="F30" s="547"/>
      <c r="G30" s="543"/>
    </row>
    <row r="31" spans="1:7" s="1" customFormat="1" ht="25.2" customHeight="1" thickBot="1">
      <c r="A31" s="556">
        <v>12</v>
      </c>
      <c r="B31" s="555">
        <v>13</v>
      </c>
      <c r="C31" s="557" t="s">
        <v>579</v>
      </c>
      <c r="D31" s="558"/>
      <c r="E31" s="559">
        <v>300</v>
      </c>
      <c r="F31" s="560">
        <v>13000</v>
      </c>
      <c r="G31" s="561"/>
    </row>
    <row r="32" spans="1:7" s="1" customFormat="1" ht="25.2" customHeight="1" thickTop="1">
      <c r="A32" s="549"/>
      <c r="B32" s="548"/>
      <c r="C32" s="548"/>
      <c r="D32" s="550"/>
      <c r="E32" s="551"/>
      <c r="F32" s="552"/>
      <c r="G32" s="553"/>
    </row>
    <row r="33" spans="1:7" s="1" customFormat="1" ht="25.2" customHeight="1">
      <c r="A33" s="311"/>
      <c r="B33" s="312"/>
      <c r="C33" s="310"/>
      <c r="D33" s="309"/>
      <c r="E33" s="308"/>
      <c r="F33" s="307"/>
      <c r="G33" s="210"/>
    </row>
    <row r="34" spans="1:7" s="1" customFormat="1" ht="25.2" customHeight="1">
      <c r="A34" s="60"/>
      <c r="B34" s="61"/>
      <c r="C34" s="62"/>
      <c r="D34" s="106"/>
      <c r="E34" s="99"/>
      <c r="F34" s="114"/>
      <c r="G34" s="63"/>
    </row>
    <row r="35" spans="1:7" s="1" customFormat="1" ht="25.2" customHeight="1">
      <c r="A35" s="60"/>
      <c r="B35" s="61"/>
      <c r="C35" s="62"/>
      <c r="D35" s="106"/>
      <c r="E35" s="99"/>
      <c r="F35" s="114"/>
      <c r="G35" s="65"/>
    </row>
    <row r="36" spans="1:7" s="1" customFormat="1" ht="25.2" customHeight="1">
      <c r="A36" s="60"/>
      <c r="B36" s="61"/>
      <c r="C36" s="62"/>
      <c r="D36" s="106"/>
      <c r="E36" s="99"/>
      <c r="F36" s="115"/>
      <c r="G36" s="65"/>
    </row>
    <row r="37" spans="1:7" s="1" customFormat="1" ht="25.2" customHeight="1">
      <c r="A37" s="319"/>
      <c r="B37" s="313"/>
      <c r="C37" s="318"/>
      <c r="D37" s="314"/>
      <c r="E37" s="315"/>
      <c r="F37" s="316"/>
      <c r="G37" s="317"/>
    </row>
    <row r="38" spans="1:7" s="1" customFormat="1" ht="25.95" customHeight="1">
      <c r="A38" s="311"/>
      <c r="B38" s="320"/>
      <c r="C38" s="144"/>
      <c r="D38" s="321"/>
      <c r="E38" s="308"/>
      <c r="F38" s="307"/>
      <c r="G38" s="322"/>
    </row>
    <row r="39" spans="1:7" s="1" customFormat="1" ht="25.2" customHeight="1">
      <c r="A39" s="60"/>
      <c r="B39" s="66"/>
      <c r="C39" s="58"/>
      <c r="D39" s="107"/>
      <c r="E39" s="99"/>
      <c r="F39" s="114"/>
      <c r="G39" s="67"/>
    </row>
    <row r="40" spans="1:7" s="1" customFormat="1" ht="25.2" customHeight="1">
      <c r="A40" s="60"/>
      <c r="B40" s="66"/>
      <c r="C40" s="58"/>
      <c r="D40" s="107"/>
      <c r="E40" s="99"/>
      <c r="F40" s="114"/>
      <c r="G40" s="67"/>
    </row>
    <row r="41" spans="1:7" s="1" customFormat="1" ht="25.2" customHeight="1">
      <c r="A41" s="60"/>
      <c r="B41" s="66"/>
      <c r="C41" s="58"/>
      <c r="D41" s="107"/>
      <c r="E41" s="99"/>
      <c r="F41" s="114"/>
      <c r="G41" s="67"/>
    </row>
    <row r="42" spans="1:7" s="1" customFormat="1" ht="25.2" customHeight="1">
      <c r="A42" s="60"/>
      <c r="B42" s="66"/>
      <c r="C42" s="58"/>
      <c r="D42" s="107"/>
      <c r="E42" s="99"/>
      <c r="F42" s="114"/>
      <c r="G42" s="67"/>
    </row>
    <row r="43" spans="1:7" s="1" customFormat="1" ht="25.2" customHeight="1">
      <c r="A43" s="60"/>
      <c r="B43" s="61"/>
      <c r="C43" s="68"/>
      <c r="D43" s="106"/>
      <c r="E43" s="99"/>
      <c r="F43" s="114"/>
      <c r="G43" s="63"/>
    </row>
    <row r="44" spans="1:7" s="1" customFormat="1" ht="25.2" customHeight="1">
      <c r="A44" s="60"/>
      <c r="B44" s="61"/>
      <c r="C44" s="62"/>
      <c r="D44" s="106"/>
      <c r="E44" s="99"/>
      <c r="F44" s="115"/>
      <c r="G44" s="65"/>
    </row>
    <row r="45" spans="1:7" s="1" customFormat="1" ht="25.95" customHeight="1">
      <c r="A45" s="319"/>
      <c r="B45" s="313"/>
      <c r="C45" s="318"/>
      <c r="D45" s="314"/>
      <c r="E45" s="315"/>
      <c r="F45" s="316"/>
      <c r="G45" s="317"/>
    </row>
    <row r="46" spans="1:7" s="1" customFormat="1" ht="25.95" customHeight="1">
      <c r="A46" s="323"/>
      <c r="B46" s="324"/>
      <c r="C46" s="325"/>
      <c r="D46" s="309"/>
      <c r="E46" s="308"/>
      <c r="F46" s="307"/>
      <c r="G46" s="322"/>
    </row>
    <row r="47" spans="1:7" s="1" customFormat="1" ht="25.2" customHeight="1">
      <c r="A47" s="60"/>
      <c r="B47" s="61"/>
      <c r="C47" s="69"/>
      <c r="D47" s="106"/>
      <c r="E47" s="99"/>
      <c r="F47" s="114"/>
      <c r="G47" s="63"/>
    </row>
    <row r="48" spans="1:7" s="1" customFormat="1" ht="25.2" customHeight="1">
      <c r="A48" s="60"/>
      <c r="B48" s="66"/>
      <c r="C48" s="59"/>
      <c r="D48" s="107"/>
      <c r="E48" s="99"/>
      <c r="F48" s="114"/>
      <c r="G48" s="65"/>
    </row>
    <row r="49" spans="1:7" s="1" customFormat="1" ht="25.2" customHeight="1">
      <c r="A49" s="60"/>
      <c r="B49" s="66"/>
      <c r="C49" s="59"/>
      <c r="D49" s="107"/>
      <c r="E49" s="99"/>
      <c r="F49" s="114"/>
      <c r="G49" s="65"/>
    </row>
    <row r="50" spans="1:7" s="1" customFormat="1" ht="25.2" customHeight="1">
      <c r="A50" s="60"/>
      <c r="B50" s="66"/>
      <c r="C50" s="59"/>
      <c r="D50" s="107"/>
      <c r="E50" s="99"/>
      <c r="F50" s="114"/>
      <c r="G50" s="65"/>
    </row>
    <row r="51" spans="1:7" s="1" customFormat="1" ht="25.2" customHeight="1">
      <c r="A51" s="60"/>
      <c r="B51" s="66"/>
      <c r="C51" s="59"/>
      <c r="D51" s="107"/>
      <c r="E51" s="99"/>
      <c r="F51" s="114"/>
      <c r="G51" s="65"/>
    </row>
    <row r="52" spans="1:7" ht="25.2" customHeight="1">
      <c r="A52" s="60"/>
      <c r="B52" s="66"/>
      <c r="C52" s="59"/>
      <c r="D52" s="107"/>
      <c r="E52" s="99"/>
      <c r="F52" s="115"/>
      <c r="G52" s="65"/>
    </row>
    <row r="53" spans="1:7" ht="25.2" customHeight="1">
      <c r="A53" s="319"/>
      <c r="B53" s="313"/>
      <c r="C53" s="328"/>
      <c r="D53" s="314"/>
      <c r="E53" s="315"/>
      <c r="F53" s="331"/>
      <c r="G53" s="317"/>
    </row>
    <row r="54" spans="1:7" ht="25.2" customHeight="1">
      <c r="A54" s="326"/>
      <c r="B54" s="329"/>
      <c r="C54" s="327"/>
      <c r="D54" s="309"/>
      <c r="E54" s="308"/>
      <c r="F54" s="330"/>
      <c r="G54" s="332"/>
    </row>
    <row r="55" spans="1:7" ht="25.2" customHeight="1">
      <c r="A55" s="60"/>
      <c r="B55" s="61"/>
      <c r="C55" s="70"/>
      <c r="D55" s="106"/>
      <c r="E55" s="99"/>
      <c r="F55" s="115"/>
      <c r="G55" s="65"/>
    </row>
    <row r="56" spans="1:7" ht="25.2" customHeight="1">
      <c r="A56" s="60"/>
      <c r="B56" s="61"/>
      <c r="C56" s="70"/>
      <c r="D56" s="106"/>
      <c r="E56" s="99"/>
      <c r="F56" s="115"/>
      <c r="G56" s="65"/>
    </row>
    <row r="57" spans="1:7" ht="25.2" customHeight="1">
      <c r="A57" s="60"/>
      <c r="B57" s="61"/>
      <c r="C57" s="71"/>
      <c r="D57" s="106"/>
      <c r="E57" s="99"/>
      <c r="F57" s="115"/>
      <c r="G57" s="65"/>
    </row>
    <row r="58" spans="1:7" ht="25.2" customHeight="1">
      <c r="A58" s="60"/>
      <c r="B58" s="61"/>
      <c r="C58" s="70"/>
      <c r="D58" s="106"/>
      <c r="E58" s="99"/>
      <c r="F58" s="115"/>
      <c r="G58" s="65"/>
    </row>
    <row r="59" spans="1:7" ht="25.2" customHeight="1">
      <c r="A59" s="60"/>
      <c r="B59" s="61"/>
      <c r="C59" s="71"/>
      <c r="D59" s="106"/>
      <c r="E59" s="99"/>
      <c r="F59" s="115"/>
      <c r="G59" s="65"/>
    </row>
    <row r="60" spans="1:7" ht="25.2" customHeight="1">
      <c r="A60" s="60"/>
      <c r="B60" s="61"/>
      <c r="C60" s="64"/>
      <c r="D60" s="106"/>
      <c r="E60" s="99"/>
      <c r="F60" s="115"/>
      <c r="G60" s="65"/>
    </row>
    <row r="61" spans="1:7" ht="25.2" customHeight="1">
      <c r="A61" s="60"/>
      <c r="B61" s="61"/>
      <c r="C61" s="64"/>
      <c r="D61" s="106"/>
      <c r="E61" s="99"/>
      <c r="F61" s="115"/>
      <c r="G61" s="65"/>
    </row>
    <row r="62" spans="1:7" ht="25.95" customHeight="1">
      <c r="A62" s="319"/>
      <c r="B62" s="313"/>
      <c r="C62" s="318"/>
      <c r="D62" s="314"/>
      <c r="E62" s="315"/>
      <c r="F62" s="316"/>
      <c r="G62" s="317"/>
    </row>
    <row r="63" spans="1:7" ht="25.95" customHeight="1">
      <c r="A63" s="336"/>
      <c r="B63" s="337"/>
      <c r="C63" s="325"/>
      <c r="D63" s="335"/>
      <c r="E63" s="334"/>
      <c r="F63" s="333"/>
      <c r="G63" s="332"/>
    </row>
    <row r="64" spans="1:7" ht="25.95" customHeight="1">
      <c r="A64" s="72"/>
      <c r="B64" s="73"/>
      <c r="C64" s="74"/>
      <c r="D64" s="108"/>
      <c r="E64" s="100"/>
      <c r="F64" s="116"/>
      <c r="G64" s="75"/>
    </row>
    <row r="65" spans="1:7" ht="25.95" customHeight="1">
      <c r="A65" s="72"/>
      <c r="B65" s="73"/>
      <c r="C65" s="74"/>
      <c r="D65" s="108"/>
      <c r="E65" s="100"/>
      <c r="F65" s="116"/>
      <c r="G65" s="75"/>
    </row>
    <row r="66" spans="1:7" ht="25.95" customHeight="1">
      <c r="A66" s="72"/>
      <c r="B66" s="76"/>
      <c r="C66" s="74"/>
      <c r="D66" s="109"/>
      <c r="E66" s="100"/>
      <c r="F66" s="116"/>
      <c r="G66" s="75"/>
    </row>
    <row r="67" spans="1:7" ht="25.95" customHeight="1">
      <c r="A67" s="72"/>
      <c r="B67" s="77"/>
      <c r="C67" s="78"/>
      <c r="D67" s="110"/>
      <c r="E67" s="100"/>
      <c r="F67" s="116"/>
      <c r="G67" s="75"/>
    </row>
    <row r="68" spans="1:7" ht="25.95" customHeight="1">
      <c r="A68" s="72"/>
      <c r="B68" s="77"/>
      <c r="C68" s="78"/>
      <c r="D68" s="110"/>
      <c r="E68" s="100"/>
      <c r="F68" s="116"/>
      <c r="G68" s="75"/>
    </row>
    <row r="69" spans="1:7" ht="25.95" customHeight="1">
      <c r="A69" s="79"/>
      <c r="B69" s="80"/>
      <c r="C69" s="81"/>
      <c r="D69" s="110"/>
      <c r="E69" s="100"/>
      <c r="F69" s="116"/>
      <c r="G69" s="75"/>
    </row>
    <row r="70" spans="1:7" ht="25.95" customHeight="1">
      <c r="A70" s="80"/>
      <c r="B70" s="80"/>
      <c r="C70" s="74"/>
      <c r="D70" s="109"/>
      <c r="E70" s="100"/>
      <c r="F70" s="116"/>
      <c r="G70" s="75"/>
    </row>
    <row r="71" spans="1:7" ht="25.95" customHeight="1">
      <c r="A71" s="339"/>
      <c r="B71" s="340"/>
      <c r="C71" s="342"/>
      <c r="D71" s="344"/>
      <c r="E71" s="346"/>
      <c r="F71" s="350"/>
      <c r="G71" s="348"/>
    </row>
    <row r="72" spans="1:7" ht="25.95" customHeight="1">
      <c r="A72" s="338"/>
      <c r="B72" s="338"/>
      <c r="C72" s="341"/>
      <c r="D72" s="343"/>
      <c r="E72" s="345"/>
      <c r="F72" s="349"/>
      <c r="G72" s="347"/>
    </row>
    <row r="73" spans="1:7" ht="25.2" customHeight="1">
      <c r="A73" s="82"/>
      <c r="B73" s="82"/>
      <c r="C73" s="83"/>
      <c r="D73" s="111"/>
      <c r="E73" s="101"/>
      <c r="F73" s="117"/>
      <c r="G73" s="84"/>
    </row>
  </sheetData>
  <phoneticPr fontId="2" type="noConversion"/>
  <pageMargins left="0.75" right="0.75" top="1" bottom="1" header="0.5" footer="0.5"/>
  <pageSetup scale="34" orientation="portrait" r:id="rId1"/>
  <headerFooter>
    <oddHeader>&amp;C&amp;"Helvetica Neue,Regular"&amp;12&amp;K000000108年 比賽費用支出表</oddHead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>
    <pageSetUpPr fitToPage="1"/>
  </sheetPr>
  <dimension ref="A1:IV168"/>
  <sheetViews>
    <sheetView showGridLines="0" showRuler="0" topLeftCell="C1" zoomScale="99" zoomScaleNormal="99" workbookViewId="0">
      <pane ySplit="1" topLeftCell="A113" activePane="bottomLeft" state="frozen"/>
      <selection pane="bottomLeft" activeCell="Q119" sqref="Q119"/>
    </sheetView>
  </sheetViews>
  <sheetFormatPr defaultColWidth="8.81640625" defaultRowHeight="16.5" customHeight="1"/>
  <cols>
    <col min="1" max="1" width="5" style="43" customWidth="1"/>
    <col min="2" max="2" width="5.08984375" style="43" customWidth="1"/>
    <col min="3" max="3" width="5.6328125" style="43" customWidth="1"/>
    <col min="4" max="4" width="10" style="167" customWidth="1"/>
    <col min="5" max="5" width="8.81640625" style="50" customWidth="1"/>
    <col min="6" max="6" width="9.6328125" style="188" customWidth="1"/>
    <col min="7" max="7" width="9.453125" style="48" customWidth="1"/>
    <col min="8" max="8" width="9.81640625" style="48" customWidth="1"/>
    <col min="9" max="9" width="9.6328125" style="48" customWidth="1"/>
    <col min="10" max="10" width="9.81640625" style="48" customWidth="1"/>
    <col min="11" max="11" width="11.08984375" style="48" customWidth="1"/>
    <col min="12" max="13" width="9.90625" style="48" customWidth="1"/>
    <col min="14" max="14" width="9.453125" style="48" customWidth="1"/>
    <col min="15" max="15" width="10.08984375" style="48" customWidth="1"/>
    <col min="16" max="16" width="10.54296875" style="48" customWidth="1"/>
    <col min="17" max="17" width="12.1796875" style="48" customWidth="1"/>
    <col min="18" max="18" width="14.08984375" style="43" customWidth="1"/>
    <col min="19" max="256" width="8.81640625" style="43" customWidth="1"/>
    <col min="257" max="16384" width="8.81640625" style="47"/>
  </cols>
  <sheetData>
    <row r="1" spans="1:18" s="167" customFormat="1" ht="23.25" customHeight="1">
      <c r="A1" s="40" t="s">
        <v>34</v>
      </c>
      <c r="B1" s="40" t="s">
        <v>55</v>
      </c>
      <c r="C1" s="163" t="s">
        <v>125</v>
      </c>
      <c r="D1" s="40" t="s">
        <v>35</v>
      </c>
      <c r="E1" s="41" t="s">
        <v>36</v>
      </c>
      <c r="F1" s="186" t="s">
        <v>63</v>
      </c>
      <c r="G1" s="41" t="s">
        <v>278</v>
      </c>
      <c r="H1" s="41" t="s">
        <v>71</v>
      </c>
      <c r="I1" s="41" t="s">
        <v>64</v>
      </c>
      <c r="J1" s="41" t="s">
        <v>65</v>
      </c>
      <c r="K1" s="41" t="s">
        <v>66</v>
      </c>
      <c r="L1" s="41" t="s">
        <v>118</v>
      </c>
      <c r="M1" s="41" t="s">
        <v>119</v>
      </c>
      <c r="N1" s="41" t="s">
        <v>42</v>
      </c>
      <c r="O1" s="41" t="s">
        <v>43</v>
      </c>
      <c r="P1" s="41" t="s">
        <v>44</v>
      </c>
      <c r="Q1" s="41" t="s">
        <v>45</v>
      </c>
      <c r="R1" s="44" t="s">
        <v>107</v>
      </c>
    </row>
    <row r="2" spans="1:18" s="43" customFormat="1" ht="23.25" customHeight="1">
      <c r="A2" s="40"/>
      <c r="B2" s="40"/>
      <c r="C2" s="163" t="s">
        <v>161</v>
      </c>
      <c r="D2" s="180" t="s">
        <v>84</v>
      </c>
      <c r="E2" s="189">
        <v>1500</v>
      </c>
      <c r="F2" s="189"/>
      <c r="G2" s="182">
        <v>1700</v>
      </c>
      <c r="H2" s="182">
        <v>2500</v>
      </c>
      <c r="I2" s="182">
        <v>2500</v>
      </c>
      <c r="J2" s="182" t="s">
        <v>317</v>
      </c>
      <c r="K2" s="189" t="s">
        <v>334</v>
      </c>
      <c r="L2" s="189" t="s">
        <v>334</v>
      </c>
      <c r="M2" s="189" t="s">
        <v>334</v>
      </c>
      <c r="N2" s="189" t="s">
        <v>334</v>
      </c>
      <c r="O2" s="189" t="s">
        <v>334</v>
      </c>
      <c r="P2" s="189" t="s">
        <v>334</v>
      </c>
      <c r="Q2" s="189" t="s">
        <v>334</v>
      </c>
      <c r="R2" s="45">
        <f t="shared" ref="R2:R16" si="0">SUM(E2:Q2)</f>
        <v>8200</v>
      </c>
    </row>
    <row r="3" spans="1:18" s="43" customFormat="1" ht="23.25" customHeight="1">
      <c r="A3" s="40"/>
      <c r="B3" s="46"/>
      <c r="C3" s="163" t="s">
        <v>162</v>
      </c>
      <c r="D3" s="223" t="s">
        <v>199</v>
      </c>
      <c r="E3" s="189">
        <v>1500</v>
      </c>
      <c r="F3" s="189">
        <v>3500</v>
      </c>
      <c r="G3" s="182">
        <v>1300</v>
      </c>
      <c r="H3" s="182">
        <v>2500</v>
      </c>
      <c r="I3" s="182">
        <v>2500</v>
      </c>
      <c r="J3" s="182" t="s">
        <v>317</v>
      </c>
      <c r="K3" s="189" t="s">
        <v>334</v>
      </c>
      <c r="L3" s="189" t="s">
        <v>334</v>
      </c>
      <c r="M3" s="189" t="s">
        <v>334</v>
      </c>
      <c r="N3" s="189" t="s">
        <v>334</v>
      </c>
      <c r="O3" s="189" t="s">
        <v>334</v>
      </c>
      <c r="P3" s="189" t="s">
        <v>334</v>
      </c>
      <c r="Q3" s="189" t="s">
        <v>334</v>
      </c>
      <c r="R3" s="45">
        <v>8800</v>
      </c>
    </row>
    <row r="4" spans="1:18" s="43" customFormat="1" ht="23.25" customHeight="1">
      <c r="A4" s="40"/>
      <c r="B4" s="40"/>
      <c r="C4" s="163" t="s">
        <v>163</v>
      </c>
      <c r="D4" s="223" t="s">
        <v>46</v>
      </c>
      <c r="E4" s="189">
        <v>1500</v>
      </c>
      <c r="F4" s="189">
        <v>3500</v>
      </c>
      <c r="G4" s="182">
        <v>1300</v>
      </c>
      <c r="H4" s="182">
        <v>2500</v>
      </c>
      <c r="I4" s="182">
        <v>2500</v>
      </c>
      <c r="J4" s="182" t="s">
        <v>317</v>
      </c>
      <c r="K4" s="189" t="s">
        <v>334</v>
      </c>
      <c r="L4" s="189" t="s">
        <v>334</v>
      </c>
      <c r="M4" s="189" t="s">
        <v>334</v>
      </c>
      <c r="N4" s="189" t="s">
        <v>334</v>
      </c>
      <c r="O4" s="189" t="s">
        <v>334</v>
      </c>
      <c r="P4" s="189" t="s">
        <v>334</v>
      </c>
      <c r="Q4" s="189" t="s">
        <v>334</v>
      </c>
      <c r="R4" s="45">
        <v>8800</v>
      </c>
    </row>
    <row r="5" spans="1:18" s="43" customFormat="1" ht="23.25" customHeight="1">
      <c r="A5" s="40"/>
      <c r="B5" s="46"/>
      <c r="C5" s="163" t="s">
        <v>164</v>
      </c>
      <c r="D5" s="223" t="s">
        <v>56</v>
      </c>
      <c r="E5" s="189">
        <v>1500</v>
      </c>
      <c r="F5" s="189">
        <v>3500</v>
      </c>
      <c r="G5" s="182">
        <v>1300</v>
      </c>
      <c r="H5" s="182">
        <v>2500</v>
      </c>
      <c r="I5" s="182">
        <v>2500</v>
      </c>
      <c r="J5" s="182" t="s">
        <v>317</v>
      </c>
      <c r="K5" s="189" t="s">
        <v>334</v>
      </c>
      <c r="L5" s="189" t="s">
        <v>334</v>
      </c>
      <c r="M5" s="189" t="s">
        <v>334</v>
      </c>
      <c r="N5" s="189" t="s">
        <v>334</v>
      </c>
      <c r="O5" s="189" t="s">
        <v>334</v>
      </c>
      <c r="P5" s="189" t="s">
        <v>334</v>
      </c>
      <c r="Q5" s="189" t="s">
        <v>334</v>
      </c>
      <c r="R5" s="45">
        <v>8800</v>
      </c>
    </row>
    <row r="6" spans="1:18" s="43" customFormat="1" ht="23.25" customHeight="1">
      <c r="A6" s="40"/>
      <c r="B6" s="40"/>
      <c r="C6" s="163" t="s">
        <v>165</v>
      </c>
      <c r="D6" s="223" t="s">
        <v>57</v>
      </c>
      <c r="E6" s="189">
        <v>1500</v>
      </c>
      <c r="F6" s="189">
        <v>3500</v>
      </c>
      <c r="G6" s="182">
        <v>1300</v>
      </c>
      <c r="H6" s="182">
        <v>2500</v>
      </c>
      <c r="I6" s="182">
        <v>2500</v>
      </c>
      <c r="J6" s="182" t="s">
        <v>317</v>
      </c>
      <c r="K6" s="189" t="s">
        <v>334</v>
      </c>
      <c r="L6" s="189" t="s">
        <v>334</v>
      </c>
      <c r="M6" s="189" t="s">
        <v>334</v>
      </c>
      <c r="N6" s="189" t="s">
        <v>334</v>
      </c>
      <c r="O6" s="189" t="s">
        <v>334</v>
      </c>
      <c r="P6" s="189" t="s">
        <v>334</v>
      </c>
      <c r="Q6" s="189" t="s">
        <v>334</v>
      </c>
      <c r="R6" s="45">
        <f t="shared" si="0"/>
        <v>11300</v>
      </c>
    </row>
    <row r="7" spans="1:18" s="43" customFormat="1" ht="22.95" customHeight="1">
      <c r="A7" s="40"/>
      <c r="B7" s="40"/>
      <c r="C7" s="163" t="s">
        <v>166</v>
      </c>
      <c r="D7" s="180" t="s">
        <v>61</v>
      </c>
      <c r="E7" s="189" t="s">
        <v>200</v>
      </c>
      <c r="F7" s="189" t="s">
        <v>206</v>
      </c>
      <c r="G7" s="182">
        <v>1300</v>
      </c>
      <c r="H7" s="283">
        <v>2500</v>
      </c>
      <c r="I7" s="270">
        <v>2500</v>
      </c>
      <c r="J7" s="182" t="s">
        <v>317</v>
      </c>
      <c r="K7" s="189" t="s">
        <v>334</v>
      </c>
      <c r="L7" s="189" t="s">
        <v>334</v>
      </c>
      <c r="M7" s="189" t="s">
        <v>334</v>
      </c>
      <c r="N7" s="189" t="s">
        <v>334</v>
      </c>
      <c r="O7" s="189" t="s">
        <v>334</v>
      </c>
      <c r="P7" s="189" t="s">
        <v>334</v>
      </c>
      <c r="Q7" s="189" t="s">
        <v>334</v>
      </c>
      <c r="R7" s="45">
        <f t="shared" si="0"/>
        <v>6300</v>
      </c>
    </row>
    <row r="8" spans="1:18" s="43" customFormat="1" ht="23.25" customHeight="1">
      <c r="A8" s="40"/>
      <c r="B8" s="40"/>
      <c r="C8" s="163" t="s">
        <v>167</v>
      </c>
      <c r="D8" s="180" t="s">
        <v>81</v>
      </c>
      <c r="E8" s="189">
        <v>1500</v>
      </c>
      <c r="F8" s="189">
        <v>3500</v>
      </c>
      <c r="G8" s="182">
        <v>1300</v>
      </c>
      <c r="H8" s="182">
        <v>2500</v>
      </c>
      <c r="I8" s="182">
        <v>2500</v>
      </c>
      <c r="J8" s="182" t="s">
        <v>317</v>
      </c>
      <c r="K8" s="189" t="s">
        <v>334</v>
      </c>
      <c r="L8" s="189" t="s">
        <v>334</v>
      </c>
      <c r="M8" s="189" t="s">
        <v>334</v>
      </c>
      <c r="N8" s="189" t="s">
        <v>334</v>
      </c>
      <c r="O8" s="189" t="s">
        <v>334</v>
      </c>
      <c r="P8" s="189" t="s">
        <v>334</v>
      </c>
      <c r="Q8" s="189" t="s">
        <v>334</v>
      </c>
      <c r="R8" s="45">
        <f t="shared" si="0"/>
        <v>11300</v>
      </c>
    </row>
    <row r="9" spans="1:18" s="43" customFormat="1" ht="23.25" customHeight="1">
      <c r="A9" s="40"/>
      <c r="B9" s="40"/>
      <c r="C9" s="163" t="s">
        <v>168</v>
      </c>
      <c r="D9" s="180" t="s">
        <v>83</v>
      </c>
      <c r="E9" s="189">
        <v>1500</v>
      </c>
      <c r="F9" s="265" t="s">
        <v>261</v>
      </c>
      <c r="G9" s="182">
        <v>2500</v>
      </c>
      <c r="H9" s="182">
        <v>2500</v>
      </c>
      <c r="I9" s="182">
        <v>2500</v>
      </c>
      <c r="J9" s="182" t="s">
        <v>317</v>
      </c>
      <c r="K9" s="189" t="s">
        <v>334</v>
      </c>
      <c r="L9" s="189" t="s">
        <v>334</v>
      </c>
      <c r="M9" s="189" t="s">
        <v>334</v>
      </c>
      <c r="N9" s="189" t="s">
        <v>334</v>
      </c>
      <c r="O9" s="189" t="s">
        <v>334</v>
      </c>
      <c r="P9" s="189" t="s">
        <v>334</v>
      </c>
      <c r="Q9" s="189" t="s">
        <v>334</v>
      </c>
      <c r="R9" s="45">
        <f t="shared" si="0"/>
        <v>9000</v>
      </c>
    </row>
    <row r="10" spans="1:18" s="43" customFormat="1" ht="23.25" customHeight="1">
      <c r="A10" s="40"/>
      <c r="B10" s="40"/>
      <c r="C10" s="163" t="s">
        <v>169</v>
      </c>
      <c r="D10" s="180" t="s">
        <v>105</v>
      </c>
      <c r="E10" s="189">
        <v>1500</v>
      </c>
      <c r="F10" s="189">
        <v>3500</v>
      </c>
      <c r="G10" s="182">
        <v>1300</v>
      </c>
      <c r="H10" s="182">
        <v>2500</v>
      </c>
      <c r="I10" s="182">
        <v>2500</v>
      </c>
      <c r="J10" s="182" t="s">
        <v>317</v>
      </c>
      <c r="K10" s="189" t="s">
        <v>334</v>
      </c>
      <c r="L10" s="189" t="s">
        <v>334</v>
      </c>
      <c r="M10" s="189" t="s">
        <v>334</v>
      </c>
      <c r="N10" s="189" t="s">
        <v>334</v>
      </c>
      <c r="O10" s="189" t="s">
        <v>334</v>
      </c>
      <c r="P10" s="189" t="s">
        <v>334</v>
      </c>
      <c r="Q10" s="189" t="s">
        <v>334</v>
      </c>
      <c r="R10" s="45">
        <f>SUM(E10:Q10)</f>
        <v>11300</v>
      </c>
    </row>
    <row r="11" spans="1:18" s="43" customFormat="1" ht="23.25" customHeight="1">
      <c r="A11" s="40"/>
      <c r="B11" s="40"/>
      <c r="C11" s="163" t="s">
        <v>170</v>
      </c>
      <c r="D11" s="180" t="s">
        <v>87</v>
      </c>
      <c r="E11" s="189">
        <v>1500</v>
      </c>
      <c r="F11" s="189">
        <v>3500</v>
      </c>
      <c r="G11" s="182">
        <v>1300</v>
      </c>
      <c r="H11" s="182">
        <v>2500</v>
      </c>
      <c r="I11" s="182">
        <v>2500</v>
      </c>
      <c r="J11" s="182" t="s">
        <v>317</v>
      </c>
      <c r="K11" s="189" t="s">
        <v>334</v>
      </c>
      <c r="L11" s="189" t="s">
        <v>334</v>
      </c>
      <c r="M11" s="189" t="s">
        <v>334</v>
      </c>
      <c r="N11" s="189" t="s">
        <v>334</v>
      </c>
      <c r="O11" s="189" t="s">
        <v>334</v>
      </c>
      <c r="P11" s="189" t="s">
        <v>334</v>
      </c>
      <c r="Q11" s="189" t="s">
        <v>334</v>
      </c>
      <c r="R11" s="45">
        <f t="shared" si="0"/>
        <v>11300</v>
      </c>
    </row>
    <row r="12" spans="1:18" s="43" customFormat="1" ht="23.25" customHeight="1">
      <c r="A12" s="40"/>
      <c r="B12" s="42"/>
      <c r="C12" s="163" t="s">
        <v>171</v>
      </c>
      <c r="D12" s="223" t="s">
        <v>47</v>
      </c>
      <c r="E12" s="189">
        <v>1500</v>
      </c>
      <c r="F12" s="189">
        <v>3500</v>
      </c>
      <c r="G12" s="182">
        <v>1300</v>
      </c>
      <c r="H12" s="182">
        <v>2500</v>
      </c>
      <c r="I12" s="182">
        <v>2500</v>
      </c>
      <c r="J12" s="182">
        <v>2500</v>
      </c>
      <c r="K12" s="182">
        <v>2500</v>
      </c>
      <c r="L12" s="182">
        <v>5000</v>
      </c>
      <c r="M12" s="182">
        <v>5000</v>
      </c>
      <c r="N12" s="182">
        <v>2800</v>
      </c>
      <c r="O12" s="182">
        <v>2500</v>
      </c>
      <c r="P12" s="182">
        <v>2500</v>
      </c>
      <c r="Q12" s="182">
        <v>3000</v>
      </c>
      <c r="R12" s="45">
        <f>SUM(E12:Q12)</f>
        <v>37100</v>
      </c>
    </row>
    <row r="13" spans="1:18" s="43" customFormat="1" ht="23.25" customHeight="1">
      <c r="A13" s="40"/>
      <c r="B13" s="40"/>
      <c r="C13" s="163" t="s">
        <v>172</v>
      </c>
      <c r="D13" s="223" t="s">
        <v>58</v>
      </c>
      <c r="E13" s="189">
        <v>1500</v>
      </c>
      <c r="F13" s="189" t="s">
        <v>229</v>
      </c>
      <c r="G13" s="182">
        <v>1300</v>
      </c>
      <c r="H13" s="182">
        <v>2500</v>
      </c>
      <c r="I13" s="182">
        <v>2500</v>
      </c>
      <c r="J13" s="182">
        <v>2500</v>
      </c>
      <c r="K13" s="182">
        <v>2500</v>
      </c>
      <c r="L13" s="182">
        <v>5000</v>
      </c>
      <c r="M13" s="182" t="s">
        <v>200</v>
      </c>
      <c r="N13" s="182" t="s">
        <v>290</v>
      </c>
      <c r="O13" s="182" t="s">
        <v>290</v>
      </c>
      <c r="P13" s="182" t="s">
        <v>290</v>
      </c>
      <c r="Q13" s="182" t="s">
        <v>290</v>
      </c>
      <c r="R13" s="45">
        <f t="shared" si="0"/>
        <v>17800</v>
      </c>
    </row>
    <row r="14" spans="1:18" s="43" customFormat="1" ht="23.25" customHeight="1">
      <c r="A14" s="40"/>
      <c r="B14" s="40"/>
      <c r="C14" s="163" t="s">
        <v>126</v>
      </c>
      <c r="D14" s="285" t="s">
        <v>59</v>
      </c>
      <c r="E14" s="189">
        <v>1500</v>
      </c>
      <c r="F14" s="189">
        <v>3500</v>
      </c>
      <c r="G14" s="182">
        <v>1100</v>
      </c>
      <c r="H14" s="182">
        <v>2400</v>
      </c>
      <c r="I14" s="182">
        <v>2400</v>
      </c>
      <c r="J14" s="182">
        <v>2400</v>
      </c>
      <c r="K14" s="182">
        <v>2400</v>
      </c>
      <c r="L14" s="182">
        <v>5000</v>
      </c>
      <c r="M14" s="182">
        <v>5000</v>
      </c>
      <c r="N14" s="182">
        <v>2700</v>
      </c>
      <c r="O14" s="182">
        <v>2400</v>
      </c>
      <c r="P14" s="182">
        <v>2400</v>
      </c>
      <c r="Q14" s="182">
        <v>2900</v>
      </c>
      <c r="R14" s="45">
        <f t="shared" si="0"/>
        <v>36100</v>
      </c>
    </row>
    <row r="15" spans="1:18" s="43" customFormat="1" ht="23.25" customHeight="1">
      <c r="A15" s="40"/>
      <c r="B15" s="40"/>
      <c r="C15" s="163" t="s">
        <v>127</v>
      </c>
      <c r="D15" s="285" t="s">
        <v>73</v>
      </c>
      <c r="E15" s="189">
        <v>1400</v>
      </c>
      <c r="F15" s="189">
        <v>3500</v>
      </c>
      <c r="G15" s="182">
        <v>1200</v>
      </c>
      <c r="H15" s="281" t="s">
        <v>296</v>
      </c>
      <c r="I15" s="270">
        <v>4800</v>
      </c>
      <c r="J15" s="270">
        <v>2400</v>
      </c>
      <c r="K15" s="270">
        <v>2400</v>
      </c>
      <c r="L15" s="270">
        <v>5000</v>
      </c>
      <c r="M15" s="270">
        <v>5000</v>
      </c>
      <c r="N15" s="270">
        <v>2700</v>
      </c>
      <c r="O15" s="270">
        <v>2400</v>
      </c>
      <c r="P15" s="270">
        <v>2400</v>
      </c>
      <c r="Q15" s="270">
        <v>2900</v>
      </c>
      <c r="R15" s="45">
        <f t="shared" si="0"/>
        <v>36100</v>
      </c>
    </row>
    <row r="16" spans="1:18" s="43" customFormat="1" ht="23.25" customHeight="1">
      <c r="A16" s="40"/>
      <c r="B16" s="40"/>
      <c r="C16" s="163" t="s">
        <v>128</v>
      </c>
      <c r="D16" s="180" t="s">
        <v>62</v>
      </c>
      <c r="E16" s="189">
        <v>1500</v>
      </c>
      <c r="F16" s="189">
        <v>3500</v>
      </c>
      <c r="G16" s="182">
        <v>1800</v>
      </c>
      <c r="H16" s="182">
        <v>2000</v>
      </c>
      <c r="I16" s="270">
        <v>2500</v>
      </c>
      <c r="J16" s="270">
        <v>2500</v>
      </c>
      <c r="K16" s="270">
        <v>2500</v>
      </c>
      <c r="L16" s="270">
        <v>5000</v>
      </c>
      <c r="M16" s="270">
        <v>5000</v>
      </c>
      <c r="N16" s="270">
        <v>2800</v>
      </c>
      <c r="O16" s="270">
        <v>2500</v>
      </c>
      <c r="P16" s="270">
        <v>2500</v>
      </c>
      <c r="Q16" s="270">
        <v>3000</v>
      </c>
      <c r="R16" s="45">
        <f t="shared" si="0"/>
        <v>37100</v>
      </c>
    </row>
    <row r="17" spans="1:18" s="43" customFormat="1" ht="23.25" customHeight="1">
      <c r="A17" s="40"/>
      <c r="B17" s="40"/>
      <c r="C17" s="163" t="s">
        <v>129</v>
      </c>
      <c r="D17" s="180" t="s">
        <v>111</v>
      </c>
      <c r="E17" s="189">
        <v>1500</v>
      </c>
      <c r="F17" s="189">
        <v>2800</v>
      </c>
      <c r="G17" s="182">
        <v>1300</v>
      </c>
      <c r="H17" s="182">
        <v>2500</v>
      </c>
      <c r="I17" s="182">
        <v>2500</v>
      </c>
      <c r="J17" s="182">
        <v>2500</v>
      </c>
      <c r="K17" s="182">
        <v>2500</v>
      </c>
      <c r="L17" s="182" t="s">
        <v>261</v>
      </c>
      <c r="M17" s="182">
        <v>7400</v>
      </c>
      <c r="N17" s="182">
        <v>2800</v>
      </c>
      <c r="O17" s="182">
        <v>2500</v>
      </c>
      <c r="P17" s="182">
        <v>2500</v>
      </c>
      <c r="Q17" s="268" t="s">
        <v>600</v>
      </c>
      <c r="R17" s="45">
        <f t="shared" ref="R17:R51" si="1">SUM(E17:Q17)</f>
        <v>30800</v>
      </c>
    </row>
    <row r="18" spans="1:18" s="43" customFormat="1" ht="23.25" customHeight="1">
      <c r="A18" s="40"/>
      <c r="B18" s="42"/>
      <c r="C18" s="163" t="s">
        <v>130</v>
      </c>
      <c r="D18" s="172" t="s">
        <v>91</v>
      </c>
      <c r="E18" s="189">
        <v>1500</v>
      </c>
      <c r="F18" s="189">
        <v>3500</v>
      </c>
      <c r="G18" s="182">
        <v>1300</v>
      </c>
      <c r="H18" s="182">
        <v>2500</v>
      </c>
      <c r="I18" s="182">
        <v>2500</v>
      </c>
      <c r="J18" s="182">
        <v>2500</v>
      </c>
      <c r="K18" s="182">
        <v>2500</v>
      </c>
      <c r="L18" s="182">
        <v>3500</v>
      </c>
      <c r="M18" s="182">
        <v>5000</v>
      </c>
      <c r="N18" s="182">
        <v>2800</v>
      </c>
      <c r="O18" s="182">
        <v>2500</v>
      </c>
      <c r="P18" s="182">
        <v>2500</v>
      </c>
      <c r="Q18" s="268" t="s">
        <v>600</v>
      </c>
      <c r="R18" s="45">
        <f t="shared" si="1"/>
        <v>32600</v>
      </c>
    </row>
    <row r="19" spans="1:18" ht="23.25" customHeight="1">
      <c r="A19" s="44"/>
      <c r="B19" s="40"/>
      <c r="C19" s="163" t="s">
        <v>131</v>
      </c>
      <c r="D19" s="172" t="s">
        <v>96</v>
      </c>
      <c r="E19" s="189">
        <v>1500</v>
      </c>
      <c r="F19" s="189">
        <v>3500</v>
      </c>
      <c r="G19" s="182">
        <v>1300</v>
      </c>
      <c r="H19" s="182">
        <v>2500</v>
      </c>
      <c r="I19" s="182">
        <v>2500</v>
      </c>
      <c r="J19" s="182">
        <v>2500</v>
      </c>
      <c r="K19" s="182">
        <v>2500</v>
      </c>
      <c r="L19" s="182">
        <v>5000</v>
      </c>
      <c r="M19" s="182">
        <v>5000</v>
      </c>
      <c r="N19" s="182">
        <v>2800</v>
      </c>
      <c r="O19" s="182">
        <v>2500</v>
      </c>
      <c r="P19" s="182">
        <v>2500</v>
      </c>
      <c r="Q19" s="182">
        <v>3000</v>
      </c>
      <c r="R19" s="45">
        <f t="shared" si="1"/>
        <v>37100</v>
      </c>
    </row>
    <row r="20" spans="1:18" ht="23.25" customHeight="1">
      <c r="A20" s="40"/>
      <c r="B20" s="42"/>
      <c r="C20" s="163" t="s">
        <v>132</v>
      </c>
      <c r="D20" s="180" t="s">
        <v>86</v>
      </c>
      <c r="E20" s="189">
        <v>1500</v>
      </c>
      <c r="F20" s="189">
        <v>3500</v>
      </c>
      <c r="G20" s="182">
        <v>1300</v>
      </c>
      <c r="H20" s="283">
        <v>2500</v>
      </c>
      <c r="I20" s="182">
        <v>2500</v>
      </c>
      <c r="J20" s="270">
        <v>2500</v>
      </c>
      <c r="K20" s="182">
        <v>2500</v>
      </c>
      <c r="L20" s="270">
        <v>5000</v>
      </c>
      <c r="M20" s="270">
        <v>5000</v>
      </c>
      <c r="N20" s="182" t="s">
        <v>517</v>
      </c>
      <c r="O20" s="182" t="s">
        <v>517</v>
      </c>
      <c r="P20" s="182" t="s">
        <v>517</v>
      </c>
      <c r="Q20" s="182" t="s">
        <v>517</v>
      </c>
      <c r="R20" s="45">
        <f>SUM(E20:Q20)</f>
        <v>26300</v>
      </c>
    </row>
    <row r="21" spans="1:18" s="43" customFormat="1" ht="23.25" customHeight="1">
      <c r="A21" s="168"/>
      <c r="B21" s="163"/>
      <c r="C21" s="163" t="s">
        <v>133</v>
      </c>
      <c r="D21" s="172" t="s">
        <v>98</v>
      </c>
      <c r="E21" s="189">
        <v>1500</v>
      </c>
      <c r="F21" s="189">
        <v>3500</v>
      </c>
      <c r="G21" s="182">
        <v>1300</v>
      </c>
      <c r="H21" s="182">
        <v>2500</v>
      </c>
      <c r="I21" s="182">
        <v>2500</v>
      </c>
      <c r="J21" s="182">
        <v>2500</v>
      </c>
      <c r="K21" s="182">
        <v>2500</v>
      </c>
      <c r="L21" s="182">
        <v>3500</v>
      </c>
      <c r="M21" s="182">
        <v>5000</v>
      </c>
      <c r="N21" s="182">
        <v>2800</v>
      </c>
      <c r="O21" s="182">
        <v>2500</v>
      </c>
      <c r="P21" s="182">
        <v>2500</v>
      </c>
      <c r="Q21" s="182">
        <v>3000</v>
      </c>
      <c r="R21" s="45">
        <f t="shared" si="1"/>
        <v>35600</v>
      </c>
    </row>
    <row r="22" spans="1:18" s="43" customFormat="1" ht="23.25" customHeight="1">
      <c r="A22" s="40"/>
      <c r="B22" s="40"/>
      <c r="C22" s="163" t="s">
        <v>134</v>
      </c>
      <c r="D22" s="172" t="s">
        <v>99</v>
      </c>
      <c r="E22" s="189">
        <v>1500</v>
      </c>
      <c r="F22" s="189">
        <v>3500</v>
      </c>
      <c r="G22" s="182">
        <v>1300</v>
      </c>
      <c r="H22" s="182">
        <v>2500</v>
      </c>
      <c r="I22" s="182">
        <v>2500</v>
      </c>
      <c r="J22" s="182">
        <v>2500</v>
      </c>
      <c r="K22" s="182">
        <v>2500</v>
      </c>
      <c r="L22" s="182">
        <v>3500</v>
      </c>
      <c r="M22" s="182">
        <v>5000</v>
      </c>
      <c r="N22" s="182">
        <v>2800</v>
      </c>
      <c r="O22" s="182">
        <v>2500</v>
      </c>
      <c r="P22" s="182">
        <v>2500</v>
      </c>
      <c r="Q22" s="182">
        <v>2500</v>
      </c>
      <c r="R22" s="45">
        <f t="shared" si="1"/>
        <v>35100</v>
      </c>
    </row>
    <row r="23" spans="1:18" ht="23.25" customHeight="1">
      <c r="A23" s="40"/>
      <c r="B23" s="40"/>
      <c r="C23" s="163" t="s">
        <v>135</v>
      </c>
      <c r="D23" s="180" t="s">
        <v>85</v>
      </c>
      <c r="E23" s="189">
        <v>1500</v>
      </c>
      <c r="F23" s="189">
        <v>3500</v>
      </c>
      <c r="G23" s="182">
        <v>1300</v>
      </c>
      <c r="H23" s="182">
        <v>2500</v>
      </c>
      <c r="I23" s="182">
        <v>2500</v>
      </c>
      <c r="J23" s="182">
        <v>2500</v>
      </c>
      <c r="K23" s="182">
        <v>2500</v>
      </c>
      <c r="L23" s="182">
        <v>3500</v>
      </c>
      <c r="M23" s="182">
        <v>5000</v>
      </c>
      <c r="N23" s="182">
        <v>2800</v>
      </c>
      <c r="O23" s="182">
        <v>2500</v>
      </c>
      <c r="P23" s="182">
        <v>2500</v>
      </c>
      <c r="Q23" s="182">
        <v>3000</v>
      </c>
      <c r="R23" s="45">
        <f t="shared" si="1"/>
        <v>35600</v>
      </c>
    </row>
    <row r="24" spans="1:18" ht="23.25" customHeight="1">
      <c r="A24" s="40"/>
      <c r="B24" s="40"/>
      <c r="C24" s="163" t="s">
        <v>136</v>
      </c>
      <c r="D24" s="500" t="s">
        <v>69</v>
      </c>
      <c r="E24" s="189">
        <v>1500</v>
      </c>
      <c r="F24" s="189">
        <v>3500</v>
      </c>
      <c r="G24" s="182">
        <v>1300</v>
      </c>
      <c r="H24" s="182">
        <v>2500</v>
      </c>
      <c r="I24" s="182">
        <v>2500</v>
      </c>
      <c r="J24" s="182">
        <v>2500</v>
      </c>
      <c r="K24" s="182">
        <v>2500</v>
      </c>
      <c r="L24" s="182">
        <v>5000</v>
      </c>
      <c r="M24" s="182">
        <v>5000</v>
      </c>
      <c r="N24" s="182">
        <v>2800</v>
      </c>
      <c r="O24" s="182">
        <v>2400</v>
      </c>
      <c r="P24" s="182">
        <v>2400</v>
      </c>
      <c r="Q24" s="182">
        <v>2900</v>
      </c>
      <c r="R24" s="45">
        <f t="shared" si="1"/>
        <v>36800</v>
      </c>
    </row>
    <row r="25" spans="1:18" ht="23.25" customHeight="1">
      <c r="A25" s="40"/>
      <c r="B25" s="40"/>
      <c r="C25" s="163" t="s">
        <v>137</v>
      </c>
      <c r="D25" s="180" t="s">
        <v>117</v>
      </c>
      <c r="E25" s="189">
        <v>1500</v>
      </c>
      <c r="F25" s="189">
        <v>3500</v>
      </c>
      <c r="G25" s="182">
        <v>1300</v>
      </c>
      <c r="H25" s="283">
        <v>2500</v>
      </c>
      <c r="I25" s="270">
        <v>2500</v>
      </c>
      <c r="J25" s="270">
        <v>2500</v>
      </c>
      <c r="K25" s="270">
        <v>2500</v>
      </c>
      <c r="L25" s="270">
        <v>5000</v>
      </c>
      <c r="M25" s="270">
        <v>5000</v>
      </c>
      <c r="N25" s="270">
        <v>2800</v>
      </c>
      <c r="O25" s="281" t="s">
        <v>545</v>
      </c>
      <c r="P25" s="270">
        <v>5000</v>
      </c>
      <c r="Q25" s="270">
        <v>3000</v>
      </c>
      <c r="R25" s="45">
        <f>SUM(E25:Q25)</f>
        <v>37100</v>
      </c>
    </row>
    <row r="26" spans="1:18" ht="23.25" customHeight="1">
      <c r="A26" s="40"/>
      <c r="B26" s="40"/>
      <c r="C26" s="163" t="s">
        <v>138</v>
      </c>
      <c r="D26" s="180" t="s">
        <v>82</v>
      </c>
      <c r="E26" s="189">
        <v>1500</v>
      </c>
      <c r="F26" s="189">
        <v>3500</v>
      </c>
      <c r="G26" s="182">
        <v>1300</v>
      </c>
      <c r="H26" s="182">
        <v>2500</v>
      </c>
      <c r="I26" s="182">
        <v>2500</v>
      </c>
      <c r="J26" s="182">
        <v>2500</v>
      </c>
      <c r="K26" s="182">
        <v>2500</v>
      </c>
      <c r="L26" s="182">
        <v>5000</v>
      </c>
      <c r="M26" s="182">
        <v>5000</v>
      </c>
      <c r="N26" s="182">
        <v>2800</v>
      </c>
      <c r="O26" s="182">
        <v>2500</v>
      </c>
      <c r="P26" s="182">
        <v>2500</v>
      </c>
      <c r="Q26" s="182">
        <v>3000</v>
      </c>
      <c r="R26" s="45">
        <f t="shared" si="1"/>
        <v>37100</v>
      </c>
    </row>
    <row r="27" spans="1:18" ht="23.25" customHeight="1">
      <c r="A27" s="163"/>
      <c r="B27" s="163"/>
      <c r="C27" s="163" t="s">
        <v>139</v>
      </c>
      <c r="D27" s="225" t="s">
        <v>70</v>
      </c>
      <c r="E27" s="189">
        <v>1500</v>
      </c>
      <c r="F27" s="259" t="s">
        <v>259</v>
      </c>
      <c r="G27" s="182">
        <v>4800</v>
      </c>
      <c r="H27" s="182">
        <v>2500</v>
      </c>
      <c r="I27" s="182">
        <v>2500</v>
      </c>
      <c r="J27" s="182">
        <v>2500</v>
      </c>
      <c r="K27" s="182" t="s">
        <v>200</v>
      </c>
      <c r="L27" s="182">
        <v>5000</v>
      </c>
      <c r="M27" s="182">
        <v>5000</v>
      </c>
      <c r="N27" s="182">
        <v>2800</v>
      </c>
      <c r="O27" s="182">
        <v>2500</v>
      </c>
      <c r="P27" s="182">
        <v>2500</v>
      </c>
      <c r="Q27" s="182">
        <v>3000</v>
      </c>
      <c r="R27" s="45">
        <f t="shared" si="1"/>
        <v>34600</v>
      </c>
    </row>
    <row r="28" spans="1:18" ht="23.25" customHeight="1">
      <c r="A28" s="154"/>
      <c r="B28" s="40"/>
      <c r="C28" s="163" t="s">
        <v>140</v>
      </c>
      <c r="D28" s="497" t="s">
        <v>104</v>
      </c>
      <c r="E28" s="189">
        <v>1500</v>
      </c>
      <c r="F28" s="189">
        <v>3500</v>
      </c>
      <c r="G28" s="182">
        <v>1300</v>
      </c>
      <c r="H28" s="182">
        <v>2500</v>
      </c>
      <c r="I28" s="182">
        <v>2500</v>
      </c>
      <c r="J28" s="182">
        <v>2500</v>
      </c>
      <c r="K28" s="182">
        <v>2500</v>
      </c>
      <c r="L28" s="182">
        <v>5000</v>
      </c>
      <c r="M28" s="182">
        <v>5000</v>
      </c>
      <c r="N28" s="182">
        <v>2800</v>
      </c>
      <c r="O28" s="182">
        <v>2500</v>
      </c>
      <c r="P28" s="182">
        <v>2500</v>
      </c>
      <c r="Q28" s="182">
        <v>2900</v>
      </c>
      <c r="R28" s="45">
        <f>SUM(E28:Q28)</f>
        <v>37000</v>
      </c>
    </row>
    <row r="29" spans="1:18" ht="23.25" customHeight="1">
      <c r="A29" s="162"/>
      <c r="B29" s="40"/>
      <c r="C29" s="163" t="s">
        <v>141</v>
      </c>
      <c r="D29" s="172" t="s">
        <v>78</v>
      </c>
      <c r="E29" s="189">
        <v>1500</v>
      </c>
      <c r="F29" s="189">
        <v>3500</v>
      </c>
      <c r="G29" s="182">
        <v>1300</v>
      </c>
      <c r="H29" s="270">
        <v>2500</v>
      </c>
      <c r="I29" s="270">
        <v>2500</v>
      </c>
      <c r="J29" s="270">
        <v>2500</v>
      </c>
      <c r="K29" s="270">
        <v>2500</v>
      </c>
      <c r="L29" s="182">
        <v>5000</v>
      </c>
      <c r="M29" s="270">
        <v>5000</v>
      </c>
      <c r="N29" s="270">
        <v>2800</v>
      </c>
      <c r="O29" s="270">
        <v>2500</v>
      </c>
      <c r="P29" s="270">
        <v>2500</v>
      </c>
      <c r="Q29" s="270">
        <v>3000</v>
      </c>
      <c r="R29" s="45">
        <f>SUM(E29:Q29)</f>
        <v>37100</v>
      </c>
    </row>
    <row r="30" spans="1:18" ht="23.25" customHeight="1">
      <c r="A30" s="44"/>
      <c r="B30" s="42"/>
      <c r="C30" s="163" t="s">
        <v>142</v>
      </c>
      <c r="D30" s="500" t="s">
        <v>75</v>
      </c>
      <c r="E30" s="189">
        <v>1500</v>
      </c>
      <c r="F30" s="189">
        <v>3500</v>
      </c>
      <c r="G30" s="182">
        <v>1300</v>
      </c>
      <c r="H30" s="182">
        <v>2500</v>
      </c>
      <c r="I30" s="182">
        <v>2500</v>
      </c>
      <c r="J30" s="182">
        <v>2500</v>
      </c>
      <c r="K30" s="182">
        <v>2500</v>
      </c>
      <c r="L30" s="182">
        <v>5000</v>
      </c>
      <c r="M30" s="182">
        <v>5000</v>
      </c>
      <c r="N30" s="182">
        <v>2800</v>
      </c>
      <c r="O30" s="182">
        <v>2400</v>
      </c>
      <c r="P30" s="182">
        <v>2500</v>
      </c>
      <c r="Q30" s="182">
        <v>3000</v>
      </c>
      <c r="R30" s="45">
        <f>SUM(E30:Q30)</f>
        <v>37000</v>
      </c>
    </row>
    <row r="31" spans="1:18" ht="23.25" customHeight="1">
      <c r="A31" s="162"/>
      <c r="B31" s="40"/>
      <c r="C31" s="163" t="s">
        <v>143</v>
      </c>
      <c r="D31" s="172" t="s">
        <v>77</v>
      </c>
      <c r="E31" s="189">
        <v>1500</v>
      </c>
      <c r="F31" s="189">
        <v>3500</v>
      </c>
      <c r="G31" s="268" t="s">
        <v>282</v>
      </c>
      <c r="H31" s="270">
        <v>3800</v>
      </c>
      <c r="I31" s="270">
        <v>2500</v>
      </c>
      <c r="J31" s="270">
        <v>2500</v>
      </c>
      <c r="K31" s="270">
        <v>2500</v>
      </c>
      <c r="L31" s="270">
        <v>5000</v>
      </c>
      <c r="M31" s="270">
        <v>5000</v>
      </c>
      <c r="N31" s="270">
        <v>2800</v>
      </c>
      <c r="O31" s="270">
        <v>2500</v>
      </c>
      <c r="P31" s="270">
        <v>2500</v>
      </c>
      <c r="Q31" s="270">
        <v>3000</v>
      </c>
      <c r="R31" s="45">
        <f>SUM(E31:Q31)</f>
        <v>37100</v>
      </c>
    </row>
    <row r="32" spans="1:18" ht="23.25" customHeight="1">
      <c r="A32" s="162"/>
      <c r="B32" s="40"/>
      <c r="C32" s="163" t="s">
        <v>144</v>
      </c>
      <c r="D32" s="499" t="s">
        <v>76</v>
      </c>
      <c r="E32" s="189">
        <v>1400</v>
      </c>
      <c r="F32" s="189">
        <v>3500</v>
      </c>
      <c r="G32" s="267">
        <v>1200</v>
      </c>
      <c r="H32" s="182">
        <v>2400</v>
      </c>
      <c r="I32" s="182">
        <v>2400</v>
      </c>
      <c r="J32" s="182">
        <v>2400</v>
      </c>
      <c r="K32" s="182">
        <v>2400</v>
      </c>
      <c r="L32" s="182">
        <v>5000</v>
      </c>
      <c r="M32" s="182">
        <v>5000</v>
      </c>
      <c r="N32" s="182">
        <v>2700</v>
      </c>
      <c r="O32" s="182">
        <v>2500</v>
      </c>
      <c r="P32" s="182">
        <v>2500</v>
      </c>
      <c r="Q32" s="182">
        <v>3000</v>
      </c>
      <c r="R32" s="45">
        <f>SUM(E32:Q32)</f>
        <v>36400</v>
      </c>
    </row>
    <row r="33" spans="1:18" ht="23.25" customHeight="1">
      <c r="A33" s="44"/>
      <c r="B33" s="40"/>
      <c r="C33" s="163" t="s">
        <v>145</v>
      </c>
      <c r="D33" s="172" t="s">
        <v>92</v>
      </c>
      <c r="E33" s="189">
        <v>1500</v>
      </c>
      <c r="F33" s="253" t="s">
        <v>259</v>
      </c>
      <c r="G33" s="182">
        <v>4800</v>
      </c>
      <c r="H33" s="182">
        <v>2500</v>
      </c>
      <c r="I33" s="182">
        <v>2500</v>
      </c>
      <c r="J33" s="182">
        <v>2500</v>
      </c>
      <c r="K33" s="182">
        <v>2500</v>
      </c>
      <c r="L33" s="268" t="s">
        <v>423</v>
      </c>
      <c r="M33" s="267">
        <v>10000</v>
      </c>
      <c r="N33" s="182">
        <v>2800</v>
      </c>
      <c r="O33" s="182">
        <v>2500</v>
      </c>
      <c r="P33" s="182">
        <v>2500</v>
      </c>
      <c r="Q33" s="182" t="s">
        <v>290</v>
      </c>
      <c r="R33" s="45">
        <f t="shared" si="1"/>
        <v>34100</v>
      </c>
    </row>
    <row r="34" spans="1:18" ht="23.25" customHeight="1">
      <c r="A34" s="44"/>
      <c r="B34" s="42"/>
      <c r="C34" s="163" t="s">
        <v>146</v>
      </c>
      <c r="D34" s="497" t="s">
        <v>93</v>
      </c>
      <c r="E34" s="189">
        <v>1500</v>
      </c>
      <c r="F34" s="264">
        <v>3500</v>
      </c>
      <c r="G34" s="182">
        <v>1300</v>
      </c>
      <c r="H34" s="182">
        <v>2500</v>
      </c>
      <c r="I34" s="182">
        <v>2500</v>
      </c>
      <c r="J34" s="182">
        <v>2500</v>
      </c>
      <c r="K34" s="182">
        <v>2500</v>
      </c>
      <c r="L34" s="182">
        <v>5000</v>
      </c>
      <c r="M34" s="182">
        <v>5000</v>
      </c>
      <c r="N34" s="182">
        <v>2800</v>
      </c>
      <c r="O34" s="182">
        <v>2400</v>
      </c>
      <c r="P34" s="182">
        <v>2400</v>
      </c>
      <c r="Q34" s="182">
        <v>2900</v>
      </c>
      <c r="R34" s="45">
        <f>SUM(E34:Q34)</f>
        <v>36800</v>
      </c>
    </row>
    <row r="35" spans="1:18" ht="23.25" customHeight="1">
      <c r="A35" s="44"/>
      <c r="B35" s="42"/>
      <c r="C35" s="163" t="s">
        <v>147</v>
      </c>
      <c r="D35" s="172" t="s">
        <v>97</v>
      </c>
      <c r="E35" s="189">
        <v>1500</v>
      </c>
      <c r="F35" s="189">
        <v>3500</v>
      </c>
      <c r="G35" s="268" t="s">
        <v>282</v>
      </c>
      <c r="H35" s="269">
        <v>3800</v>
      </c>
      <c r="I35" s="182">
        <v>2500</v>
      </c>
      <c r="J35" s="182">
        <v>2500</v>
      </c>
      <c r="K35" s="182">
        <v>2500</v>
      </c>
      <c r="L35" s="182"/>
      <c r="M35" s="182">
        <v>800</v>
      </c>
      <c r="N35" s="182"/>
      <c r="O35" s="182">
        <v>1200</v>
      </c>
      <c r="P35" s="182">
        <v>800</v>
      </c>
      <c r="Q35" s="182">
        <v>800</v>
      </c>
      <c r="R35" s="45">
        <f t="shared" si="1"/>
        <v>19900</v>
      </c>
    </row>
    <row r="36" spans="1:18" ht="25.5" customHeight="1">
      <c r="A36" s="44"/>
      <c r="B36" s="40"/>
      <c r="C36" s="163" t="s">
        <v>148</v>
      </c>
      <c r="D36" s="172" t="s">
        <v>100</v>
      </c>
      <c r="E36" s="189">
        <v>1500</v>
      </c>
      <c r="F36" s="189">
        <v>3500</v>
      </c>
      <c r="G36" s="182">
        <v>1300</v>
      </c>
      <c r="H36" s="182">
        <v>2500</v>
      </c>
      <c r="I36" s="182">
        <v>2500</v>
      </c>
      <c r="J36" s="182">
        <v>2500</v>
      </c>
      <c r="K36" s="182">
        <v>2500</v>
      </c>
      <c r="L36" s="182">
        <v>5000</v>
      </c>
      <c r="M36" s="182">
        <v>5000</v>
      </c>
      <c r="N36" s="182">
        <v>2800</v>
      </c>
      <c r="O36" s="182">
        <v>2500</v>
      </c>
      <c r="P36" s="182">
        <v>2500</v>
      </c>
      <c r="Q36" s="182">
        <v>3000</v>
      </c>
      <c r="R36" s="45">
        <f t="shared" si="1"/>
        <v>37100</v>
      </c>
    </row>
    <row r="37" spans="1:18" ht="26.25" customHeight="1">
      <c r="A37" s="154"/>
      <c r="B37" s="40"/>
      <c r="C37" s="163" t="s">
        <v>149</v>
      </c>
      <c r="D37" s="172" t="s">
        <v>101</v>
      </c>
      <c r="E37" s="189">
        <v>1500</v>
      </c>
      <c r="F37" s="189">
        <v>3500</v>
      </c>
      <c r="G37" s="182">
        <v>1300</v>
      </c>
      <c r="H37" s="182">
        <v>2500</v>
      </c>
      <c r="I37" s="182">
        <v>2500</v>
      </c>
      <c r="J37" s="182">
        <v>2500</v>
      </c>
      <c r="K37" s="182">
        <v>2500</v>
      </c>
      <c r="L37" s="187">
        <v>5000</v>
      </c>
      <c r="M37" s="270">
        <v>5000</v>
      </c>
      <c r="N37" s="182">
        <v>2800</v>
      </c>
      <c r="O37" s="182">
        <v>2500</v>
      </c>
      <c r="P37" s="182">
        <v>2500</v>
      </c>
      <c r="Q37" s="182">
        <v>2500</v>
      </c>
      <c r="R37" s="45">
        <f t="shared" si="1"/>
        <v>36600</v>
      </c>
    </row>
    <row r="38" spans="1:18" ht="23.25" customHeight="1">
      <c r="A38" s="154"/>
      <c r="B38" s="44"/>
      <c r="C38" s="163" t="s">
        <v>150</v>
      </c>
      <c r="D38" s="286" t="s">
        <v>90</v>
      </c>
      <c r="E38" s="189">
        <v>1400</v>
      </c>
      <c r="F38" s="189">
        <v>3500</v>
      </c>
      <c r="G38" s="182">
        <v>1200</v>
      </c>
      <c r="H38" s="182">
        <v>2400</v>
      </c>
      <c r="I38" s="182">
        <v>2400</v>
      </c>
      <c r="J38" s="182">
        <v>2400</v>
      </c>
      <c r="K38" s="182">
        <v>2400</v>
      </c>
      <c r="L38" s="182">
        <v>5000</v>
      </c>
      <c r="M38" s="182">
        <v>5000</v>
      </c>
      <c r="N38" s="182">
        <v>2700</v>
      </c>
      <c r="O38" s="182">
        <v>2400</v>
      </c>
      <c r="P38" s="182">
        <v>2400</v>
      </c>
      <c r="Q38" s="182">
        <v>2900</v>
      </c>
      <c r="R38" s="45">
        <f>SUM(E38:Q38)</f>
        <v>36100</v>
      </c>
    </row>
    <row r="39" spans="1:18" ht="23.25" customHeight="1">
      <c r="A39" s="154"/>
      <c r="B39" s="40"/>
      <c r="C39" s="163"/>
      <c r="D39" s="284" t="s">
        <v>102</v>
      </c>
      <c r="E39" s="189">
        <v>1500</v>
      </c>
      <c r="F39" s="182"/>
      <c r="G39" s="182">
        <v>1300</v>
      </c>
      <c r="H39" s="182" t="s">
        <v>290</v>
      </c>
      <c r="I39" s="182" t="s">
        <v>290</v>
      </c>
      <c r="J39" s="182" t="s">
        <v>290</v>
      </c>
      <c r="K39" s="182" t="s">
        <v>290</v>
      </c>
      <c r="L39" s="182" t="s">
        <v>290</v>
      </c>
      <c r="M39" s="182" t="s">
        <v>290</v>
      </c>
      <c r="N39" s="182" t="s">
        <v>290</v>
      </c>
      <c r="O39" s="182" t="s">
        <v>290</v>
      </c>
      <c r="P39" s="182" t="s">
        <v>290</v>
      </c>
      <c r="Q39" s="182" t="s">
        <v>290</v>
      </c>
      <c r="R39" s="45">
        <f>SUM(E39:Q39)</f>
        <v>2800</v>
      </c>
    </row>
    <row r="40" spans="1:18" ht="23.25" customHeight="1">
      <c r="A40" s="154"/>
      <c r="B40" s="40"/>
      <c r="C40" s="163"/>
      <c r="D40" s="284" t="s">
        <v>103</v>
      </c>
      <c r="E40" s="189">
        <v>1500</v>
      </c>
      <c r="F40" s="182"/>
      <c r="G40" s="182">
        <v>1300</v>
      </c>
      <c r="H40" s="182" t="s">
        <v>290</v>
      </c>
      <c r="I40" s="182" t="s">
        <v>290</v>
      </c>
      <c r="J40" s="182" t="s">
        <v>290</v>
      </c>
      <c r="K40" s="182" t="s">
        <v>290</v>
      </c>
      <c r="L40" s="182" t="s">
        <v>290</v>
      </c>
      <c r="M40" s="182" t="s">
        <v>290</v>
      </c>
      <c r="N40" s="182" t="s">
        <v>290</v>
      </c>
      <c r="O40" s="182" t="s">
        <v>290</v>
      </c>
      <c r="P40" s="182" t="s">
        <v>290</v>
      </c>
      <c r="Q40" s="182" t="s">
        <v>290</v>
      </c>
      <c r="R40" s="45">
        <f>SUM(E40:Q40)</f>
        <v>2800</v>
      </c>
    </row>
    <row r="41" spans="1:18" ht="23.25" customHeight="1">
      <c r="A41" s="154"/>
      <c r="B41" s="49"/>
      <c r="C41" s="163" t="s">
        <v>335</v>
      </c>
      <c r="D41" s="172" t="s">
        <v>79</v>
      </c>
      <c r="E41" s="189">
        <v>1500</v>
      </c>
      <c r="F41" s="189">
        <v>3500</v>
      </c>
      <c r="G41" s="182">
        <v>1300</v>
      </c>
      <c r="H41" s="182">
        <v>2500</v>
      </c>
      <c r="I41" s="182">
        <v>2500</v>
      </c>
      <c r="J41" s="182">
        <v>2500</v>
      </c>
      <c r="K41" s="182">
        <v>2500</v>
      </c>
      <c r="L41" s="182">
        <v>5000</v>
      </c>
      <c r="M41" s="182">
        <v>5000</v>
      </c>
      <c r="N41" s="182">
        <v>2800</v>
      </c>
      <c r="O41" s="182">
        <v>2500</v>
      </c>
      <c r="P41" s="182">
        <v>2500</v>
      </c>
      <c r="Q41" s="182">
        <v>2500</v>
      </c>
      <c r="R41" s="45">
        <f>SUM(E41:Q41)</f>
        <v>36600</v>
      </c>
    </row>
    <row r="42" spans="1:18" ht="22.95" customHeight="1">
      <c r="A42" s="154"/>
      <c r="B42" s="40"/>
      <c r="C42" s="163" t="s">
        <v>336</v>
      </c>
      <c r="D42" s="172" t="s">
        <v>89</v>
      </c>
      <c r="E42" s="189">
        <v>1500</v>
      </c>
      <c r="F42" s="189" t="s">
        <v>228</v>
      </c>
      <c r="G42" s="182">
        <v>1300</v>
      </c>
      <c r="H42" s="182">
        <v>2500</v>
      </c>
      <c r="I42" s="182">
        <v>2500</v>
      </c>
      <c r="J42" s="182">
        <v>2500</v>
      </c>
      <c r="K42" s="182">
        <v>2500</v>
      </c>
      <c r="L42" s="182" t="s">
        <v>229</v>
      </c>
      <c r="M42" s="182" t="s">
        <v>229</v>
      </c>
      <c r="N42" s="182">
        <v>2800</v>
      </c>
      <c r="O42" s="182">
        <v>2500</v>
      </c>
      <c r="P42" s="182">
        <v>2500</v>
      </c>
      <c r="Q42" s="182">
        <v>3000</v>
      </c>
      <c r="R42" s="45">
        <f t="shared" si="1"/>
        <v>23600</v>
      </c>
    </row>
    <row r="43" spans="1:18" ht="23.25" customHeight="1">
      <c r="A43" s="154"/>
      <c r="B43" s="40"/>
      <c r="C43" s="163" t="s">
        <v>337</v>
      </c>
      <c r="D43" s="172" t="s">
        <v>88</v>
      </c>
      <c r="E43" s="189">
        <v>1500</v>
      </c>
      <c r="F43" s="189">
        <v>2800</v>
      </c>
      <c r="G43" s="182">
        <v>1300</v>
      </c>
      <c r="H43" s="283">
        <v>2500</v>
      </c>
      <c r="I43" s="270">
        <v>2500</v>
      </c>
      <c r="J43" s="270">
        <v>2500</v>
      </c>
      <c r="K43" s="270">
        <v>2500</v>
      </c>
      <c r="L43" s="270">
        <v>3500</v>
      </c>
      <c r="M43" s="270">
        <v>3500</v>
      </c>
      <c r="N43" s="270">
        <v>2800</v>
      </c>
      <c r="O43" s="270">
        <v>2500</v>
      </c>
      <c r="P43" s="270">
        <v>2500</v>
      </c>
      <c r="Q43" s="270">
        <v>3000</v>
      </c>
      <c r="R43" s="45">
        <f t="shared" ref="R43:R50" si="2">SUM(E43:Q43)</f>
        <v>33400</v>
      </c>
    </row>
    <row r="44" spans="1:18" ht="22.95" customHeight="1">
      <c r="A44" s="154"/>
      <c r="B44" s="40"/>
      <c r="C44" s="163" t="s">
        <v>338</v>
      </c>
      <c r="D44" s="497" t="s">
        <v>94</v>
      </c>
      <c r="E44" s="189">
        <v>1500</v>
      </c>
      <c r="F44" s="189">
        <v>3500</v>
      </c>
      <c r="G44" s="182">
        <v>1300</v>
      </c>
      <c r="H44" s="182">
        <v>2500</v>
      </c>
      <c r="I44" s="182">
        <v>2500</v>
      </c>
      <c r="J44" s="182">
        <v>2500</v>
      </c>
      <c r="K44" s="182">
        <v>2500</v>
      </c>
      <c r="L44" s="182">
        <v>5000</v>
      </c>
      <c r="M44" s="182">
        <v>5000</v>
      </c>
      <c r="N44" s="182">
        <v>2800</v>
      </c>
      <c r="O44" s="182">
        <v>2400</v>
      </c>
      <c r="P44" s="182">
        <v>2400</v>
      </c>
      <c r="Q44" s="182">
        <v>2900</v>
      </c>
      <c r="R44" s="45">
        <f t="shared" si="2"/>
        <v>36800</v>
      </c>
    </row>
    <row r="45" spans="1:18" ht="23.25" customHeight="1">
      <c r="A45" s="162"/>
      <c r="B45" s="40"/>
      <c r="C45" s="163" t="s">
        <v>339</v>
      </c>
      <c r="D45" s="286" t="s">
        <v>108</v>
      </c>
      <c r="E45" s="189">
        <v>1400</v>
      </c>
      <c r="F45" s="231">
        <v>3500</v>
      </c>
      <c r="G45" s="182">
        <v>1200</v>
      </c>
      <c r="H45" s="182">
        <v>2400</v>
      </c>
      <c r="I45" s="182">
        <v>2400</v>
      </c>
      <c r="J45" s="182">
        <v>2400</v>
      </c>
      <c r="K45" s="182">
        <v>2400</v>
      </c>
      <c r="L45" s="182">
        <v>5000</v>
      </c>
      <c r="M45" s="182">
        <v>5000</v>
      </c>
      <c r="N45" s="182">
        <v>2700</v>
      </c>
      <c r="O45" s="182">
        <v>2400</v>
      </c>
      <c r="P45" s="182">
        <v>2400</v>
      </c>
      <c r="Q45" s="182">
        <v>2900</v>
      </c>
      <c r="R45" s="45">
        <f t="shared" si="2"/>
        <v>36100</v>
      </c>
    </row>
    <row r="46" spans="1:18" ht="23.25" customHeight="1">
      <c r="A46" s="162"/>
      <c r="B46" s="40"/>
      <c r="C46" s="163" t="s">
        <v>340</v>
      </c>
      <c r="D46" s="172" t="s">
        <v>110</v>
      </c>
      <c r="E46" s="189">
        <v>1500</v>
      </c>
      <c r="F46" s="189">
        <v>3500</v>
      </c>
      <c r="G46" s="182">
        <v>1300</v>
      </c>
      <c r="H46" s="182">
        <v>2500</v>
      </c>
      <c r="I46" s="182">
        <v>2500</v>
      </c>
      <c r="J46" s="182">
        <v>2500</v>
      </c>
      <c r="K46" s="182">
        <v>2500</v>
      </c>
      <c r="L46" s="182">
        <v>5000</v>
      </c>
      <c r="M46" s="182">
        <v>5000</v>
      </c>
      <c r="N46" s="182">
        <v>2800</v>
      </c>
      <c r="O46" s="182">
        <v>2500</v>
      </c>
      <c r="P46" s="182">
        <v>2500</v>
      </c>
      <c r="Q46" s="182">
        <v>3000</v>
      </c>
      <c r="R46" s="45">
        <f t="shared" si="2"/>
        <v>37100</v>
      </c>
    </row>
    <row r="47" spans="1:18" ht="22.95" customHeight="1">
      <c r="A47" s="162"/>
      <c r="B47" s="40"/>
      <c r="C47" s="163" t="s">
        <v>341</v>
      </c>
      <c r="D47" s="172" t="s">
        <v>113</v>
      </c>
      <c r="E47" s="189">
        <v>1500</v>
      </c>
      <c r="F47" s="189" t="s">
        <v>229</v>
      </c>
      <c r="G47" s="268" t="s">
        <v>282</v>
      </c>
      <c r="H47" s="182">
        <v>3800</v>
      </c>
      <c r="I47" s="182">
        <v>2500</v>
      </c>
      <c r="J47" s="182">
        <v>2500</v>
      </c>
      <c r="K47" s="182">
        <v>2500</v>
      </c>
      <c r="L47" s="182">
        <v>5000</v>
      </c>
      <c r="M47" s="182">
        <v>5000</v>
      </c>
      <c r="N47" s="268" t="s">
        <v>499</v>
      </c>
      <c r="O47" s="182">
        <v>5300</v>
      </c>
      <c r="P47" s="182">
        <v>2500</v>
      </c>
      <c r="Q47" s="182">
        <v>3000</v>
      </c>
      <c r="R47" s="45">
        <f t="shared" si="2"/>
        <v>33600</v>
      </c>
    </row>
    <row r="48" spans="1:18" ht="23.25" customHeight="1">
      <c r="A48" s="162"/>
      <c r="B48" s="40"/>
      <c r="C48" s="163" t="s">
        <v>342</v>
      </c>
      <c r="D48" s="172" t="s">
        <v>115</v>
      </c>
      <c r="E48" s="189">
        <v>1500</v>
      </c>
      <c r="F48" s="265" t="s">
        <v>261</v>
      </c>
      <c r="G48" s="182">
        <v>2500</v>
      </c>
      <c r="H48" s="182">
        <v>2500</v>
      </c>
      <c r="I48" s="182">
        <v>2500</v>
      </c>
      <c r="J48" s="182">
        <v>2500</v>
      </c>
      <c r="K48" s="182">
        <v>2500</v>
      </c>
      <c r="L48" s="182" t="s">
        <v>229</v>
      </c>
      <c r="M48" s="268" t="s">
        <v>485</v>
      </c>
      <c r="N48" s="182">
        <v>3500</v>
      </c>
      <c r="O48" s="182">
        <v>1200</v>
      </c>
      <c r="P48" s="182">
        <v>1200</v>
      </c>
      <c r="Q48" s="182">
        <v>400</v>
      </c>
      <c r="R48" s="45">
        <f t="shared" si="2"/>
        <v>20300</v>
      </c>
    </row>
    <row r="49" spans="1:18" ht="23.25" customHeight="1">
      <c r="A49" s="162"/>
      <c r="B49" s="40"/>
      <c r="C49" s="163" t="s">
        <v>343</v>
      </c>
      <c r="D49" s="172" t="s">
        <v>116</v>
      </c>
      <c r="E49" s="189">
        <v>1500</v>
      </c>
      <c r="F49" s="264">
        <v>2800</v>
      </c>
      <c r="G49" s="182">
        <v>1300</v>
      </c>
      <c r="H49" s="182">
        <v>2500</v>
      </c>
      <c r="I49" s="182">
        <v>2500</v>
      </c>
      <c r="J49" s="182">
        <v>2500</v>
      </c>
      <c r="K49" s="182">
        <v>2500</v>
      </c>
      <c r="L49" s="182">
        <v>3500</v>
      </c>
      <c r="M49" s="182">
        <v>3500</v>
      </c>
      <c r="N49" s="182">
        <v>2800</v>
      </c>
      <c r="O49" s="182">
        <v>2500</v>
      </c>
      <c r="P49" s="182">
        <v>2500</v>
      </c>
      <c r="Q49" s="182">
        <v>3000</v>
      </c>
      <c r="R49" s="45">
        <f t="shared" si="2"/>
        <v>33400</v>
      </c>
    </row>
    <row r="50" spans="1:18" ht="23.25" customHeight="1">
      <c r="A50" s="162"/>
      <c r="B50" s="40"/>
      <c r="C50" s="163" t="s">
        <v>344</v>
      </c>
      <c r="D50" s="498" t="s">
        <v>95</v>
      </c>
      <c r="E50" s="189">
        <v>1500</v>
      </c>
      <c r="F50" s="189">
        <v>2800</v>
      </c>
      <c r="G50" s="182">
        <v>1300</v>
      </c>
      <c r="H50" s="283">
        <v>2500</v>
      </c>
      <c r="I50" s="270">
        <v>2500</v>
      </c>
      <c r="J50" s="270">
        <v>2500</v>
      </c>
      <c r="K50" s="270">
        <v>2500</v>
      </c>
      <c r="L50" s="270">
        <v>3500</v>
      </c>
      <c r="M50" s="270">
        <v>3500</v>
      </c>
      <c r="N50" s="270">
        <v>2800</v>
      </c>
      <c r="O50" s="270">
        <v>2400</v>
      </c>
      <c r="P50" s="270">
        <v>2400</v>
      </c>
      <c r="Q50" s="270">
        <v>2400</v>
      </c>
      <c r="R50" s="45">
        <f t="shared" si="2"/>
        <v>32600</v>
      </c>
    </row>
    <row r="51" spans="1:18" ht="23.25" customHeight="1">
      <c r="A51" s="154"/>
      <c r="B51" s="44"/>
      <c r="C51" s="163" t="s">
        <v>345</v>
      </c>
      <c r="D51" s="172" t="s">
        <v>112</v>
      </c>
      <c r="E51" s="189">
        <v>1500</v>
      </c>
      <c r="F51" s="189">
        <v>3500</v>
      </c>
      <c r="G51" s="182">
        <v>1300</v>
      </c>
      <c r="H51" s="182">
        <v>2500</v>
      </c>
      <c r="I51" s="182">
        <v>2500</v>
      </c>
      <c r="J51" s="182">
        <v>2500</v>
      </c>
      <c r="K51" s="182">
        <v>2500</v>
      </c>
      <c r="L51" s="182">
        <v>5000</v>
      </c>
      <c r="M51" s="182">
        <v>5000</v>
      </c>
      <c r="N51" s="182">
        <v>2800</v>
      </c>
      <c r="O51" s="182">
        <v>2500</v>
      </c>
      <c r="P51" s="182">
        <v>2500</v>
      </c>
      <c r="Q51" s="182">
        <v>3000</v>
      </c>
      <c r="R51" s="45">
        <f t="shared" si="1"/>
        <v>37100</v>
      </c>
    </row>
    <row r="52" spans="1:18" ht="23.25" customHeight="1">
      <c r="A52" s="162"/>
      <c r="B52" s="40"/>
      <c r="C52" s="163" t="s">
        <v>346</v>
      </c>
      <c r="D52" s="172" t="s">
        <v>121</v>
      </c>
      <c r="E52" s="189">
        <v>1500</v>
      </c>
      <c r="F52" s="189">
        <v>2800</v>
      </c>
      <c r="G52" s="182">
        <v>1300</v>
      </c>
      <c r="H52" s="182">
        <v>2500</v>
      </c>
      <c r="I52" s="182">
        <v>2500</v>
      </c>
      <c r="J52" s="182">
        <v>2500</v>
      </c>
      <c r="K52" s="182">
        <v>2500</v>
      </c>
      <c r="L52" s="182">
        <v>3500</v>
      </c>
      <c r="M52" s="182">
        <v>3500</v>
      </c>
      <c r="N52" s="182">
        <v>2800</v>
      </c>
      <c r="O52" s="182">
        <v>2500</v>
      </c>
      <c r="P52" s="182">
        <v>2500</v>
      </c>
      <c r="Q52" s="182">
        <v>3000</v>
      </c>
      <c r="R52" s="45">
        <f>SUM(E52:Q52)</f>
        <v>33400</v>
      </c>
    </row>
    <row r="53" spans="1:18" ht="23.25" customHeight="1">
      <c r="A53" s="168"/>
      <c r="B53" s="163"/>
      <c r="C53" s="163" t="s">
        <v>347</v>
      </c>
      <c r="D53" s="172" t="s">
        <v>184</v>
      </c>
      <c r="E53" s="189">
        <v>1500</v>
      </c>
      <c r="F53" s="189">
        <v>3500</v>
      </c>
      <c r="G53" s="182">
        <v>1300</v>
      </c>
      <c r="H53" s="182">
        <v>2500</v>
      </c>
      <c r="I53" s="182">
        <v>2500</v>
      </c>
      <c r="J53" s="182">
        <v>2500</v>
      </c>
      <c r="K53" s="182">
        <v>2500</v>
      </c>
      <c r="L53" s="182">
        <v>5000</v>
      </c>
      <c r="M53" s="182">
        <v>5000</v>
      </c>
      <c r="N53" s="182">
        <v>2800</v>
      </c>
      <c r="O53" s="182">
        <v>2500</v>
      </c>
      <c r="P53" s="182">
        <v>2500</v>
      </c>
      <c r="Q53" s="182">
        <v>2500</v>
      </c>
      <c r="R53" s="45">
        <f t="shared" ref="R53:R113" si="3">SUM(E53:Q53)</f>
        <v>36600</v>
      </c>
    </row>
    <row r="54" spans="1:18" ht="23.25" customHeight="1">
      <c r="A54" s="162"/>
      <c r="B54" s="40"/>
      <c r="C54" s="163" t="s">
        <v>348</v>
      </c>
      <c r="D54" s="172" t="s">
        <v>122</v>
      </c>
      <c r="E54" s="189">
        <v>1500</v>
      </c>
      <c r="F54" s="189">
        <v>3500</v>
      </c>
      <c r="G54" s="182">
        <v>1300</v>
      </c>
      <c r="H54" s="182">
        <v>2500</v>
      </c>
      <c r="I54" s="182">
        <v>2500</v>
      </c>
      <c r="J54" s="182">
        <v>2500</v>
      </c>
      <c r="K54" s="182">
        <v>2500</v>
      </c>
      <c r="L54" s="182">
        <v>5000</v>
      </c>
      <c r="M54" s="182">
        <v>5000</v>
      </c>
      <c r="N54" s="182">
        <v>2800</v>
      </c>
      <c r="O54" s="182">
        <v>2500</v>
      </c>
      <c r="P54" s="182">
        <v>2500</v>
      </c>
      <c r="Q54" s="182">
        <v>3000</v>
      </c>
      <c r="R54" s="45">
        <f t="shared" si="3"/>
        <v>37100</v>
      </c>
    </row>
    <row r="55" spans="1:18" ht="23.25" customHeight="1">
      <c r="A55" s="170"/>
      <c r="B55" s="163"/>
      <c r="C55" s="163" t="s">
        <v>349</v>
      </c>
      <c r="D55" s="172" t="s">
        <v>123</v>
      </c>
      <c r="E55" s="189">
        <v>1500</v>
      </c>
      <c r="F55" s="189">
        <v>3500</v>
      </c>
      <c r="G55" s="182">
        <v>1300</v>
      </c>
      <c r="H55" s="182">
        <v>2500</v>
      </c>
      <c r="I55" s="182">
        <v>2500</v>
      </c>
      <c r="J55" s="182">
        <v>2500</v>
      </c>
      <c r="K55" s="182">
        <v>2500</v>
      </c>
      <c r="L55" s="187">
        <v>5000</v>
      </c>
      <c r="M55" s="182">
        <v>5000</v>
      </c>
      <c r="N55" s="182">
        <v>2800</v>
      </c>
      <c r="O55" s="182" t="s">
        <v>200</v>
      </c>
      <c r="P55" s="182">
        <v>2500</v>
      </c>
      <c r="Q55" s="182">
        <v>3000</v>
      </c>
      <c r="R55" s="45">
        <f t="shared" si="3"/>
        <v>34600</v>
      </c>
    </row>
    <row r="56" spans="1:18" ht="22.95" customHeight="1">
      <c r="A56" s="44"/>
      <c r="B56" s="40"/>
      <c r="C56" s="163" t="s">
        <v>350</v>
      </c>
      <c r="D56" s="172" t="s">
        <v>151</v>
      </c>
      <c r="E56" s="189">
        <v>1500</v>
      </c>
      <c r="F56" s="189">
        <v>3500</v>
      </c>
      <c r="G56" s="182">
        <v>1300</v>
      </c>
      <c r="H56" s="182">
        <v>2500</v>
      </c>
      <c r="I56" s="182">
        <v>2500</v>
      </c>
      <c r="J56" s="182">
        <v>2500</v>
      </c>
      <c r="K56" s="182">
        <v>2500</v>
      </c>
      <c r="L56" s="182">
        <v>3500</v>
      </c>
      <c r="M56" s="182">
        <v>5000</v>
      </c>
      <c r="N56" s="182">
        <v>2800</v>
      </c>
      <c r="O56" s="182">
        <v>2500</v>
      </c>
      <c r="P56" s="182">
        <v>2500</v>
      </c>
      <c r="Q56" s="182">
        <v>2500</v>
      </c>
      <c r="R56" s="45">
        <f t="shared" si="3"/>
        <v>35100</v>
      </c>
    </row>
    <row r="57" spans="1:18" ht="23.25" customHeight="1">
      <c r="A57" s="170"/>
      <c r="B57" s="163"/>
      <c r="C57" s="163" t="s">
        <v>351</v>
      </c>
      <c r="D57" s="172" t="s">
        <v>152</v>
      </c>
      <c r="E57" s="189">
        <v>1500</v>
      </c>
      <c r="F57" s="253" t="s">
        <v>259</v>
      </c>
      <c r="G57" s="182">
        <v>4100</v>
      </c>
      <c r="H57" s="182">
        <v>2500</v>
      </c>
      <c r="I57" s="182">
        <v>2500</v>
      </c>
      <c r="J57" s="182">
        <v>2500</v>
      </c>
      <c r="K57" s="182">
        <v>2500</v>
      </c>
      <c r="L57" s="268" t="s">
        <v>447</v>
      </c>
      <c r="M57" s="182">
        <v>5000</v>
      </c>
      <c r="N57" s="182">
        <v>2800</v>
      </c>
      <c r="O57" s="182">
        <v>2500</v>
      </c>
      <c r="P57" s="182">
        <v>2500</v>
      </c>
      <c r="Q57" s="182">
        <v>3000</v>
      </c>
      <c r="R57" s="45">
        <f t="shared" si="3"/>
        <v>31400</v>
      </c>
    </row>
    <row r="58" spans="1:18" ht="23.25" customHeight="1">
      <c r="A58" s="170"/>
      <c r="B58" s="163"/>
      <c r="C58" s="163" t="s">
        <v>174</v>
      </c>
      <c r="D58" s="172" t="s">
        <v>156</v>
      </c>
      <c r="E58" s="189">
        <v>1500</v>
      </c>
      <c r="F58" s="189">
        <v>3500</v>
      </c>
      <c r="G58" s="182">
        <v>1300</v>
      </c>
      <c r="H58" s="270">
        <v>2500</v>
      </c>
      <c r="I58" s="270">
        <v>2500</v>
      </c>
      <c r="J58" s="270">
        <v>2500</v>
      </c>
      <c r="K58" s="270">
        <v>2500</v>
      </c>
      <c r="L58" s="415">
        <v>5000</v>
      </c>
      <c r="M58" s="270">
        <v>5000</v>
      </c>
      <c r="N58" s="270">
        <v>2800</v>
      </c>
      <c r="O58" s="270">
        <v>2500</v>
      </c>
      <c r="P58" s="270">
        <v>2500</v>
      </c>
      <c r="Q58" s="182">
        <v>3000</v>
      </c>
      <c r="R58" s="45">
        <f t="shared" si="3"/>
        <v>37100</v>
      </c>
    </row>
    <row r="59" spans="1:18" ht="23.25" customHeight="1">
      <c r="A59" s="170"/>
      <c r="B59" s="163"/>
      <c r="C59" s="163" t="s">
        <v>175</v>
      </c>
      <c r="D59" s="172" t="s">
        <v>153</v>
      </c>
      <c r="E59" s="183">
        <v>1500</v>
      </c>
      <c r="F59" s="189">
        <v>3500</v>
      </c>
      <c r="G59" s="182">
        <v>1300</v>
      </c>
      <c r="H59" s="182">
        <v>2500</v>
      </c>
      <c r="I59" s="182">
        <v>2500</v>
      </c>
      <c r="J59" s="182">
        <v>2500</v>
      </c>
      <c r="K59" s="182">
        <v>2500</v>
      </c>
      <c r="L59" s="182">
        <v>5000</v>
      </c>
      <c r="M59" s="187">
        <v>5000</v>
      </c>
      <c r="N59" s="182">
        <v>2800</v>
      </c>
      <c r="O59" s="182">
        <v>2500</v>
      </c>
      <c r="P59" s="182">
        <v>2500</v>
      </c>
      <c r="Q59" s="182">
        <v>3000</v>
      </c>
      <c r="R59" s="45">
        <f t="shared" si="3"/>
        <v>37100</v>
      </c>
    </row>
    <row r="60" spans="1:18" ht="23.25" customHeight="1">
      <c r="A60" s="170"/>
      <c r="B60" s="163"/>
      <c r="C60" s="163" t="s">
        <v>176</v>
      </c>
      <c r="D60" s="172" t="s">
        <v>154</v>
      </c>
      <c r="E60" s="189">
        <v>1500</v>
      </c>
      <c r="F60" s="189">
        <v>3500</v>
      </c>
      <c r="G60" s="182">
        <v>1300</v>
      </c>
      <c r="H60" s="182">
        <v>2500</v>
      </c>
      <c r="I60" s="182">
        <v>2500</v>
      </c>
      <c r="J60" s="182">
        <v>2500</v>
      </c>
      <c r="K60" s="270">
        <v>2500</v>
      </c>
      <c r="L60" s="270">
        <v>5000</v>
      </c>
      <c r="M60" s="270">
        <v>5000</v>
      </c>
      <c r="N60" s="270">
        <v>2800</v>
      </c>
      <c r="O60" s="270">
        <v>2500</v>
      </c>
      <c r="P60" s="182">
        <v>2500</v>
      </c>
      <c r="Q60" s="270">
        <v>3000</v>
      </c>
      <c r="R60" s="45">
        <f t="shared" si="3"/>
        <v>37100</v>
      </c>
    </row>
    <row r="61" spans="1:18" ht="23.25" customHeight="1">
      <c r="A61" s="170"/>
      <c r="B61" s="163"/>
      <c r="C61" s="163" t="s">
        <v>177</v>
      </c>
      <c r="D61" s="172" t="s">
        <v>202</v>
      </c>
      <c r="E61" s="189">
        <v>1500</v>
      </c>
      <c r="F61" s="230">
        <v>2800</v>
      </c>
      <c r="G61" s="182">
        <v>1300</v>
      </c>
      <c r="H61" s="182">
        <v>2500</v>
      </c>
      <c r="I61" s="182">
        <v>2500</v>
      </c>
      <c r="J61" s="181">
        <v>2500</v>
      </c>
      <c r="K61" s="182">
        <v>2500</v>
      </c>
      <c r="L61" s="181">
        <v>3500</v>
      </c>
      <c r="M61" s="187">
        <v>3500</v>
      </c>
      <c r="N61" s="182">
        <v>2800</v>
      </c>
      <c r="O61" s="181">
        <v>2500</v>
      </c>
      <c r="P61" s="266" t="s">
        <v>565</v>
      </c>
      <c r="Q61" s="181">
        <v>2500</v>
      </c>
      <c r="R61" s="45">
        <f t="shared" si="3"/>
        <v>30400</v>
      </c>
    </row>
    <row r="62" spans="1:18" ht="23.25" customHeight="1">
      <c r="A62" s="170"/>
      <c r="B62" s="163"/>
      <c r="C62" s="163" t="s">
        <v>178</v>
      </c>
      <c r="D62" s="172" t="s">
        <v>157</v>
      </c>
      <c r="E62" s="189">
        <v>1500</v>
      </c>
      <c r="F62" s="230">
        <v>2800</v>
      </c>
      <c r="G62" s="282">
        <v>1300</v>
      </c>
      <c r="H62" s="282">
        <v>2500</v>
      </c>
      <c r="I62" s="282">
        <v>2500</v>
      </c>
      <c r="J62" s="291">
        <v>2500</v>
      </c>
      <c r="K62" s="291">
        <v>2500</v>
      </c>
      <c r="L62" s="291">
        <v>3500</v>
      </c>
      <c r="M62" s="291">
        <v>3500</v>
      </c>
      <c r="N62" s="291">
        <v>2800</v>
      </c>
      <c r="O62" s="291">
        <v>2500</v>
      </c>
      <c r="P62" s="291">
        <v>2500</v>
      </c>
      <c r="Q62" s="291">
        <v>3000</v>
      </c>
      <c r="R62" s="45">
        <f t="shared" si="3"/>
        <v>33400</v>
      </c>
    </row>
    <row r="63" spans="1:18" ht="23.25" customHeight="1">
      <c r="A63" s="170"/>
      <c r="B63" s="163"/>
      <c r="C63" s="163" t="s">
        <v>179</v>
      </c>
      <c r="D63" s="172" t="s">
        <v>158</v>
      </c>
      <c r="E63" s="184">
        <v>1500</v>
      </c>
      <c r="F63" s="230">
        <v>2800</v>
      </c>
      <c r="G63" s="282">
        <v>1300</v>
      </c>
      <c r="H63" s="282">
        <v>2500</v>
      </c>
      <c r="I63" s="282">
        <v>2500</v>
      </c>
      <c r="J63" s="291">
        <v>2500</v>
      </c>
      <c r="K63" s="291">
        <v>2500</v>
      </c>
      <c r="L63" s="270">
        <v>3500</v>
      </c>
      <c r="M63" s="291">
        <v>3500</v>
      </c>
      <c r="N63" s="291">
        <v>2800</v>
      </c>
      <c r="O63" s="291">
        <v>2500</v>
      </c>
      <c r="P63" s="291">
        <v>2500</v>
      </c>
      <c r="Q63" s="291">
        <v>2500</v>
      </c>
      <c r="R63" s="45">
        <f t="shared" ref="R63:R75" si="4">SUM(E63:Q63)</f>
        <v>32900</v>
      </c>
    </row>
    <row r="64" spans="1:18" ht="23.25" customHeight="1">
      <c r="A64" s="162"/>
      <c r="B64" s="40"/>
      <c r="C64" s="163" t="s">
        <v>180</v>
      </c>
      <c r="D64" s="172" t="s">
        <v>203</v>
      </c>
      <c r="E64" s="189">
        <v>1500</v>
      </c>
      <c r="F64" s="230">
        <v>2800</v>
      </c>
      <c r="G64" s="182">
        <v>1300</v>
      </c>
      <c r="H64" s="182">
        <v>2500</v>
      </c>
      <c r="I64" s="182">
        <v>2500</v>
      </c>
      <c r="J64" s="182">
        <v>2500</v>
      </c>
      <c r="K64" s="182">
        <v>2500</v>
      </c>
      <c r="L64" s="182">
        <v>3500</v>
      </c>
      <c r="M64" s="182">
        <v>3500</v>
      </c>
      <c r="N64" s="182">
        <v>2800</v>
      </c>
      <c r="O64" s="182">
        <v>2500</v>
      </c>
      <c r="P64" s="182">
        <v>2500</v>
      </c>
      <c r="Q64" s="182">
        <v>3000</v>
      </c>
      <c r="R64" s="45">
        <f t="shared" si="4"/>
        <v>33400</v>
      </c>
    </row>
    <row r="65" spans="1:18" ht="23.25" customHeight="1">
      <c r="A65" s="170"/>
      <c r="B65" s="163"/>
      <c r="C65" s="163" t="s">
        <v>181</v>
      </c>
      <c r="D65" s="172" t="s">
        <v>204</v>
      </c>
      <c r="E65" s="189">
        <v>1500</v>
      </c>
      <c r="F65" s="232">
        <v>2800</v>
      </c>
      <c r="G65" s="182">
        <v>1300</v>
      </c>
      <c r="H65" s="182">
        <v>2500</v>
      </c>
      <c r="I65" s="182">
        <v>2500</v>
      </c>
      <c r="J65" s="181">
        <v>2500</v>
      </c>
      <c r="K65" s="182">
        <v>2500</v>
      </c>
      <c r="L65" s="181">
        <v>5000</v>
      </c>
      <c r="M65" s="181">
        <v>5000</v>
      </c>
      <c r="N65" s="182">
        <v>2800</v>
      </c>
      <c r="O65" s="181">
        <v>2500</v>
      </c>
      <c r="P65" s="181">
        <v>2500</v>
      </c>
      <c r="Q65" s="181">
        <v>3000</v>
      </c>
      <c r="R65" s="45">
        <f t="shared" si="4"/>
        <v>36400</v>
      </c>
    </row>
    <row r="66" spans="1:18" ht="23.25" customHeight="1">
      <c r="A66" s="170"/>
      <c r="B66" s="163"/>
      <c r="C66" s="163" t="s">
        <v>182</v>
      </c>
      <c r="D66" s="172" t="s">
        <v>160</v>
      </c>
      <c r="E66" s="189"/>
      <c r="F66" s="232">
        <v>2800</v>
      </c>
      <c r="G66" s="181"/>
      <c r="H66" s="181"/>
      <c r="I66" s="182">
        <v>2500</v>
      </c>
      <c r="J66" s="181">
        <v>2500</v>
      </c>
      <c r="K66" s="182"/>
      <c r="L66" s="181"/>
      <c r="M66" s="181"/>
      <c r="N66" s="181"/>
      <c r="O66" s="181"/>
      <c r="P66" s="181"/>
      <c r="Q66" s="181"/>
      <c r="R66" s="45">
        <f t="shared" si="4"/>
        <v>7800</v>
      </c>
    </row>
    <row r="67" spans="1:18" ht="23.25" customHeight="1">
      <c r="A67" s="170"/>
      <c r="B67" s="163"/>
      <c r="C67" s="163" t="s">
        <v>183</v>
      </c>
      <c r="D67" s="172" t="s">
        <v>217</v>
      </c>
      <c r="E67" s="230"/>
      <c r="F67" s="232">
        <v>2800</v>
      </c>
      <c r="G67" s="266" t="s">
        <v>282</v>
      </c>
      <c r="H67" s="181">
        <v>3800</v>
      </c>
      <c r="I67" s="182">
        <v>2500</v>
      </c>
      <c r="J67" s="182">
        <v>2500</v>
      </c>
      <c r="K67" s="182">
        <v>2500</v>
      </c>
      <c r="L67" s="181">
        <v>3500</v>
      </c>
      <c r="M67" s="181">
        <v>3500</v>
      </c>
      <c r="N67" s="182">
        <v>2800</v>
      </c>
      <c r="O67" s="181" t="s">
        <v>200</v>
      </c>
      <c r="P67" s="181"/>
      <c r="Q67" s="181"/>
      <c r="R67" s="224">
        <f t="shared" si="4"/>
        <v>23900</v>
      </c>
    </row>
    <row r="68" spans="1:18" ht="23.25" customHeight="1">
      <c r="A68" s="170"/>
      <c r="B68" s="163"/>
      <c r="C68" s="163" t="s">
        <v>238</v>
      </c>
      <c r="D68" s="172" t="s">
        <v>218</v>
      </c>
      <c r="E68" s="230"/>
      <c r="F68" s="232">
        <v>3500</v>
      </c>
      <c r="G68" s="182">
        <v>1300</v>
      </c>
      <c r="H68" s="182">
        <v>2500</v>
      </c>
      <c r="I68" s="182">
        <v>2500</v>
      </c>
      <c r="J68" s="182">
        <v>2500</v>
      </c>
      <c r="K68" s="182">
        <v>2500</v>
      </c>
      <c r="L68" s="181">
        <v>5000</v>
      </c>
      <c r="M68" s="181">
        <v>5000</v>
      </c>
      <c r="N68" s="182" t="s">
        <v>261</v>
      </c>
      <c r="O68" s="181">
        <v>1600</v>
      </c>
      <c r="P68" s="181">
        <v>1600</v>
      </c>
      <c r="Q68" s="181"/>
      <c r="R68" s="224">
        <f t="shared" si="4"/>
        <v>28000</v>
      </c>
    </row>
    <row r="69" spans="1:18" ht="23.25" customHeight="1">
      <c r="A69" s="170"/>
      <c r="B69" s="163"/>
      <c r="C69" s="163" t="s">
        <v>239</v>
      </c>
      <c r="D69" s="172" t="s">
        <v>219</v>
      </c>
      <c r="E69" s="230"/>
      <c r="F69" s="232">
        <v>2800</v>
      </c>
      <c r="G69" s="267">
        <v>1300</v>
      </c>
      <c r="H69" s="182">
        <v>2500</v>
      </c>
      <c r="I69" s="182">
        <v>2500</v>
      </c>
      <c r="J69" s="182">
        <v>2500</v>
      </c>
      <c r="K69" s="182">
        <v>2500</v>
      </c>
      <c r="L69" s="181">
        <v>3500</v>
      </c>
      <c r="M69" s="181">
        <v>3500</v>
      </c>
      <c r="N69" s="182">
        <v>2800</v>
      </c>
      <c r="O69" s="181">
        <v>2500</v>
      </c>
      <c r="P69" s="181">
        <v>2500</v>
      </c>
      <c r="Q69" s="181">
        <v>3000</v>
      </c>
      <c r="R69" s="224">
        <f t="shared" si="4"/>
        <v>31900</v>
      </c>
    </row>
    <row r="70" spans="1:18" ht="23.25" customHeight="1">
      <c r="A70" s="170"/>
      <c r="B70" s="163"/>
      <c r="C70" s="163" t="s">
        <v>240</v>
      </c>
      <c r="D70" s="172" t="s">
        <v>220</v>
      </c>
      <c r="E70" s="230"/>
      <c r="F70" s="232">
        <v>2800</v>
      </c>
      <c r="G70" s="182">
        <v>1300</v>
      </c>
      <c r="H70" s="182">
        <v>2500</v>
      </c>
      <c r="I70" s="182">
        <v>2500</v>
      </c>
      <c r="J70" s="182">
        <v>2500</v>
      </c>
      <c r="K70" s="182">
        <v>2500</v>
      </c>
      <c r="L70" s="181">
        <v>3500</v>
      </c>
      <c r="M70" s="181">
        <v>5000</v>
      </c>
      <c r="N70" s="182">
        <v>2800</v>
      </c>
      <c r="O70" s="181">
        <v>2500</v>
      </c>
      <c r="P70" s="181">
        <v>2500</v>
      </c>
      <c r="Q70" s="181">
        <v>3000</v>
      </c>
      <c r="R70" s="224"/>
    </row>
    <row r="71" spans="1:18" ht="23.25" customHeight="1">
      <c r="A71" s="170"/>
      <c r="B71" s="163"/>
      <c r="C71" s="163" t="s">
        <v>241</v>
      </c>
      <c r="D71" s="172" t="s">
        <v>221</v>
      </c>
      <c r="E71" s="230"/>
      <c r="F71" s="232">
        <v>2800</v>
      </c>
      <c r="G71" s="181"/>
      <c r="H71" s="181"/>
      <c r="I71" s="181"/>
      <c r="J71" s="181"/>
      <c r="K71" s="181"/>
      <c r="L71" s="181">
        <v>3500</v>
      </c>
      <c r="M71" s="181">
        <v>3500</v>
      </c>
      <c r="N71" s="181"/>
      <c r="O71" s="181"/>
      <c r="P71" s="181"/>
      <c r="Q71" s="181"/>
      <c r="R71" s="224"/>
    </row>
    <row r="72" spans="1:18" ht="23.25" customHeight="1">
      <c r="A72" s="170"/>
      <c r="B72" s="163"/>
      <c r="C72" s="163" t="s">
        <v>242</v>
      </c>
      <c r="D72" s="172" t="s">
        <v>222</v>
      </c>
      <c r="E72" s="230"/>
      <c r="F72" s="232">
        <v>3500</v>
      </c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224"/>
    </row>
    <row r="73" spans="1:18" ht="23.25" customHeight="1">
      <c r="A73" s="170"/>
      <c r="B73" s="163"/>
      <c r="C73" s="163" t="s">
        <v>243</v>
      </c>
      <c r="D73" s="172" t="s">
        <v>223</v>
      </c>
      <c r="E73" s="230"/>
      <c r="F73" s="232">
        <v>2800</v>
      </c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224"/>
    </row>
    <row r="74" spans="1:18" ht="23.25" customHeight="1">
      <c r="A74" s="170"/>
      <c r="B74" s="163"/>
      <c r="C74" s="163" t="s">
        <v>244</v>
      </c>
      <c r="D74" s="172" t="s">
        <v>224</v>
      </c>
      <c r="E74" s="184"/>
      <c r="F74" s="232">
        <v>2800</v>
      </c>
      <c r="G74" s="181"/>
      <c r="H74" s="181"/>
      <c r="I74" s="297">
        <v>2400</v>
      </c>
      <c r="J74" s="297">
        <v>1200</v>
      </c>
      <c r="K74" s="297">
        <v>1600</v>
      </c>
      <c r="L74" s="181">
        <v>4300</v>
      </c>
      <c r="M74" s="181">
        <v>3500</v>
      </c>
      <c r="N74" s="181"/>
      <c r="O74" s="181">
        <v>1600</v>
      </c>
      <c r="P74" s="181">
        <v>1600</v>
      </c>
      <c r="Q74" s="181">
        <v>1600</v>
      </c>
      <c r="R74" s="45">
        <f t="shared" si="4"/>
        <v>20600</v>
      </c>
    </row>
    <row r="75" spans="1:18" ht="23.25" customHeight="1">
      <c r="A75" s="170"/>
      <c r="B75" s="163"/>
      <c r="C75" s="163" t="s">
        <v>245</v>
      </c>
      <c r="D75" s="172" t="s">
        <v>225</v>
      </c>
      <c r="E75" s="184"/>
      <c r="F75" s="232">
        <v>2800</v>
      </c>
      <c r="G75" s="181"/>
      <c r="H75" s="181"/>
      <c r="I75" s="297">
        <v>2400</v>
      </c>
      <c r="J75" s="297">
        <v>1200</v>
      </c>
      <c r="K75" s="297">
        <v>1600</v>
      </c>
      <c r="L75" s="181">
        <v>4300</v>
      </c>
      <c r="M75" s="181">
        <v>3500</v>
      </c>
      <c r="N75" s="181"/>
      <c r="O75" s="181">
        <v>1600</v>
      </c>
      <c r="P75" s="181">
        <v>1600</v>
      </c>
      <c r="Q75" s="181">
        <v>1600</v>
      </c>
      <c r="R75" s="45">
        <f t="shared" si="4"/>
        <v>20600</v>
      </c>
    </row>
    <row r="76" spans="1:18" ht="23.25" customHeight="1">
      <c r="A76" s="170"/>
      <c r="B76" s="163"/>
      <c r="C76" s="163" t="s">
        <v>246</v>
      </c>
      <c r="D76" s="172" t="s">
        <v>226</v>
      </c>
      <c r="E76" s="184"/>
      <c r="F76" s="232">
        <v>3500</v>
      </c>
      <c r="G76" s="181"/>
      <c r="H76" s="181"/>
      <c r="I76" s="297">
        <v>400</v>
      </c>
      <c r="J76" s="297">
        <v>800</v>
      </c>
      <c r="K76" s="297">
        <v>400</v>
      </c>
      <c r="L76" s="181">
        <v>3500</v>
      </c>
      <c r="M76" s="181"/>
      <c r="N76" s="181"/>
      <c r="O76" s="181"/>
      <c r="P76" s="181"/>
      <c r="Q76" s="181"/>
      <c r="R76" s="45">
        <f t="shared" si="3"/>
        <v>8600</v>
      </c>
    </row>
    <row r="77" spans="1:18" ht="23.25" customHeight="1">
      <c r="A77" s="170"/>
      <c r="B77" s="163"/>
      <c r="C77" s="163" t="s">
        <v>247</v>
      </c>
      <c r="D77" s="172" t="s">
        <v>185</v>
      </c>
      <c r="E77" s="295">
        <v>400</v>
      </c>
      <c r="F77" s="230">
        <v>3500</v>
      </c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45">
        <f t="shared" si="3"/>
        <v>3900</v>
      </c>
    </row>
    <row r="78" spans="1:18" ht="19.8" customHeight="1">
      <c r="A78" s="170"/>
      <c r="B78" s="163"/>
      <c r="C78" s="163" t="s">
        <v>248</v>
      </c>
      <c r="D78" s="226" t="s">
        <v>197</v>
      </c>
      <c r="E78" s="295">
        <v>1200</v>
      </c>
      <c r="F78" s="230">
        <v>3500</v>
      </c>
      <c r="G78" s="181"/>
      <c r="H78" s="181">
        <v>2800</v>
      </c>
      <c r="I78" s="181">
        <v>2500</v>
      </c>
      <c r="J78" s="181">
        <v>2500</v>
      </c>
      <c r="K78" s="182">
        <v>2500</v>
      </c>
      <c r="L78" s="181"/>
      <c r="M78" s="181">
        <v>4300</v>
      </c>
      <c r="N78" s="266" t="s">
        <v>485</v>
      </c>
      <c r="O78" s="181">
        <v>5300</v>
      </c>
      <c r="P78" s="181">
        <v>2500</v>
      </c>
      <c r="Q78" s="181">
        <v>3000</v>
      </c>
      <c r="R78" s="45">
        <f t="shared" si="3"/>
        <v>30100</v>
      </c>
    </row>
    <row r="79" spans="1:18" ht="19.2" customHeight="1">
      <c r="A79" s="170"/>
      <c r="B79" s="163"/>
      <c r="C79" s="163" t="s">
        <v>249</v>
      </c>
      <c r="D79" s="226" t="s">
        <v>159</v>
      </c>
      <c r="E79" s="358">
        <v>1200</v>
      </c>
      <c r="F79" s="189">
        <v>2800</v>
      </c>
      <c r="G79" s="183"/>
      <c r="H79" s="187"/>
      <c r="I79" s="187"/>
      <c r="J79" s="360">
        <v>3200</v>
      </c>
      <c r="K79" s="187"/>
      <c r="L79" s="181">
        <v>800</v>
      </c>
      <c r="M79" s="181"/>
      <c r="N79" s="181"/>
      <c r="O79" s="181"/>
      <c r="P79" s="181"/>
      <c r="Q79" s="181"/>
      <c r="R79" s="45">
        <f t="shared" si="3"/>
        <v>8000</v>
      </c>
    </row>
    <row r="80" spans="1:18" ht="20.399999999999999" customHeight="1">
      <c r="A80" s="170"/>
      <c r="B80" s="163"/>
      <c r="C80" s="163" t="s">
        <v>250</v>
      </c>
      <c r="D80" s="172" t="s">
        <v>260</v>
      </c>
      <c r="E80" s="184"/>
      <c r="F80" s="260" t="s">
        <v>259</v>
      </c>
      <c r="G80" s="181">
        <v>3500</v>
      </c>
      <c r="H80" s="181"/>
      <c r="I80" s="181"/>
      <c r="J80" s="181"/>
      <c r="K80" s="181"/>
      <c r="L80" s="181">
        <v>5000</v>
      </c>
      <c r="M80" s="181">
        <v>5000</v>
      </c>
      <c r="N80" s="181"/>
      <c r="O80" s="181"/>
      <c r="P80" s="181"/>
      <c r="Q80" s="181"/>
      <c r="R80" s="45">
        <f t="shared" si="3"/>
        <v>13500</v>
      </c>
    </row>
    <row r="81" spans="1:18" ht="19.2" customHeight="1">
      <c r="A81" s="170"/>
      <c r="B81" s="254"/>
      <c r="C81" s="163" t="s">
        <v>251</v>
      </c>
      <c r="D81" s="255" t="s">
        <v>265</v>
      </c>
      <c r="E81" s="257"/>
      <c r="F81" s="258" t="s">
        <v>259</v>
      </c>
      <c r="G81" s="181">
        <v>4800</v>
      </c>
      <c r="H81" s="182">
        <v>2500</v>
      </c>
      <c r="I81" s="181"/>
      <c r="J81" s="181"/>
      <c r="K81" s="181"/>
      <c r="L81" s="181"/>
      <c r="M81" s="181"/>
      <c r="N81" s="181"/>
      <c r="O81" s="181"/>
      <c r="P81" s="181"/>
      <c r="Q81" s="181"/>
      <c r="R81" s="45">
        <f t="shared" si="3"/>
        <v>7300</v>
      </c>
    </row>
    <row r="82" spans="1:18" s="43" customFormat="1" ht="21.6" customHeight="1">
      <c r="A82" s="163"/>
      <c r="B82" s="163"/>
      <c r="C82" s="163" t="s">
        <v>252</v>
      </c>
      <c r="D82" s="497" t="s">
        <v>271</v>
      </c>
      <c r="E82" s="230"/>
      <c r="F82" s="232"/>
      <c r="G82" s="181">
        <v>2800</v>
      </c>
      <c r="H82" s="182">
        <v>2500</v>
      </c>
      <c r="I82" s="181">
        <v>2500</v>
      </c>
      <c r="J82" s="181">
        <v>2500</v>
      </c>
      <c r="K82" s="291">
        <v>2500</v>
      </c>
      <c r="L82" s="291">
        <v>5000</v>
      </c>
      <c r="M82" s="291">
        <v>5000</v>
      </c>
      <c r="N82" s="291">
        <v>2800</v>
      </c>
      <c r="O82" s="291">
        <v>2400</v>
      </c>
      <c r="P82" s="181">
        <v>2400</v>
      </c>
      <c r="Q82" s="291">
        <v>2400</v>
      </c>
      <c r="R82" s="224">
        <f t="shared" si="3"/>
        <v>32800</v>
      </c>
    </row>
    <row r="83" spans="1:18" s="43" customFormat="1" ht="23.25" customHeight="1">
      <c r="A83" s="163"/>
      <c r="B83" s="163"/>
      <c r="C83" s="163" t="s">
        <v>253</v>
      </c>
      <c r="D83" s="255" t="s">
        <v>304</v>
      </c>
      <c r="E83" s="230"/>
      <c r="F83" s="232"/>
      <c r="G83" s="181"/>
      <c r="H83" s="181"/>
      <c r="I83" s="181">
        <v>2500</v>
      </c>
      <c r="J83" s="182">
        <v>2500</v>
      </c>
      <c r="K83" s="182">
        <v>2500</v>
      </c>
      <c r="L83" s="181">
        <v>3500</v>
      </c>
      <c r="M83" s="181">
        <v>3500</v>
      </c>
      <c r="N83" s="182"/>
      <c r="O83" s="181"/>
      <c r="P83" s="181"/>
      <c r="Q83" s="181"/>
      <c r="R83" s="224">
        <v>14500</v>
      </c>
    </row>
    <row r="84" spans="1:18" s="43" customFormat="1" ht="23.25" customHeight="1">
      <c r="A84" s="163"/>
      <c r="B84" s="163"/>
      <c r="C84" s="163" t="s">
        <v>254</v>
      </c>
      <c r="D84" s="255" t="s">
        <v>305</v>
      </c>
      <c r="E84" s="230"/>
      <c r="F84" s="232"/>
      <c r="G84" s="181"/>
      <c r="H84" s="181"/>
      <c r="I84" s="181">
        <v>1800</v>
      </c>
      <c r="J84" s="182">
        <v>2500</v>
      </c>
      <c r="K84" s="181">
        <v>2500</v>
      </c>
      <c r="L84" s="181"/>
      <c r="M84" s="181"/>
      <c r="N84" s="181"/>
      <c r="O84" s="181"/>
      <c r="P84" s="181"/>
      <c r="Q84" s="181"/>
      <c r="R84" s="224">
        <v>6800</v>
      </c>
    </row>
    <row r="85" spans="1:18" s="43" customFormat="1" ht="23.25" customHeight="1">
      <c r="A85" s="163"/>
      <c r="B85" s="163"/>
      <c r="C85" s="163" t="s">
        <v>301</v>
      </c>
      <c r="D85" s="497" t="s">
        <v>306</v>
      </c>
      <c r="E85" s="230"/>
      <c r="F85" s="232"/>
      <c r="G85" s="230"/>
      <c r="H85" s="181"/>
      <c r="I85" s="181">
        <v>1800</v>
      </c>
      <c r="J85" s="182">
        <v>2500</v>
      </c>
      <c r="K85" s="182">
        <v>2500</v>
      </c>
      <c r="L85" s="181">
        <v>5000</v>
      </c>
      <c r="M85" s="181">
        <v>5000</v>
      </c>
      <c r="N85" s="181">
        <v>2800</v>
      </c>
      <c r="O85" s="181">
        <v>2400</v>
      </c>
      <c r="P85" s="181">
        <v>2400</v>
      </c>
      <c r="Q85" s="181">
        <v>2900</v>
      </c>
      <c r="R85" s="224">
        <v>27300</v>
      </c>
    </row>
    <row r="86" spans="1:18" s="43" customFormat="1" ht="23.25" customHeight="1">
      <c r="A86" s="163"/>
      <c r="B86" s="163"/>
      <c r="C86" s="163" t="s">
        <v>302</v>
      </c>
      <c r="D86" s="255" t="s">
        <v>308</v>
      </c>
      <c r="E86" s="230"/>
      <c r="F86" s="232"/>
      <c r="G86" s="230"/>
      <c r="H86" s="181"/>
      <c r="I86" s="181">
        <v>1800</v>
      </c>
      <c r="J86" s="182">
        <v>2500</v>
      </c>
      <c r="K86" s="182">
        <v>2500</v>
      </c>
      <c r="L86" s="181">
        <v>3500</v>
      </c>
      <c r="M86" s="181">
        <v>3500</v>
      </c>
      <c r="N86" s="181">
        <v>2800</v>
      </c>
      <c r="O86" s="181">
        <v>2500</v>
      </c>
      <c r="P86" s="181">
        <v>2500</v>
      </c>
      <c r="Q86" s="181">
        <v>3000</v>
      </c>
      <c r="R86" s="224">
        <v>24600</v>
      </c>
    </row>
    <row r="87" spans="1:18" s="43" customFormat="1" ht="23.25" customHeight="1">
      <c r="A87" s="163"/>
      <c r="B87" s="163"/>
      <c r="C87" s="163" t="s">
        <v>303</v>
      </c>
      <c r="D87" s="255" t="s">
        <v>319</v>
      </c>
      <c r="E87" s="230"/>
      <c r="F87" s="232"/>
      <c r="G87" s="230"/>
      <c r="H87" s="181"/>
      <c r="I87" s="181"/>
      <c r="J87" s="181">
        <v>4300</v>
      </c>
      <c r="K87" s="182">
        <v>2500</v>
      </c>
      <c r="L87" s="266" t="s">
        <v>423</v>
      </c>
      <c r="M87" s="181">
        <v>7000</v>
      </c>
      <c r="N87" s="181">
        <v>2800</v>
      </c>
      <c r="O87" s="181">
        <v>2500</v>
      </c>
      <c r="P87" s="266" t="s">
        <v>565</v>
      </c>
      <c r="Q87" s="181">
        <v>5500</v>
      </c>
      <c r="R87" s="224">
        <v>19100</v>
      </c>
    </row>
    <row r="88" spans="1:18" s="43" customFormat="1" ht="23.25" customHeight="1">
      <c r="A88" s="163"/>
      <c r="B88" s="163"/>
      <c r="C88" s="163" t="s">
        <v>307</v>
      </c>
      <c r="D88" s="255" t="s">
        <v>321</v>
      </c>
      <c r="E88" s="230"/>
      <c r="F88" s="232"/>
      <c r="G88" s="230"/>
      <c r="H88" s="181"/>
      <c r="I88" s="181"/>
      <c r="J88" s="181">
        <v>1800</v>
      </c>
      <c r="K88" s="182">
        <v>2500</v>
      </c>
      <c r="L88" s="181">
        <v>3500</v>
      </c>
      <c r="M88" s="181"/>
      <c r="N88" s="181">
        <v>2800</v>
      </c>
      <c r="O88" s="181">
        <v>2500</v>
      </c>
      <c r="P88" s="181">
        <v>2500</v>
      </c>
      <c r="Q88" s="181">
        <v>3000</v>
      </c>
      <c r="R88" s="224">
        <v>18600</v>
      </c>
    </row>
    <row r="89" spans="1:18" s="43" customFormat="1" ht="23.25" customHeight="1">
      <c r="A89" s="163"/>
      <c r="B89" s="163"/>
      <c r="C89" s="163" t="s">
        <v>383</v>
      </c>
      <c r="D89" s="255" t="s">
        <v>385</v>
      </c>
      <c r="E89" s="230"/>
      <c r="F89" s="232"/>
      <c r="G89" s="230"/>
      <c r="H89" s="181"/>
      <c r="I89" s="181"/>
      <c r="J89" s="181"/>
      <c r="K89" s="181">
        <v>2500</v>
      </c>
      <c r="L89" s="181">
        <v>3500</v>
      </c>
      <c r="M89" s="181">
        <v>3500</v>
      </c>
      <c r="N89" s="181">
        <v>2800</v>
      </c>
      <c r="O89" s="181" t="s">
        <v>290</v>
      </c>
      <c r="P89" s="181" t="s">
        <v>290</v>
      </c>
      <c r="Q89" s="181" t="s">
        <v>290</v>
      </c>
      <c r="R89" s="224">
        <v>12300</v>
      </c>
    </row>
    <row r="90" spans="1:18" s="43" customFormat="1" ht="23.25" customHeight="1">
      <c r="A90" s="163"/>
      <c r="B90" s="163"/>
      <c r="C90" s="163" t="s">
        <v>384</v>
      </c>
      <c r="D90" s="255" t="s">
        <v>386</v>
      </c>
      <c r="E90" s="230"/>
      <c r="F90" s="232"/>
      <c r="G90" s="230"/>
      <c r="H90" s="181"/>
      <c r="I90" s="181"/>
      <c r="J90" s="181"/>
      <c r="K90" s="181">
        <v>1500</v>
      </c>
      <c r="L90" s="181">
        <v>3500</v>
      </c>
      <c r="M90" s="181">
        <v>3500</v>
      </c>
      <c r="N90" s="181"/>
      <c r="O90" s="181"/>
      <c r="P90" s="181"/>
      <c r="Q90" s="181"/>
      <c r="R90" s="224">
        <v>8500</v>
      </c>
    </row>
    <row r="91" spans="1:18" s="43" customFormat="1" ht="23.25" customHeight="1">
      <c r="A91" s="416"/>
      <c r="B91" s="416"/>
      <c r="C91" s="416" t="s">
        <v>433</v>
      </c>
      <c r="D91" s="417" t="s">
        <v>399</v>
      </c>
      <c r="E91" s="418"/>
      <c r="F91" s="419"/>
      <c r="G91" s="418"/>
      <c r="H91" s="420"/>
      <c r="I91" s="420"/>
      <c r="J91" s="420"/>
      <c r="K91" s="420"/>
      <c r="L91" s="420">
        <v>5000</v>
      </c>
      <c r="M91" s="420">
        <v>3500</v>
      </c>
      <c r="N91" s="420"/>
      <c r="O91" s="420"/>
      <c r="P91" s="420"/>
      <c r="Q91" s="420"/>
      <c r="R91" s="421">
        <v>8500</v>
      </c>
    </row>
    <row r="92" spans="1:18" s="43" customFormat="1" ht="23.25" customHeight="1">
      <c r="A92" s="416"/>
      <c r="B92" s="416"/>
      <c r="C92" s="416" t="s">
        <v>434</v>
      </c>
      <c r="D92" s="417" t="s">
        <v>400</v>
      </c>
      <c r="E92" s="418"/>
      <c r="F92" s="419"/>
      <c r="G92" s="418"/>
      <c r="H92" s="420"/>
      <c r="I92" s="420"/>
      <c r="J92" s="420"/>
      <c r="K92" s="420"/>
      <c r="L92" s="420">
        <v>5000</v>
      </c>
      <c r="M92" s="420">
        <v>5000</v>
      </c>
      <c r="N92" s="420"/>
      <c r="O92" s="420"/>
      <c r="P92" s="420"/>
      <c r="Q92" s="420"/>
      <c r="R92" s="421">
        <v>10000</v>
      </c>
    </row>
    <row r="93" spans="1:18" s="43" customFormat="1" ht="23.25" customHeight="1">
      <c r="A93" s="416"/>
      <c r="B93" s="416"/>
      <c r="C93" s="416" t="s">
        <v>435</v>
      </c>
      <c r="D93" s="417" t="s">
        <v>401</v>
      </c>
      <c r="E93" s="418"/>
      <c r="F93" s="419"/>
      <c r="G93" s="418"/>
      <c r="H93" s="420"/>
      <c r="I93" s="420"/>
      <c r="J93" s="420"/>
      <c r="K93" s="420"/>
      <c r="L93" s="420">
        <v>5000</v>
      </c>
      <c r="M93" s="420">
        <v>5000</v>
      </c>
      <c r="N93" s="420"/>
      <c r="O93" s="420"/>
      <c r="P93" s="420"/>
      <c r="Q93" s="420"/>
      <c r="R93" s="421">
        <v>10000</v>
      </c>
    </row>
    <row r="94" spans="1:18" s="43" customFormat="1" ht="23.25" customHeight="1">
      <c r="A94" s="416"/>
      <c r="B94" s="416"/>
      <c r="C94" s="416" t="s">
        <v>436</v>
      </c>
      <c r="D94" s="417" t="s">
        <v>402</v>
      </c>
      <c r="E94" s="418"/>
      <c r="F94" s="419"/>
      <c r="G94" s="418"/>
      <c r="H94" s="420"/>
      <c r="I94" s="420"/>
      <c r="J94" s="420"/>
      <c r="K94" s="420"/>
      <c r="L94" s="420">
        <v>5000</v>
      </c>
      <c r="M94" s="420">
        <v>3500</v>
      </c>
      <c r="N94" s="420"/>
      <c r="O94" s="420"/>
      <c r="P94" s="420"/>
      <c r="Q94" s="420"/>
      <c r="R94" s="421">
        <v>8500</v>
      </c>
    </row>
    <row r="95" spans="1:18" s="43" customFormat="1" ht="23.25" customHeight="1">
      <c r="A95" s="416"/>
      <c r="B95" s="416"/>
      <c r="C95" s="416" t="s">
        <v>437</v>
      </c>
      <c r="D95" s="417" t="s">
        <v>403</v>
      </c>
      <c r="E95" s="418"/>
      <c r="F95" s="419"/>
      <c r="G95" s="418"/>
      <c r="H95" s="420"/>
      <c r="I95" s="420"/>
      <c r="J95" s="420"/>
      <c r="K95" s="420"/>
      <c r="L95" s="420">
        <v>3500</v>
      </c>
      <c r="M95" s="420"/>
      <c r="N95" s="420"/>
      <c r="O95" s="420"/>
      <c r="P95" s="420"/>
      <c r="Q95" s="420"/>
      <c r="R95" s="421">
        <v>3500</v>
      </c>
    </row>
    <row r="96" spans="1:18" s="43" customFormat="1" ht="23.25" customHeight="1">
      <c r="A96" s="416"/>
      <c r="B96" s="416"/>
      <c r="C96" s="416" t="s">
        <v>438</v>
      </c>
      <c r="D96" s="417" t="s">
        <v>404</v>
      </c>
      <c r="E96" s="418"/>
      <c r="F96" s="419"/>
      <c r="G96" s="418"/>
      <c r="H96" s="420"/>
      <c r="I96" s="420"/>
      <c r="J96" s="420"/>
      <c r="K96" s="420"/>
      <c r="L96" s="420">
        <v>3500</v>
      </c>
      <c r="M96" s="420"/>
      <c r="N96" s="420"/>
      <c r="O96" s="420"/>
      <c r="P96" s="420"/>
      <c r="Q96" s="420"/>
      <c r="R96" s="421">
        <v>3500</v>
      </c>
    </row>
    <row r="97" spans="1:18" s="43" customFormat="1" ht="23.25" customHeight="1">
      <c r="A97" s="416"/>
      <c r="B97" s="416"/>
      <c r="C97" s="416" t="s">
        <v>439</v>
      </c>
      <c r="D97" s="417" t="s">
        <v>405</v>
      </c>
      <c r="E97" s="418"/>
      <c r="F97" s="419"/>
      <c r="G97" s="418"/>
      <c r="H97" s="420"/>
      <c r="I97" s="420"/>
      <c r="J97" s="420"/>
      <c r="K97" s="420"/>
      <c r="L97" s="420">
        <v>5000</v>
      </c>
      <c r="M97" s="420">
        <v>3500</v>
      </c>
      <c r="N97" s="420"/>
      <c r="O97" s="420"/>
      <c r="P97" s="420"/>
      <c r="Q97" s="420"/>
      <c r="R97" s="421">
        <v>8500</v>
      </c>
    </row>
    <row r="98" spans="1:18" s="43" customFormat="1" ht="23.25" customHeight="1">
      <c r="A98" s="416"/>
      <c r="B98" s="416"/>
      <c r="C98" s="416" t="s">
        <v>440</v>
      </c>
      <c r="D98" s="417" t="s">
        <v>406</v>
      </c>
      <c r="E98" s="418"/>
      <c r="F98" s="419"/>
      <c r="G98" s="418"/>
      <c r="H98" s="420"/>
      <c r="I98" s="420"/>
      <c r="J98" s="420"/>
      <c r="K98" s="420"/>
      <c r="L98" s="420">
        <v>3500</v>
      </c>
      <c r="M98" s="420"/>
      <c r="N98" s="420"/>
      <c r="O98" s="420"/>
      <c r="P98" s="420"/>
      <c r="Q98" s="420"/>
      <c r="R98" s="421">
        <v>3500</v>
      </c>
    </row>
    <row r="99" spans="1:18" s="43" customFormat="1" ht="23.25" customHeight="1">
      <c r="A99" s="416"/>
      <c r="B99" s="416"/>
      <c r="C99" s="416" t="s">
        <v>441</v>
      </c>
      <c r="D99" s="417" t="s">
        <v>407</v>
      </c>
      <c r="E99" s="418"/>
      <c r="F99" s="419"/>
      <c r="G99" s="418"/>
      <c r="H99" s="420"/>
      <c r="I99" s="420"/>
      <c r="J99" s="420"/>
      <c r="K99" s="420"/>
      <c r="L99" s="420">
        <v>3500</v>
      </c>
      <c r="M99" s="420">
        <v>3500</v>
      </c>
      <c r="N99" s="182">
        <v>1800</v>
      </c>
      <c r="O99" s="420">
        <v>2500</v>
      </c>
      <c r="P99" s="420">
        <v>2500</v>
      </c>
      <c r="Q99" s="420">
        <v>3000</v>
      </c>
      <c r="R99" s="421">
        <v>16800</v>
      </c>
    </row>
    <row r="100" spans="1:18" s="43" customFormat="1" ht="23.25" customHeight="1">
      <c r="A100" s="416"/>
      <c r="B100" s="416"/>
      <c r="C100" s="416" t="s">
        <v>442</v>
      </c>
      <c r="D100" s="417" t="s">
        <v>408</v>
      </c>
      <c r="E100" s="418"/>
      <c r="F100" s="419"/>
      <c r="G100" s="418"/>
      <c r="H100" s="420"/>
      <c r="I100" s="420"/>
      <c r="J100" s="420"/>
      <c r="K100" s="420"/>
      <c r="L100" s="420">
        <v>5000</v>
      </c>
      <c r="M100" s="420"/>
      <c r="N100" s="420"/>
      <c r="O100" s="420"/>
      <c r="P100" s="420"/>
      <c r="Q100" s="420"/>
      <c r="R100" s="421"/>
    </row>
    <row r="101" spans="1:18" s="43" customFormat="1" ht="23.25" customHeight="1">
      <c r="A101" s="416"/>
      <c r="B101" s="416"/>
      <c r="C101" s="416" t="s">
        <v>443</v>
      </c>
      <c r="D101" s="417" t="s">
        <v>409</v>
      </c>
      <c r="E101" s="418"/>
      <c r="F101" s="419"/>
      <c r="G101" s="418"/>
      <c r="H101" s="420"/>
      <c r="I101" s="420"/>
      <c r="J101" s="420"/>
      <c r="K101" s="420"/>
      <c r="L101" s="420">
        <v>3500</v>
      </c>
      <c r="M101" s="420"/>
      <c r="N101" s="420"/>
      <c r="O101" s="420"/>
      <c r="P101" s="420"/>
      <c r="Q101" s="420"/>
      <c r="R101" s="421"/>
    </row>
    <row r="102" spans="1:18" s="43" customFormat="1" ht="23.25" customHeight="1">
      <c r="A102" s="163"/>
      <c r="B102" s="163"/>
      <c r="C102" s="163" t="s">
        <v>444</v>
      </c>
      <c r="D102" s="255" t="s">
        <v>432</v>
      </c>
      <c r="E102" s="230"/>
      <c r="F102" s="232"/>
      <c r="G102" s="230"/>
      <c r="H102" s="181"/>
      <c r="I102" s="181"/>
      <c r="J102" s="181"/>
      <c r="K102" s="181"/>
      <c r="L102" s="181"/>
      <c r="M102" s="181">
        <v>3500</v>
      </c>
      <c r="N102" s="181"/>
      <c r="O102" s="181"/>
      <c r="P102" s="181"/>
      <c r="Q102" s="181"/>
      <c r="R102" s="224"/>
    </row>
    <row r="103" spans="1:18" s="43" customFormat="1" ht="23.25" customHeight="1">
      <c r="A103" s="482"/>
      <c r="B103" s="482"/>
      <c r="C103" s="482" t="s">
        <v>536</v>
      </c>
      <c r="D103" s="483" t="s">
        <v>482</v>
      </c>
      <c r="E103" s="484"/>
      <c r="F103" s="485"/>
      <c r="G103" s="484"/>
      <c r="H103" s="486"/>
      <c r="I103" s="486"/>
      <c r="J103" s="486"/>
      <c r="K103" s="486"/>
      <c r="L103" s="486"/>
      <c r="M103" s="486"/>
      <c r="N103" s="486">
        <v>1800</v>
      </c>
      <c r="O103" s="486">
        <v>2500</v>
      </c>
      <c r="P103" s="486">
        <v>2500</v>
      </c>
      <c r="Q103" s="486">
        <v>2500</v>
      </c>
      <c r="R103" s="487">
        <v>9300</v>
      </c>
    </row>
    <row r="104" spans="1:18" s="43" customFormat="1" ht="23.25" customHeight="1">
      <c r="A104" s="482"/>
      <c r="B104" s="482"/>
      <c r="C104" s="482" t="s">
        <v>537</v>
      </c>
      <c r="D104" s="483" t="s">
        <v>483</v>
      </c>
      <c r="E104" s="484"/>
      <c r="F104" s="485"/>
      <c r="G104" s="484"/>
      <c r="H104" s="486"/>
      <c r="I104" s="486"/>
      <c r="J104" s="486"/>
      <c r="K104" s="486"/>
      <c r="L104" s="486"/>
      <c r="M104" s="486"/>
      <c r="N104" s="486">
        <v>1800</v>
      </c>
      <c r="O104" s="486">
        <v>2500</v>
      </c>
      <c r="P104" s="486">
        <v>2500</v>
      </c>
      <c r="Q104" s="486">
        <v>2500</v>
      </c>
      <c r="R104" s="487">
        <v>9300</v>
      </c>
    </row>
    <row r="105" spans="1:18" s="43" customFormat="1" ht="23.25" customHeight="1">
      <c r="A105" s="482"/>
      <c r="B105" s="482"/>
      <c r="C105" s="482" t="s">
        <v>538</v>
      </c>
      <c r="D105" s="483" t="s">
        <v>484</v>
      </c>
      <c r="E105" s="484"/>
      <c r="F105" s="485"/>
      <c r="G105" s="484"/>
      <c r="H105" s="486"/>
      <c r="I105" s="486"/>
      <c r="J105" s="486"/>
      <c r="K105" s="486"/>
      <c r="L105" s="486"/>
      <c r="M105" s="486"/>
      <c r="N105" s="486">
        <v>1800</v>
      </c>
      <c r="O105" s="486">
        <v>2500</v>
      </c>
      <c r="P105" s="486">
        <v>2500</v>
      </c>
      <c r="Q105" s="486">
        <v>3000</v>
      </c>
      <c r="R105" s="487">
        <v>9800</v>
      </c>
    </row>
    <row r="106" spans="1:18" s="43" customFormat="1" ht="23.25" customHeight="1">
      <c r="A106" s="482"/>
      <c r="B106" s="482"/>
      <c r="C106" s="482" t="s">
        <v>539</v>
      </c>
      <c r="D106" s="483" t="s">
        <v>516</v>
      </c>
      <c r="E106" s="484"/>
      <c r="F106" s="485"/>
      <c r="G106" s="484"/>
      <c r="H106" s="486"/>
      <c r="I106" s="486"/>
      <c r="J106" s="486"/>
      <c r="K106" s="486"/>
      <c r="L106" s="486"/>
      <c r="M106" s="486"/>
      <c r="N106" s="512" t="s">
        <v>519</v>
      </c>
      <c r="O106" s="486">
        <v>5300</v>
      </c>
      <c r="P106" s="486">
        <v>2500</v>
      </c>
      <c r="Q106" s="486">
        <v>3000</v>
      </c>
      <c r="R106" s="487"/>
    </row>
    <row r="107" spans="1:18" s="43" customFormat="1" ht="23.25" customHeight="1">
      <c r="A107" s="482"/>
      <c r="B107" s="482"/>
      <c r="C107" s="482" t="s">
        <v>540</v>
      </c>
      <c r="D107" s="483" t="s">
        <v>515</v>
      </c>
      <c r="E107" s="484"/>
      <c r="F107" s="485"/>
      <c r="G107" s="484"/>
      <c r="H107" s="486"/>
      <c r="I107" s="486"/>
      <c r="J107" s="486"/>
      <c r="K107" s="486"/>
      <c r="L107" s="486"/>
      <c r="M107" s="486"/>
      <c r="N107" s="512"/>
      <c r="O107" s="486">
        <v>1800</v>
      </c>
      <c r="P107" s="486">
        <v>2500</v>
      </c>
      <c r="Q107" s="486">
        <v>3000</v>
      </c>
      <c r="R107" s="487">
        <v>7300</v>
      </c>
    </row>
    <row r="108" spans="1:18" s="43" customFormat="1" ht="23.25" customHeight="1">
      <c r="A108" s="482"/>
      <c r="B108" s="482"/>
      <c r="C108" s="482" t="s">
        <v>541</v>
      </c>
      <c r="D108" s="483" t="s">
        <v>535</v>
      </c>
      <c r="E108" s="484"/>
      <c r="F108" s="485"/>
      <c r="G108" s="484"/>
      <c r="H108" s="486"/>
      <c r="I108" s="486"/>
      <c r="J108" s="486"/>
      <c r="K108" s="486"/>
      <c r="L108" s="486"/>
      <c r="M108" s="486"/>
      <c r="N108" s="486"/>
      <c r="O108" s="486">
        <v>1800</v>
      </c>
      <c r="P108" s="486">
        <v>2500</v>
      </c>
      <c r="Q108" s="486">
        <v>3000</v>
      </c>
      <c r="R108" s="487">
        <v>7300</v>
      </c>
    </row>
    <row r="109" spans="1:18" s="43" customFormat="1" ht="23.25" customHeight="1">
      <c r="A109" s="482"/>
      <c r="B109" s="482"/>
      <c r="C109" s="482" t="s">
        <v>581</v>
      </c>
      <c r="D109" s="483" t="s">
        <v>585</v>
      </c>
      <c r="E109" s="484"/>
      <c r="F109" s="485"/>
      <c r="G109" s="484"/>
      <c r="H109" s="486"/>
      <c r="I109" s="486"/>
      <c r="J109" s="486"/>
      <c r="K109" s="486"/>
      <c r="L109" s="486"/>
      <c r="M109" s="486"/>
      <c r="N109" s="486"/>
      <c r="O109" s="486"/>
      <c r="P109" s="486"/>
      <c r="Q109" s="486">
        <v>4800</v>
      </c>
      <c r="R109" s="487"/>
    </row>
    <row r="110" spans="1:18" s="43" customFormat="1" ht="23.25" customHeight="1">
      <c r="A110" s="482"/>
      <c r="B110" s="482"/>
      <c r="C110" s="482" t="s">
        <v>586</v>
      </c>
      <c r="D110" s="483" t="s">
        <v>582</v>
      </c>
      <c r="E110" s="484"/>
      <c r="F110" s="485"/>
      <c r="G110" s="484"/>
      <c r="H110" s="486"/>
      <c r="I110" s="486"/>
      <c r="J110" s="486"/>
      <c r="K110" s="486"/>
      <c r="L110" s="486"/>
      <c r="M110" s="486"/>
      <c r="N110" s="486"/>
      <c r="O110" s="486"/>
      <c r="P110" s="486"/>
      <c r="Q110" s="486">
        <v>2300</v>
      </c>
      <c r="R110" s="487"/>
    </row>
    <row r="111" spans="1:18" s="43" customFormat="1" ht="23.25" customHeight="1">
      <c r="A111" s="482"/>
      <c r="B111" s="482"/>
      <c r="C111" s="482"/>
      <c r="D111" s="483"/>
      <c r="E111" s="484"/>
      <c r="F111" s="485"/>
      <c r="G111" s="484"/>
      <c r="H111" s="486"/>
      <c r="I111" s="486"/>
      <c r="J111" s="486"/>
      <c r="K111" s="486"/>
      <c r="L111" s="486"/>
      <c r="M111" s="486"/>
      <c r="N111" s="486"/>
      <c r="O111" s="486"/>
      <c r="P111" s="486"/>
      <c r="Q111" s="486"/>
      <c r="R111" s="487"/>
    </row>
    <row r="112" spans="1:18" s="43" customFormat="1" ht="23.25" customHeight="1">
      <c r="A112" s="482"/>
      <c r="B112" s="482"/>
      <c r="C112" s="482"/>
      <c r="D112" s="483"/>
      <c r="E112" s="484"/>
      <c r="F112" s="485"/>
      <c r="G112" s="484"/>
      <c r="H112" s="486"/>
      <c r="I112" s="486"/>
      <c r="J112" s="486"/>
      <c r="K112" s="486"/>
      <c r="L112" s="486"/>
      <c r="M112" s="486"/>
      <c r="N112" s="486"/>
      <c r="O112" s="486"/>
      <c r="P112" s="486"/>
      <c r="Q112" s="486"/>
      <c r="R112" s="487"/>
    </row>
    <row r="113" spans="1:18" s="43" customFormat="1" ht="23.25" customHeight="1">
      <c r="A113" s="163"/>
      <c r="B113" s="163"/>
      <c r="C113" s="254"/>
      <c r="D113" s="256"/>
      <c r="E113" s="230"/>
      <c r="F113" s="232"/>
      <c r="G113" s="232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224">
        <f t="shared" si="3"/>
        <v>0</v>
      </c>
    </row>
    <row r="114" spans="1:18" s="43" customFormat="1" ht="23.25" customHeight="1">
      <c r="A114" s="163"/>
      <c r="B114" s="254" t="s">
        <v>261</v>
      </c>
      <c r="C114" s="163"/>
      <c r="D114" s="293" t="s">
        <v>198</v>
      </c>
      <c r="E114" s="295">
        <v>800</v>
      </c>
      <c r="F114" s="296">
        <v>800</v>
      </c>
      <c r="G114" s="296">
        <v>1200</v>
      </c>
      <c r="H114" s="181"/>
      <c r="I114" s="181"/>
      <c r="J114" s="371">
        <v>2000</v>
      </c>
      <c r="K114" s="296">
        <v>2400</v>
      </c>
      <c r="L114" s="181"/>
      <c r="M114" s="181"/>
      <c r="N114" s="181"/>
      <c r="O114" s="181"/>
      <c r="P114" s="181"/>
      <c r="Q114" s="181"/>
      <c r="R114" s="224"/>
    </row>
    <row r="115" spans="1:18" s="43" customFormat="1" ht="23.25" customHeight="1">
      <c r="A115" s="163"/>
      <c r="B115" s="163"/>
      <c r="C115" s="163"/>
      <c r="D115" s="293" t="s">
        <v>209</v>
      </c>
      <c r="E115" s="230"/>
      <c r="F115" s="296">
        <v>1200</v>
      </c>
      <c r="G115" s="232"/>
      <c r="H115" s="296">
        <v>1200</v>
      </c>
      <c r="I115" s="296">
        <v>2000</v>
      </c>
      <c r="J115" s="181"/>
      <c r="K115" s="296">
        <v>2000</v>
      </c>
      <c r="L115" s="181"/>
      <c r="M115" s="297">
        <v>1200</v>
      </c>
      <c r="N115" s="181"/>
      <c r="O115" s="181">
        <v>1600</v>
      </c>
      <c r="P115" s="181"/>
      <c r="Q115" s="181"/>
      <c r="R115" s="224"/>
    </row>
    <row r="116" spans="1:18" s="43" customFormat="1" ht="23.25" customHeight="1">
      <c r="A116" s="163"/>
      <c r="B116" s="163"/>
      <c r="C116" s="163"/>
      <c r="D116" s="294" t="s">
        <v>227</v>
      </c>
      <c r="E116" s="230"/>
      <c r="F116" s="296">
        <v>400</v>
      </c>
      <c r="G116" s="296">
        <v>400</v>
      </c>
      <c r="H116" s="181"/>
      <c r="I116" s="181"/>
      <c r="K116" s="181"/>
      <c r="L116" s="181"/>
      <c r="M116" s="181"/>
      <c r="N116" s="181"/>
      <c r="O116" s="181"/>
      <c r="P116" s="181"/>
      <c r="Q116" s="181"/>
      <c r="R116" s="224"/>
    </row>
    <row r="117" spans="1:18" s="43" customFormat="1" ht="23.25" customHeight="1">
      <c r="A117" s="163"/>
      <c r="B117" s="163"/>
      <c r="C117" s="163"/>
      <c r="D117" s="293" t="s">
        <v>287</v>
      </c>
      <c r="E117" s="292"/>
      <c r="F117" s="181"/>
      <c r="G117" s="261"/>
      <c r="H117" s="296">
        <v>1200</v>
      </c>
      <c r="I117" s="181"/>
      <c r="J117" s="296">
        <v>800</v>
      </c>
      <c r="K117" s="296">
        <v>2000</v>
      </c>
      <c r="L117" s="297">
        <v>800</v>
      </c>
      <c r="M117" s="181"/>
      <c r="N117" s="181">
        <v>1200</v>
      </c>
      <c r="O117" s="181">
        <v>1600</v>
      </c>
      <c r="P117" s="181">
        <v>1200</v>
      </c>
      <c r="Q117" s="181">
        <v>1200</v>
      </c>
      <c r="R117" s="224"/>
    </row>
    <row r="118" spans="1:18" s="43" customFormat="1" ht="24" customHeight="1">
      <c r="A118" s="163"/>
      <c r="B118" s="163"/>
      <c r="C118" s="163"/>
      <c r="D118" s="293" t="s">
        <v>361</v>
      </c>
      <c r="E118" s="181"/>
      <c r="F118" s="181"/>
      <c r="G118" s="181"/>
      <c r="H118" s="181"/>
      <c r="I118" s="181"/>
      <c r="J118" s="181"/>
      <c r="K118" s="181"/>
      <c r="L118" s="181"/>
      <c r="M118" s="297">
        <v>1200</v>
      </c>
      <c r="N118" s="181">
        <v>5600</v>
      </c>
      <c r="O118" s="181">
        <v>800</v>
      </c>
      <c r="P118" s="181"/>
      <c r="Q118" s="181">
        <v>800</v>
      </c>
      <c r="R118" s="224"/>
    </row>
    <row r="119" spans="1:18" s="43" customFormat="1" ht="24" customHeight="1">
      <c r="A119" s="163"/>
      <c r="B119" s="163"/>
      <c r="C119" s="163"/>
      <c r="D119" s="293" t="s">
        <v>452</v>
      </c>
      <c r="E119" s="181"/>
      <c r="F119" s="181"/>
      <c r="G119" s="181"/>
      <c r="H119" s="181"/>
      <c r="I119" s="181"/>
      <c r="J119" s="181"/>
      <c r="K119" s="181"/>
      <c r="L119" s="181"/>
      <c r="M119" s="297">
        <v>2000</v>
      </c>
      <c r="N119" s="181"/>
      <c r="O119" s="181">
        <v>2400</v>
      </c>
      <c r="P119" s="181"/>
      <c r="Q119" s="181"/>
      <c r="R119" s="224"/>
    </row>
    <row r="120" spans="1:18" s="43" customFormat="1" ht="23.25" customHeight="1">
      <c r="A120" s="163"/>
      <c r="B120" s="163"/>
      <c r="C120" s="163"/>
      <c r="D120" s="293" t="s">
        <v>453</v>
      </c>
      <c r="E120" s="181"/>
      <c r="F120" s="181"/>
      <c r="G120" s="181"/>
      <c r="H120" s="181"/>
      <c r="I120" s="181"/>
      <c r="J120" s="181"/>
      <c r="K120" s="181"/>
      <c r="L120" s="181"/>
      <c r="M120" s="297">
        <v>2000</v>
      </c>
      <c r="N120" s="181"/>
      <c r="O120" s="181">
        <v>2400</v>
      </c>
      <c r="P120" s="181"/>
      <c r="Q120" s="181"/>
      <c r="R120" s="224"/>
    </row>
    <row r="121" spans="1:18" s="43" customFormat="1" ht="23.25" customHeight="1">
      <c r="A121" s="416"/>
      <c r="B121" s="416"/>
      <c r="C121" s="416"/>
      <c r="D121" s="454" t="s">
        <v>548</v>
      </c>
      <c r="E121" s="420"/>
      <c r="F121" s="420"/>
      <c r="G121" s="420"/>
      <c r="H121" s="420"/>
      <c r="I121" s="420"/>
      <c r="J121" s="420"/>
      <c r="K121" s="420"/>
      <c r="L121" s="420"/>
      <c r="M121" s="420"/>
      <c r="N121" s="420"/>
      <c r="O121" s="420"/>
      <c r="P121" s="420">
        <v>800</v>
      </c>
      <c r="Q121" s="420"/>
      <c r="R121" s="421"/>
    </row>
    <row r="122" spans="1:18" s="43" customFormat="1" ht="23.25" customHeight="1">
      <c r="A122" s="482"/>
      <c r="B122" s="482"/>
      <c r="C122" s="482"/>
      <c r="D122" s="516" t="s">
        <v>549</v>
      </c>
      <c r="E122" s="486"/>
      <c r="F122" s="486"/>
      <c r="G122" s="486"/>
      <c r="H122" s="486"/>
      <c r="I122" s="486"/>
      <c r="J122" s="486"/>
      <c r="K122" s="486"/>
      <c r="L122" s="486"/>
      <c r="M122" s="486"/>
      <c r="N122" s="486"/>
      <c r="O122" s="486"/>
      <c r="P122" s="486">
        <v>1600</v>
      </c>
      <c r="Q122" s="486">
        <v>1600</v>
      </c>
      <c r="R122" s="487"/>
    </row>
    <row r="123" spans="1:18" s="43" customFormat="1" ht="23.25" customHeight="1">
      <c r="A123" s="482"/>
      <c r="B123" s="482"/>
      <c r="C123" s="482"/>
      <c r="D123" s="516" t="s">
        <v>550</v>
      </c>
      <c r="E123" s="486"/>
      <c r="F123" s="486"/>
      <c r="G123" s="486"/>
      <c r="H123" s="486"/>
      <c r="I123" s="486"/>
      <c r="J123" s="486"/>
      <c r="K123" s="486"/>
      <c r="L123" s="486"/>
      <c r="M123" s="486"/>
      <c r="N123" s="486"/>
      <c r="O123" s="486"/>
      <c r="P123" s="486">
        <v>1200</v>
      </c>
      <c r="Q123" s="486">
        <v>1200</v>
      </c>
      <c r="R123" s="487"/>
    </row>
    <row r="124" spans="1:18" s="43" customFormat="1" ht="23.25" customHeight="1">
      <c r="A124" s="482"/>
      <c r="B124" s="482"/>
      <c r="C124" s="482"/>
      <c r="D124" s="516" t="s">
        <v>557</v>
      </c>
      <c r="E124" s="486"/>
      <c r="F124" s="486"/>
      <c r="G124" s="486"/>
      <c r="H124" s="486"/>
      <c r="I124" s="486"/>
      <c r="J124" s="486"/>
      <c r="K124" s="486"/>
      <c r="L124" s="486"/>
      <c r="M124" s="486"/>
      <c r="N124" s="486"/>
      <c r="O124" s="486"/>
      <c r="P124" s="486">
        <v>1200</v>
      </c>
      <c r="Q124" s="486">
        <v>800</v>
      </c>
      <c r="R124" s="487"/>
    </row>
    <row r="125" spans="1:18" s="43" customFormat="1" ht="23.25" customHeight="1">
      <c r="A125" s="482"/>
      <c r="B125" s="482"/>
      <c r="C125" s="482"/>
      <c r="D125" s="516" t="s">
        <v>590</v>
      </c>
      <c r="E125" s="486"/>
      <c r="F125" s="486"/>
      <c r="G125" s="486"/>
      <c r="H125" s="486"/>
      <c r="I125" s="486"/>
      <c r="J125" s="486"/>
      <c r="K125" s="486"/>
      <c r="L125" s="486"/>
      <c r="M125" s="486"/>
      <c r="N125" s="486"/>
      <c r="O125" s="486"/>
      <c r="P125" s="486"/>
      <c r="Q125" s="486">
        <v>1600</v>
      </c>
      <c r="R125" s="487"/>
    </row>
    <row r="126" spans="1:18" s="43" customFormat="1" ht="23.25" customHeight="1">
      <c r="A126" s="482"/>
      <c r="B126" s="482"/>
      <c r="C126" s="482"/>
      <c r="D126" s="516"/>
      <c r="E126" s="486"/>
      <c r="F126" s="486"/>
      <c r="G126" s="486"/>
      <c r="H126" s="486"/>
      <c r="I126" s="486"/>
      <c r="J126" s="486"/>
      <c r="K126" s="486"/>
      <c r="L126" s="486"/>
      <c r="M126" s="486"/>
      <c r="N126" s="486"/>
      <c r="O126" s="486"/>
      <c r="P126" s="486"/>
      <c r="Q126" s="486"/>
      <c r="R126" s="487"/>
    </row>
    <row r="127" spans="1:18" s="43" customFormat="1" ht="23.25" customHeight="1">
      <c r="A127" s="482"/>
      <c r="B127" s="482"/>
      <c r="C127" s="482"/>
      <c r="D127" s="516"/>
      <c r="E127" s="486"/>
      <c r="F127" s="486"/>
      <c r="G127" s="486"/>
      <c r="H127" s="486"/>
      <c r="I127" s="486"/>
      <c r="J127" s="486"/>
      <c r="K127" s="486"/>
      <c r="L127" s="486"/>
      <c r="M127" s="486"/>
      <c r="N127" s="486"/>
      <c r="O127" s="486"/>
      <c r="P127" s="486"/>
      <c r="Q127" s="486"/>
      <c r="R127" s="487"/>
    </row>
    <row r="128" spans="1:18" s="43" customFormat="1" ht="23.25" customHeight="1">
      <c r="A128" s="482"/>
      <c r="B128" s="482"/>
      <c r="C128" s="482"/>
      <c r="D128" s="516"/>
      <c r="E128" s="486"/>
      <c r="F128" s="486"/>
      <c r="G128" s="486"/>
      <c r="H128" s="486"/>
      <c r="I128" s="486"/>
      <c r="J128" s="486"/>
      <c r="K128" s="486"/>
      <c r="L128" s="486"/>
      <c r="M128" s="486"/>
      <c r="N128" s="486"/>
      <c r="O128" s="486"/>
      <c r="P128" s="486"/>
      <c r="Q128" s="486"/>
      <c r="R128" s="487"/>
    </row>
    <row r="129" spans="1:256" s="43" customFormat="1" ht="23.25" customHeight="1">
      <c r="A129" s="482"/>
      <c r="B129" s="482"/>
      <c r="C129" s="482"/>
      <c r="D129" s="516"/>
      <c r="E129" s="486"/>
      <c r="F129" s="486"/>
      <c r="G129" s="486"/>
      <c r="H129" s="486"/>
      <c r="I129" s="486"/>
      <c r="J129" s="486"/>
      <c r="K129" s="486"/>
      <c r="L129" s="486"/>
      <c r="M129" s="486"/>
      <c r="N129" s="486"/>
      <c r="O129" s="486"/>
      <c r="P129" s="486"/>
      <c r="Q129" s="486"/>
      <c r="R129" s="487"/>
    </row>
    <row r="130" spans="1:256" s="43" customFormat="1" ht="23.25" customHeight="1">
      <c r="A130" s="482"/>
      <c r="B130" s="482"/>
      <c r="C130" s="482"/>
      <c r="D130" s="516"/>
      <c r="E130" s="486"/>
      <c r="F130" s="486"/>
      <c r="G130" s="486"/>
      <c r="H130" s="486"/>
      <c r="I130" s="486"/>
      <c r="J130" s="486"/>
      <c r="K130" s="486"/>
      <c r="L130" s="486"/>
      <c r="M130" s="486"/>
      <c r="N130" s="486"/>
      <c r="O130" s="486"/>
      <c r="P130" s="486"/>
      <c r="Q130" s="486"/>
      <c r="R130" s="487"/>
    </row>
    <row r="131" spans="1:256" s="43" customFormat="1" ht="23.25" customHeight="1">
      <c r="A131" s="163"/>
      <c r="B131" s="163"/>
      <c r="C131" s="163"/>
      <c r="D131" s="227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224"/>
    </row>
    <row r="132" spans="1:256" ht="23.25" customHeight="1">
      <c r="A132" s="52"/>
      <c r="B132" s="52"/>
      <c r="C132" s="193"/>
      <c r="D132" s="228"/>
      <c r="E132" s="288">
        <f>SUM(E2:E131)</f>
        <v>97700</v>
      </c>
      <c r="F132" s="187">
        <v>220100</v>
      </c>
      <c r="G132" s="289">
        <v>108400</v>
      </c>
      <c r="H132" s="182">
        <v>177000</v>
      </c>
      <c r="I132" s="182">
        <v>189500</v>
      </c>
      <c r="J132" s="182">
        <f>SUM(J1:J131)</f>
        <v>172300</v>
      </c>
      <c r="K132" s="182">
        <f>SUM(K12:K131)</f>
        <v>171000</v>
      </c>
      <c r="L132" s="182">
        <v>323200</v>
      </c>
      <c r="M132" s="435">
        <f>SUM(M12:M131)</f>
        <v>337900</v>
      </c>
      <c r="N132" s="182">
        <f>SUM(N12:N131)</f>
        <v>173800</v>
      </c>
      <c r="O132" s="182">
        <f>SUM(O12:O131)</f>
        <v>174400</v>
      </c>
      <c r="P132" s="182">
        <v>166800</v>
      </c>
      <c r="Q132" s="182">
        <v>194600</v>
      </c>
      <c r="R132" s="51"/>
    </row>
    <row r="133" spans="1:256" ht="23.25" customHeight="1">
      <c r="D133" s="47"/>
      <c r="F133" s="171"/>
      <c r="G133" s="287"/>
      <c r="H133" s="262"/>
      <c r="I133" s="262"/>
      <c r="K133" s="155"/>
      <c r="L133" s="434"/>
      <c r="M133" s="262"/>
      <c r="P133" s="171"/>
      <c r="Q133" s="43" t="s">
        <v>583</v>
      </c>
      <c r="IV133" s="47"/>
    </row>
    <row r="134" spans="1:256" ht="16.5" customHeight="1">
      <c r="L134" s="157"/>
      <c r="M134" s="156"/>
    </row>
    <row r="135" spans="1:256" ht="16.5" customHeight="1">
      <c r="L135" s="155"/>
      <c r="M135" s="156"/>
    </row>
    <row r="136" spans="1:256" ht="16.5" customHeight="1">
      <c r="L136" s="155"/>
      <c r="M136" s="156"/>
    </row>
    <row r="137" spans="1:256" ht="16.5" customHeight="1">
      <c r="L137" s="155"/>
      <c r="M137" s="156"/>
    </row>
    <row r="138" spans="1:256" ht="16.5" customHeight="1">
      <c r="L138" s="155"/>
      <c r="M138" s="156"/>
    </row>
    <row r="139" spans="1:256" ht="16.5" customHeight="1">
      <c r="L139" s="155"/>
      <c r="M139" s="156"/>
    </row>
    <row r="140" spans="1:256" ht="16.5" customHeight="1">
      <c r="L140" s="157"/>
      <c r="M140" s="156"/>
    </row>
    <row r="141" spans="1:256" ht="16.5" customHeight="1">
      <c r="L141" s="155"/>
      <c r="M141" s="156"/>
    </row>
    <row r="142" spans="1:256" ht="16.5" customHeight="1">
      <c r="L142" s="155"/>
      <c r="M142" s="156"/>
    </row>
    <row r="143" spans="1:256" ht="16.5" customHeight="1">
      <c r="L143" s="155"/>
      <c r="M143" s="156"/>
    </row>
    <row r="144" spans="1:256" ht="16.5" customHeight="1">
      <c r="L144" s="155"/>
      <c r="M144" s="156"/>
    </row>
    <row r="145" spans="12:13" ht="16.5" customHeight="1">
      <c r="L145" s="155"/>
      <c r="M145" s="156"/>
    </row>
    <row r="146" spans="12:13" ht="16.5" customHeight="1">
      <c r="L146" s="155"/>
      <c r="M146" s="156"/>
    </row>
    <row r="147" spans="12:13" ht="16.5" customHeight="1">
      <c r="L147" s="157"/>
      <c r="M147" s="156"/>
    </row>
    <row r="148" spans="12:13" ht="16.5" customHeight="1">
      <c r="L148" s="157"/>
      <c r="M148" s="156"/>
    </row>
    <row r="149" spans="12:13" ht="16.5" customHeight="1">
      <c r="L149" s="157"/>
      <c r="M149" s="156"/>
    </row>
    <row r="150" spans="12:13" ht="16.5" customHeight="1">
      <c r="L150" s="157"/>
      <c r="M150" s="156"/>
    </row>
    <row r="151" spans="12:13" ht="16.5" customHeight="1">
      <c r="L151" s="155"/>
      <c r="M151" s="156"/>
    </row>
    <row r="152" spans="12:13" ht="16.5" customHeight="1">
      <c r="L152" s="155"/>
      <c r="M152" s="156"/>
    </row>
    <row r="153" spans="12:13" ht="16.5" customHeight="1">
      <c r="L153" s="157"/>
      <c r="M153" s="156"/>
    </row>
    <row r="154" spans="12:13" ht="16.5" customHeight="1">
      <c r="L154" s="157"/>
      <c r="M154" s="156"/>
    </row>
    <row r="155" spans="12:13" ht="16.5" customHeight="1">
      <c r="L155" s="157"/>
      <c r="M155" s="156"/>
    </row>
    <row r="156" spans="12:13" ht="16.5" customHeight="1">
      <c r="L156" s="157"/>
      <c r="M156" s="156"/>
    </row>
    <row r="157" spans="12:13" ht="16.5" customHeight="1">
      <c r="L157" s="157"/>
      <c r="M157" s="156"/>
    </row>
    <row r="158" spans="12:13" ht="16.5" customHeight="1">
      <c r="L158" s="157"/>
      <c r="M158" s="156"/>
    </row>
    <row r="159" spans="12:13" ht="16.5" customHeight="1">
      <c r="L159" s="157"/>
      <c r="M159" s="156"/>
    </row>
    <row r="160" spans="12:13" ht="16.5" customHeight="1">
      <c r="L160" s="155"/>
      <c r="M160" s="156"/>
    </row>
    <row r="161" spans="12:13" ht="16.5" customHeight="1">
      <c r="L161" s="157"/>
      <c r="M161" s="156"/>
    </row>
    <row r="162" spans="12:13" ht="16.5" customHeight="1">
      <c r="L162" s="157"/>
      <c r="M162" s="156"/>
    </row>
    <row r="163" spans="12:13" ht="16.5" customHeight="1">
      <c r="L163" s="157"/>
      <c r="M163" s="156"/>
    </row>
    <row r="164" spans="12:13" ht="16.5" customHeight="1">
      <c r="L164" s="157"/>
      <c r="M164" s="156"/>
    </row>
    <row r="165" spans="12:13" ht="16.5" customHeight="1">
      <c r="L165" s="157"/>
      <c r="M165" s="156"/>
    </row>
    <row r="166" spans="12:13" ht="16.5" customHeight="1">
      <c r="L166" s="157"/>
      <c r="M166" s="156"/>
    </row>
    <row r="167" spans="12:13" ht="16.5" customHeight="1">
      <c r="L167" s="157"/>
      <c r="M167" s="156"/>
    </row>
    <row r="168" spans="12:13" ht="16.5" customHeight="1">
      <c r="L168" s="157"/>
      <c r="M168" s="156"/>
    </row>
  </sheetData>
  <phoneticPr fontId="2" type="noConversion"/>
  <conditionalFormatting sqref="D2 D15:D24 D26 E74:E131 D78:D112 G82:G113 G115:G131">
    <cfRule type="cellIs" dxfId="5" priority="11" stopIfTrue="1" operator="lessThan">
      <formula>0</formula>
    </cfRule>
  </conditionalFormatting>
  <conditionalFormatting sqref="D7:D11">
    <cfRule type="cellIs" dxfId="4" priority="10" stopIfTrue="1" operator="lessThan">
      <formula>0</formula>
    </cfRule>
  </conditionalFormatting>
  <conditionalFormatting sqref="D114:D115">
    <cfRule type="cellIs" dxfId="3" priority="1" stopIfTrue="1" operator="lessThan">
      <formula>0</formula>
    </cfRule>
  </conditionalFormatting>
  <conditionalFormatting sqref="E59 E63:E64">
    <cfRule type="cellIs" dxfId="2" priority="223" stopIfTrue="1" operator="lessThan">
      <formula>0</formula>
    </cfRule>
  </conditionalFormatting>
  <conditionalFormatting sqref="G79">
    <cfRule type="cellIs" dxfId="1" priority="14" stopIfTrue="1" operator="lessThan">
      <formula>0</formula>
    </cfRule>
  </conditionalFormatting>
  <pageMargins left="0.75" right="0.75" top="1" bottom="1" header="0.5" footer="0.5"/>
  <pageSetup scale="51" fitToHeight="0" orientation="portrait" r:id="rId1"/>
  <headerFooter>
    <oddHeader>&amp;C&amp;"Helvetica Neue,Bold"&amp;14&amp;K000000107年繳費球員名單</oddHeader>
    <oddFooter>&amp;C&amp;"Helvetica Neue,Regular"&amp;12&amp;K000000&amp;P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>
    <pageSetUpPr fitToPage="1"/>
  </sheetPr>
  <dimension ref="A1:IV17"/>
  <sheetViews>
    <sheetView showGridLines="0" showRuler="0" zoomScale="120" zoomScaleNormal="120" zoomScalePageLayoutView="112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17" sqref="N17"/>
    </sheetView>
  </sheetViews>
  <sheetFormatPr defaultColWidth="8.81640625" defaultRowHeight="16.5" customHeight="1"/>
  <cols>
    <col min="1" max="1" width="5" style="1" customWidth="1"/>
    <col min="2" max="2" width="8.1796875" style="1" customWidth="1"/>
    <col min="3" max="11" width="7.6328125" style="1" customWidth="1"/>
    <col min="12" max="12" width="8" style="1" customWidth="1"/>
    <col min="13" max="13" width="7.6328125" style="1" customWidth="1"/>
    <col min="14" max="14" width="8" style="1" customWidth="1"/>
    <col min="15" max="15" width="9.6328125" style="1" customWidth="1"/>
    <col min="16" max="256" width="8.81640625" style="1" customWidth="1"/>
    <col min="257" max="16384" width="8.81640625" style="2"/>
  </cols>
  <sheetData>
    <row r="1" spans="1:15" s="1" customFormat="1" ht="32.25" customHeight="1" thickBot="1">
      <c r="A1" s="568" t="s">
        <v>173</v>
      </c>
      <c r="B1" s="569"/>
      <c r="C1" s="570"/>
      <c r="D1" s="570"/>
      <c r="E1" s="570"/>
      <c r="F1" s="569"/>
      <c r="G1" s="569"/>
      <c r="H1" s="569"/>
      <c r="I1" s="569"/>
      <c r="J1" s="569"/>
      <c r="K1" s="569"/>
      <c r="L1" s="569"/>
      <c r="M1" s="569"/>
      <c r="N1" s="569"/>
      <c r="O1" s="18"/>
    </row>
    <row r="2" spans="1:15" s="1" customFormat="1" ht="21" customHeight="1" thickTop="1">
      <c r="A2" s="19" t="s">
        <v>33</v>
      </c>
      <c r="B2" s="20" t="s">
        <v>48</v>
      </c>
      <c r="C2" s="252" t="s">
        <v>255</v>
      </c>
      <c r="D2" s="30" t="s">
        <v>278</v>
      </c>
      <c r="E2" s="30" t="s">
        <v>74</v>
      </c>
      <c r="F2" s="30" t="s">
        <v>37</v>
      </c>
      <c r="G2" s="30" t="s">
        <v>38</v>
      </c>
      <c r="H2" s="30" t="s">
        <v>39</v>
      </c>
      <c r="I2" s="30" t="s">
        <v>40</v>
      </c>
      <c r="J2" s="30" t="s">
        <v>41</v>
      </c>
      <c r="K2" s="30" t="s">
        <v>42</v>
      </c>
      <c r="L2" s="30" t="s">
        <v>43</v>
      </c>
      <c r="M2" s="30" t="s">
        <v>44</v>
      </c>
      <c r="N2" s="30" t="s">
        <v>109</v>
      </c>
      <c r="O2" s="21" t="s">
        <v>49</v>
      </c>
    </row>
    <row r="3" spans="1:15" s="1" customFormat="1" ht="19.95" customHeight="1">
      <c r="A3" s="22">
        <v>1</v>
      </c>
      <c r="B3" s="229" t="s">
        <v>50</v>
      </c>
      <c r="C3" s="23">
        <v>51032</v>
      </c>
      <c r="D3" s="23">
        <v>45221</v>
      </c>
      <c r="E3" s="23">
        <v>40800</v>
      </c>
      <c r="F3" s="23">
        <v>42734</v>
      </c>
      <c r="G3" s="23">
        <v>41000</v>
      </c>
      <c r="H3" s="23">
        <v>39900</v>
      </c>
      <c r="I3" s="23">
        <v>44000</v>
      </c>
      <c r="J3" s="23">
        <v>53794</v>
      </c>
      <c r="K3" s="23">
        <v>43700</v>
      </c>
      <c r="L3" s="23">
        <v>42697</v>
      </c>
      <c r="M3" s="23">
        <v>40200</v>
      </c>
      <c r="N3" s="23">
        <v>48200</v>
      </c>
      <c r="O3" s="24">
        <f t="shared" ref="O3:O16" si="0">SUM(C3:N3)</f>
        <v>533278</v>
      </c>
    </row>
    <row r="4" spans="1:15" s="1" customFormat="1" ht="19.95" customHeight="1">
      <c r="A4" s="22">
        <v>2</v>
      </c>
      <c r="B4" s="229" t="s">
        <v>51</v>
      </c>
      <c r="C4" s="23">
        <v>46245</v>
      </c>
      <c r="D4" s="23">
        <v>41045</v>
      </c>
      <c r="E4" s="23">
        <v>37300</v>
      </c>
      <c r="F4" s="23">
        <v>37867</v>
      </c>
      <c r="G4" s="23">
        <v>38100</v>
      </c>
      <c r="H4" s="23">
        <v>35800</v>
      </c>
      <c r="I4" s="23">
        <v>45050</v>
      </c>
      <c r="J4" s="23">
        <v>52471</v>
      </c>
      <c r="K4" s="23">
        <v>37800</v>
      </c>
      <c r="L4" s="23">
        <v>36700</v>
      </c>
      <c r="M4" s="23">
        <v>36300</v>
      </c>
      <c r="N4" s="23">
        <v>45300</v>
      </c>
      <c r="O4" s="24">
        <f t="shared" si="0"/>
        <v>489978</v>
      </c>
    </row>
    <row r="5" spans="1:15" s="1" customFormat="1" ht="19.95" customHeight="1">
      <c r="A5" s="22">
        <v>3</v>
      </c>
      <c r="B5" s="229" t="s">
        <v>52</v>
      </c>
      <c r="C5" s="23">
        <v>17100</v>
      </c>
      <c r="D5" s="23">
        <v>10950</v>
      </c>
      <c r="E5" s="23">
        <v>11200</v>
      </c>
      <c r="F5" s="23">
        <v>11800</v>
      </c>
      <c r="G5" s="23">
        <v>15700</v>
      </c>
      <c r="H5" s="23">
        <v>10300</v>
      </c>
      <c r="I5" s="23">
        <v>10000</v>
      </c>
      <c r="J5" s="23">
        <v>11000</v>
      </c>
      <c r="K5" s="23">
        <v>7600</v>
      </c>
      <c r="L5" s="23">
        <v>2800</v>
      </c>
      <c r="M5" s="23"/>
      <c r="N5" s="23"/>
      <c r="O5" s="24">
        <f t="shared" si="0"/>
        <v>108450</v>
      </c>
    </row>
    <row r="6" spans="1:15" s="1" customFormat="1" ht="19.95" customHeight="1">
      <c r="A6" s="22">
        <v>4</v>
      </c>
      <c r="B6" s="229" t="s">
        <v>53</v>
      </c>
      <c r="C6" s="23">
        <v>26850</v>
      </c>
      <c r="D6" s="23">
        <v>18450</v>
      </c>
      <c r="E6" s="23">
        <v>23500</v>
      </c>
      <c r="F6" s="23">
        <v>19300</v>
      </c>
      <c r="G6" s="23">
        <v>27400</v>
      </c>
      <c r="H6" s="23">
        <v>21100</v>
      </c>
      <c r="I6" s="23">
        <v>27250</v>
      </c>
      <c r="J6" s="23">
        <v>33100</v>
      </c>
      <c r="K6" s="23">
        <v>33000</v>
      </c>
      <c r="L6" s="23">
        <v>33604</v>
      </c>
      <c r="M6" s="23">
        <v>30600</v>
      </c>
      <c r="N6" s="23">
        <v>33600</v>
      </c>
      <c r="O6" s="24">
        <f t="shared" si="0"/>
        <v>327754</v>
      </c>
    </row>
    <row r="7" spans="1:15" s="1" customFormat="1" ht="19.95" customHeight="1">
      <c r="A7" s="22">
        <v>5</v>
      </c>
      <c r="B7" s="57" t="s">
        <v>114</v>
      </c>
      <c r="C7" s="23">
        <v>17500</v>
      </c>
      <c r="D7" s="23">
        <v>10800</v>
      </c>
      <c r="E7" s="23">
        <v>12000</v>
      </c>
      <c r="F7" s="23">
        <v>9000</v>
      </c>
      <c r="G7" s="23">
        <v>14100</v>
      </c>
      <c r="H7" s="23">
        <v>13500</v>
      </c>
      <c r="I7" s="23">
        <v>18250</v>
      </c>
      <c r="J7" s="23">
        <v>26700</v>
      </c>
      <c r="K7" s="119">
        <v>17100</v>
      </c>
      <c r="L7" s="23">
        <v>14400</v>
      </c>
      <c r="M7" s="23">
        <v>19200</v>
      </c>
      <c r="N7" s="23">
        <v>19400</v>
      </c>
      <c r="O7" s="24">
        <f t="shared" si="0"/>
        <v>191950</v>
      </c>
    </row>
    <row r="8" spans="1:15" s="1" customFormat="1" ht="19.95" customHeight="1">
      <c r="A8" s="22">
        <v>6</v>
      </c>
      <c r="B8" s="39" t="s">
        <v>106</v>
      </c>
      <c r="C8" s="23">
        <v>18450</v>
      </c>
      <c r="D8" s="23">
        <v>9750</v>
      </c>
      <c r="E8" s="23">
        <v>12300</v>
      </c>
      <c r="F8" s="23">
        <v>8400</v>
      </c>
      <c r="G8" s="23">
        <v>12000</v>
      </c>
      <c r="H8" s="23">
        <v>11400</v>
      </c>
      <c r="I8" s="23">
        <v>24000</v>
      </c>
      <c r="J8" s="118">
        <v>25500</v>
      </c>
      <c r="K8" s="121">
        <v>12900</v>
      </c>
      <c r="L8" s="29">
        <v>11100</v>
      </c>
      <c r="M8" s="23">
        <v>15600</v>
      </c>
      <c r="N8" s="23">
        <v>14100</v>
      </c>
      <c r="O8" s="24">
        <f t="shared" si="0"/>
        <v>175500</v>
      </c>
    </row>
    <row r="9" spans="1:15" s="1" customFormat="1" ht="19.95" customHeight="1">
      <c r="A9" s="22">
        <v>7</v>
      </c>
      <c r="B9" s="57" t="s">
        <v>80</v>
      </c>
      <c r="C9" s="23">
        <v>12450</v>
      </c>
      <c r="D9" s="23">
        <v>9300</v>
      </c>
      <c r="E9" s="23">
        <v>7800</v>
      </c>
      <c r="F9" s="23">
        <v>2700</v>
      </c>
      <c r="G9" s="23">
        <v>6900</v>
      </c>
      <c r="H9" s="23">
        <v>7200</v>
      </c>
      <c r="I9" s="23">
        <v>20250</v>
      </c>
      <c r="J9" s="23">
        <v>27000</v>
      </c>
      <c r="K9" s="23">
        <v>600</v>
      </c>
      <c r="L9" s="23"/>
      <c r="M9" s="23"/>
      <c r="N9" s="23"/>
      <c r="O9" s="24">
        <f>SUM(C9:N9)</f>
        <v>94200</v>
      </c>
    </row>
    <row r="10" spans="1:15" s="1" customFormat="1" ht="19.95" customHeight="1">
      <c r="A10" s="22">
        <v>8</v>
      </c>
      <c r="B10" s="127" t="s">
        <v>124</v>
      </c>
      <c r="C10" s="23"/>
      <c r="D10" s="23">
        <v>1800</v>
      </c>
      <c r="E10" s="23">
        <v>13200</v>
      </c>
      <c r="F10" s="23">
        <v>13500</v>
      </c>
      <c r="G10" s="23">
        <v>16200</v>
      </c>
      <c r="H10" s="23">
        <v>15000</v>
      </c>
      <c r="I10" s="23">
        <v>22500</v>
      </c>
      <c r="J10" s="23">
        <v>21350</v>
      </c>
      <c r="K10" s="23">
        <v>16200</v>
      </c>
      <c r="L10" s="23">
        <v>17100</v>
      </c>
      <c r="M10" s="23">
        <v>3600</v>
      </c>
      <c r="N10" s="23">
        <v>2400</v>
      </c>
      <c r="O10" s="24">
        <f>SUM(C10:N10)</f>
        <v>142850</v>
      </c>
    </row>
    <row r="11" spans="1:15" s="1" customFormat="1" ht="19.95" customHeight="1">
      <c r="A11" s="22">
        <v>9</v>
      </c>
      <c r="B11" s="290" t="s">
        <v>311</v>
      </c>
      <c r="C11" s="29"/>
      <c r="D11" s="23"/>
      <c r="E11" s="23">
        <v>1000</v>
      </c>
      <c r="F11" s="23">
        <v>8250</v>
      </c>
      <c r="G11" s="23">
        <v>112500</v>
      </c>
      <c r="H11" s="23">
        <v>4250</v>
      </c>
      <c r="I11" s="23">
        <v>10200</v>
      </c>
      <c r="J11" s="23">
        <v>9600</v>
      </c>
      <c r="K11" s="23"/>
      <c r="L11" s="23"/>
      <c r="M11" s="23"/>
      <c r="N11" s="23"/>
      <c r="O11" s="24">
        <f t="shared" si="0"/>
        <v>145800</v>
      </c>
    </row>
    <row r="12" spans="1:15" s="1" customFormat="1" ht="19.95" customHeight="1">
      <c r="A12" s="22">
        <v>10</v>
      </c>
      <c r="B12" s="57" t="s">
        <v>364</v>
      </c>
      <c r="C12" s="23"/>
      <c r="D12" s="23"/>
      <c r="E12" s="23"/>
      <c r="F12" s="23"/>
      <c r="G12" s="23">
        <v>7000</v>
      </c>
      <c r="H12" s="23">
        <v>7750</v>
      </c>
      <c r="I12" s="23">
        <v>17400</v>
      </c>
      <c r="J12" s="23">
        <v>18400</v>
      </c>
      <c r="K12" s="119"/>
      <c r="L12" s="23"/>
      <c r="M12" s="23"/>
      <c r="N12" s="23"/>
      <c r="O12" s="24">
        <f t="shared" si="0"/>
        <v>50550</v>
      </c>
    </row>
    <row r="13" spans="1:15" s="1" customFormat="1" ht="19.95" customHeight="1">
      <c r="A13" s="22">
        <v>11</v>
      </c>
      <c r="B13" s="57" t="s">
        <v>397</v>
      </c>
      <c r="C13" s="23"/>
      <c r="D13" s="23"/>
      <c r="E13" s="23"/>
      <c r="F13" s="23"/>
      <c r="G13" s="23"/>
      <c r="H13" s="23">
        <v>8250</v>
      </c>
      <c r="I13" s="23">
        <v>15600</v>
      </c>
      <c r="J13" s="118">
        <v>12600</v>
      </c>
      <c r="K13" s="121"/>
      <c r="L13" s="29"/>
      <c r="M13" s="23"/>
      <c r="N13" s="23"/>
      <c r="O13" s="24">
        <f t="shared" si="0"/>
        <v>36450</v>
      </c>
    </row>
    <row r="14" spans="1:15" s="1" customFormat="1" ht="19.95" customHeight="1">
      <c r="A14" s="22">
        <v>12</v>
      </c>
      <c r="B14" s="127"/>
      <c r="C14" s="128"/>
      <c r="D14" s="128"/>
      <c r="E14" s="128"/>
      <c r="F14" s="128"/>
      <c r="G14" s="128"/>
      <c r="H14" s="128"/>
      <c r="I14" s="128"/>
      <c r="J14" s="129"/>
      <c r="K14" s="130"/>
      <c r="L14" s="128"/>
      <c r="M14" s="128"/>
      <c r="N14" s="128"/>
      <c r="O14" s="24">
        <f t="shared" si="0"/>
        <v>0</v>
      </c>
    </row>
    <row r="15" spans="1:15" s="1" customFormat="1" ht="21" customHeight="1" thickBot="1">
      <c r="A15" s="22">
        <v>13</v>
      </c>
      <c r="B15" s="124"/>
      <c r="C15" s="125"/>
      <c r="D15" s="125"/>
      <c r="E15" s="125"/>
      <c r="F15" s="125"/>
      <c r="G15" s="125"/>
      <c r="H15" s="125"/>
      <c r="I15" s="125"/>
      <c r="J15" s="126"/>
      <c r="K15" s="120"/>
      <c r="L15" s="125"/>
      <c r="M15" s="125"/>
      <c r="N15" s="125"/>
      <c r="O15" s="24">
        <f t="shared" si="0"/>
        <v>0</v>
      </c>
    </row>
    <row r="16" spans="1:15" s="1" customFormat="1" ht="23.25" customHeight="1" thickTop="1" thickBot="1">
      <c r="A16" s="25"/>
      <c r="B16" s="122" t="s">
        <v>60</v>
      </c>
      <c r="C16" s="29">
        <v>60</v>
      </c>
      <c r="D16" s="26">
        <v>75</v>
      </c>
      <c r="E16" s="26">
        <v>85</v>
      </c>
      <c r="F16" s="26">
        <v>90</v>
      </c>
      <c r="G16" s="26">
        <v>105</v>
      </c>
      <c r="H16" s="26">
        <v>120</v>
      </c>
      <c r="I16" s="26">
        <v>120</v>
      </c>
      <c r="J16" s="26">
        <v>120</v>
      </c>
      <c r="K16" s="26">
        <v>70</v>
      </c>
      <c r="L16" s="26">
        <v>60</v>
      </c>
      <c r="M16" s="26">
        <v>60</v>
      </c>
      <c r="N16" s="26">
        <v>60</v>
      </c>
      <c r="O16" s="123">
        <f t="shared" si="0"/>
        <v>1025</v>
      </c>
    </row>
    <row r="17" spans="1:15" s="1" customFormat="1" ht="28.5" customHeight="1" thickBot="1">
      <c r="A17" s="571" t="s">
        <v>54</v>
      </c>
      <c r="B17" s="572"/>
      <c r="C17" s="27">
        <f t="shared" ref="C17:O17" si="1">SUM(C3:C16)</f>
        <v>189687</v>
      </c>
      <c r="D17" s="27">
        <v>147391</v>
      </c>
      <c r="E17" s="27">
        <v>159185</v>
      </c>
      <c r="F17" s="27">
        <v>153641</v>
      </c>
      <c r="G17" s="27">
        <v>189755</v>
      </c>
      <c r="H17" s="27">
        <v>174570</v>
      </c>
      <c r="I17" s="447">
        <v>254620</v>
      </c>
      <c r="J17" s="27">
        <v>291635</v>
      </c>
      <c r="K17" s="27">
        <f t="shared" si="1"/>
        <v>168970</v>
      </c>
      <c r="L17" s="27">
        <f t="shared" si="1"/>
        <v>158461</v>
      </c>
      <c r="M17" s="27">
        <f>SUM(M3:M16)</f>
        <v>145560</v>
      </c>
      <c r="N17" s="27">
        <f t="shared" si="1"/>
        <v>163060</v>
      </c>
      <c r="O17" s="28">
        <f t="shared" si="1"/>
        <v>2297785</v>
      </c>
    </row>
  </sheetData>
  <mergeCells count="2">
    <mergeCell ref="A1:N1"/>
    <mergeCell ref="A17:B17"/>
  </mergeCells>
  <phoneticPr fontId="2" type="noConversion"/>
  <conditionalFormatting sqref="C3:O17">
    <cfRule type="cellIs" dxfId="0" priority="1" stopIfTrue="1" operator="lessThan">
      <formula>0</formula>
    </cfRule>
  </conditionalFormatting>
  <pageMargins left="0.75" right="0.75" top="1" bottom="1" header="0.5" footer="0.5"/>
  <pageSetup scale="88" orientation="landscape" r:id="rId1"/>
  <headerFooter>
    <oddFooter>&amp;C&amp;"Helvetica Neue,Regular"&amp;12&amp;K000000&amp;P&amp;R&amp;"Helvetica Neue,Regular"&amp;12&amp;K000000製表：方媽  2018年8月9日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113日記帳</vt:lpstr>
      <vt:lpstr>113收支表 </vt:lpstr>
      <vt:lpstr>比賽費用支出</vt:lpstr>
      <vt:lpstr>繳費名單</vt:lpstr>
      <vt:lpstr>教練薪資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</dc:creator>
  <cp:lastModifiedBy>minmin kuo</cp:lastModifiedBy>
  <cp:lastPrinted>2022-01-07T23:30:00Z</cp:lastPrinted>
  <dcterms:created xsi:type="dcterms:W3CDTF">2020-01-02T12:17:06Z</dcterms:created>
  <dcterms:modified xsi:type="dcterms:W3CDTF">2025-12-26T15:54:44Z</dcterms:modified>
</cp:coreProperties>
</file>