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F:\冠勳媽112.08.12\日記帳\"/>
    </mc:Choice>
  </mc:AlternateContent>
  <xr:revisionPtr revIDLastSave="0" documentId="13_ncr:1_{2BAFFE60-2E4A-47BD-8387-F8ECC11D5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2日記帳" sheetId="1" r:id="rId1"/>
    <sheet name="112收支表 " sheetId="2" r:id="rId2"/>
    <sheet name="比賽費用支出" sheetId="3" r:id="rId3"/>
    <sheet name="繳費名單" sheetId="4" r:id="rId4"/>
    <sheet name="教練薪資" sheetId="5" r:id="rId5"/>
  </sheets>
  <definedNames>
    <definedName name="_xlnm.Print_Area" localSheetId="0">'112日記帳'!$A$1:$I$303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0" i="4" l="1"/>
  <c r="L110" i="4"/>
  <c r="F4" i="1"/>
  <c r="F5" i="1"/>
  <c r="F6" i="1"/>
  <c r="D7" i="1"/>
  <c r="F7" i="1"/>
  <c r="F8" i="1"/>
  <c r="F9" i="1"/>
  <c r="F10" i="1"/>
  <c r="F11" i="1"/>
  <c r="F12" i="1"/>
  <c r="F13" i="1"/>
  <c r="F14" i="1"/>
  <c r="F15" i="1"/>
  <c r="F16" i="1"/>
  <c r="F17" i="1"/>
  <c r="D18" i="1"/>
  <c r="F18" i="1"/>
  <c r="F19" i="1"/>
  <c r="F20" i="1"/>
  <c r="F21" i="1"/>
  <c r="F22" i="1"/>
  <c r="D23" i="1"/>
  <c r="F23" i="1"/>
  <c r="F24" i="1"/>
  <c r="D25" i="1"/>
  <c r="F25" i="1"/>
  <c r="F26" i="1"/>
  <c r="F27" i="1"/>
  <c r="F28" i="1"/>
  <c r="F29" i="1"/>
  <c r="D30" i="1"/>
  <c r="F30" i="1"/>
  <c r="F31" i="1"/>
  <c r="E32" i="1"/>
  <c r="F32" i="1"/>
  <c r="F33" i="1"/>
  <c r="F34" i="1"/>
  <c r="F35" i="1"/>
  <c r="F36" i="1"/>
  <c r="F37" i="1"/>
  <c r="D38" i="1"/>
  <c r="F38" i="1"/>
  <c r="D39" i="1"/>
  <c r="F39" i="1"/>
  <c r="F40" i="1"/>
  <c r="F41" i="1"/>
  <c r="D42" i="1"/>
  <c r="F42" i="1"/>
  <c r="F43" i="1"/>
  <c r="F44" i="1"/>
  <c r="E45" i="1"/>
  <c r="F45" i="1"/>
  <c r="F46" i="1"/>
  <c r="F47" i="1"/>
  <c r="F48" i="1"/>
  <c r="D49" i="1"/>
  <c r="F49" i="1"/>
  <c r="F50" i="1"/>
  <c r="F51" i="1"/>
  <c r="D52" i="1"/>
  <c r="F52" i="1"/>
  <c r="F53" i="1"/>
  <c r="D54" i="1"/>
  <c r="F54" i="1"/>
  <c r="F55" i="1"/>
  <c r="F56" i="1"/>
  <c r="F57" i="1"/>
  <c r="F58" i="1"/>
  <c r="F59" i="1"/>
  <c r="F60" i="1"/>
  <c r="F61" i="1"/>
  <c r="F62" i="1"/>
  <c r="D63" i="1"/>
  <c r="F63" i="1"/>
  <c r="F64" i="1"/>
  <c r="D65" i="1"/>
  <c r="F65" i="1"/>
  <c r="F66" i="1"/>
  <c r="D67" i="1"/>
  <c r="F67" i="1"/>
  <c r="F68" i="1"/>
  <c r="F69" i="1"/>
  <c r="F70" i="1"/>
  <c r="F71" i="1"/>
  <c r="F72" i="1"/>
  <c r="F73" i="1"/>
  <c r="F74" i="1"/>
  <c r="F75" i="1"/>
  <c r="F76" i="1"/>
  <c r="E77" i="1"/>
  <c r="F77" i="1"/>
  <c r="F78" i="1"/>
  <c r="F79" i="1"/>
  <c r="F80" i="1"/>
  <c r="F81" i="1"/>
  <c r="D82" i="1"/>
  <c r="F82" i="1"/>
  <c r="F83" i="1"/>
  <c r="D84" i="1"/>
  <c r="F84" i="1"/>
  <c r="F85" i="1"/>
  <c r="F86" i="1"/>
  <c r="F87" i="1"/>
  <c r="F88" i="1"/>
  <c r="D89" i="1"/>
  <c r="F89" i="1"/>
  <c r="F90" i="1"/>
  <c r="F91" i="1"/>
  <c r="F92" i="1"/>
  <c r="F93" i="1"/>
  <c r="F94" i="1"/>
  <c r="F95" i="1"/>
  <c r="F96" i="1"/>
  <c r="F97" i="1"/>
  <c r="F98" i="1"/>
  <c r="E99" i="1"/>
  <c r="F99" i="1"/>
  <c r="F100" i="1"/>
  <c r="F101" i="1"/>
  <c r="F102" i="1"/>
  <c r="F103" i="1"/>
  <c r="D104" i="1"/>
  <c r="F104" i="1"/>
  <c r="F105" i="1"/>
  <c r="F106" i="1"/>
  <c r="F107" i="1"/>
  <c r="F108" i="1"/>
  <c r="F109" i="1"/>
  <c r="F110" i="1"/>
  <c r="F111" i="1"/>
  <c r="D112" i="1"/>
  <c r="F112" i="1"/>
  <c r="D113" i="1"/>
  <c r="F113" i="1"/>
  <c r="F114" i="1"/>
  <c r="F115" i="1"/>
  <c r="F116" i="1"/>
  <c r="F117" i="1"/>
  <c r="F118" i="1"/>
  <c r="F119" i="1"/>
  <c r="E120" i="1"/>
  <c r="F120" i="1"/>
  <c r="F121" i="1"/>
  <c r="F122" i="1"/>
  <c r="F123" i="1"/>
  <c r="F124" i="1"/>
  <c r="D125" i="1"/>
  <c r="F125" i="1"/>
  <c r="D126" i="1"/>
  <c r="F126" i="1"/>
  <c r="D127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D142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R91" i="4"/>
  <c r="R90" i="4"/>
  <c r="R89" i="4"/>
  <c r="R88" i="4"/>
  <c r="R87" i="4"/>
  <c r="R86" i="4"/>
  <c r="R85" i="4"/>
  <c r="R84" i="4"/>
  <c r="I3" i="2"/>
  <c r="E15" i="3"/>
  <c r="F17" i="3"/>
  <c r="J17" i="5"/>
  <c r="B5" i="2"/>
  <c r="B18" i="2"/>
  <c r="B19" i="2"/>
  <c r="B20" i="2"/>
  <c r="G110" i="4"/>
  <c r="F110" i="4"/>
  <c r="C3" i="2"/>
  <c r="C5" i="2"/>
  <c r="D17" i="5"/>
  <c r="C6" i="2"/>
  <c r="C17" i="2"/>
  <c r="C18" i="2"/>
  <c r="C19" i="2"/>
  <c r="C20" i="2"/>
  <c r="H24" i="4"/>
  <c r="H51" i="4"/>
  <c r="H110" i="4"/>
  <c r="D3" i="2"/>
  <c r="D5" i="2"/>
  <c r="E17" i="5"/>
  <c r="D6" i="2"/>
  <c r="D18" i="2"/>
  <c r="D19" i="2"/>
  <c r="D20" i="2"/>
  <c r="I19" i="4"/>
  <c r="I110" i="4"/>
  <c r="E3" i="2"/>
  <c r="E5" i="2"/>
  <c r="F17" i="5"/>
  <c r="E6" i="2"/>
  <c r="E17" i="2"/>
  <c r="E18" i="2"/>
  <c r="E19" i="2"/>
  <c r="E20" i="2"/>
  <c r="J110" i="4"/>
  <c r="F3" i="2"/>
  <c r="F4" i="2"/>
  <c r="F5" i="2"/>
  <c r="G17" i="5"/>
  <c r="F6" i="2"/>
  <c r="F11" i="2"/>
  <c r="F14" i="2"/>
  <c r="F17" i="2"/>
  <c r="F18" i="2"/>
  <c r="F19" i="2"/>
  <c r="F20" i="2"/>
  <c r="K110" i="4"/>
  <c r="G3" i="2"/>
  <c r="G5" i="2"/>
  <c r="H17" i="5"/>
  <c r="G6" i="2"/>
  <c r="G16" i="2"/>
  <c r="G17" i="2"/>
  <c r="G18" i="2"/>
  <c r="G19" i="2"/>
  <c r="G20" i="2"/>
  <c r="L68" i="4"/>
  <c r="H3" i="2"/>
  <c r="H5" i="2"/>
  <c r="I17" i="5"/>
  <c r="H6" i="2"/>
  <c r="H17" i="2"/>
  <c r="H18" i="2"/>
  <c r="H19" i="2"/>
  <c r="H20" i="2"/>
  <c r="I20" i="2"/>
  <c r="K17" i="5"/>
  <c r="J6" i="2"/>
  <c r="J18" i="2"/>
  <c r="J19" i="2"/>
  <c r="J20" i="2"/>
  <c r="L17" i="5"/>
  <c r="K6" i="2"/>
  <c r="K18" i="2"/>
  <c r="K19" i="2"/>
  <c r="L18" i="2"/>
  <c r="L19" i="2"/>
  <c r="L20" i="2"/>
  <c r="N17" i="5"/>
  <c r="M18" i="2"/>
  <c r="M19" i="2"/>
  <c r="R101" i="4"/>
  <c r="R102" i="4"/>
  <c r="R10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O110" i="4"/>
  <c r="K3" i="2"/>
  <c r="P110" i="4"/>
  <c r="L3" i="2"/>
  <c r="Q110" i="4"/>
  <c r="R65" i="4"/>
  <c r="R49" i="4"/>
  <c r="R50" i="4"/>
  <c r="R53" i="4"/>
  <c r="R39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40" i="4"/>
  <c r="R41" i="4"/>
  <c r="R42" i="4"/>
  <c r="R43" i="4"/>
  <c r="R44" i="4"/>
  <c r="R45" i="4"/>
  <c r="R46" i="4"/>
  <c r="R47" i="4"/>
  <c r="R48" i="4"/>
  <c r="R51" i="4"/>
  <c r="R52" i="4"/>
  <c r="R54" i="4"/>
  <c r="R55" i="4"/>
  <c r="R56" i="4"/>
  <c r="E57" i="4"/>
  <c r="R57" i="4"/>
  <c r="R58" i="4"/>
  <c r="R59" i="4"/>
  <c r="R60" i="4"/>
  <c r="R61" i="4"/>
  <c r="R62" i="4"/>
  <c r="R63" i="4"/>
  <c r="R64" i="4"/>
  <c r="R66" i="4"/>
  <c r="R67" i="4"/>
  <c r="R68" i="4"/>
  <c r="R109" i="4"/>
  <c r="R110" i="4"/>
  <c r="E110" i="4"/>
  <c r="E10" i="3"/>
  <c r="F13" i="3"/>
  <c r="D2" i="3"/>
  <c r="D3" i="3"/>
  <c r="E4" i="3"/>
  <c r="E5" i="3"/>
  <c r="F8" i="3"/>
  <c r="O11" i="5"/>
  <c r="O9" i="5"/>
  <c r="O10" i="5"/>
  <c r="O12" i="5"/>
  <c r="O13" i="5"/>
  <c r="O14" i="5"/>
  <c r="O15" i="5"/>
  <c r="O8" i="5"/>
  <c r="O7" i="5"/>
  <c r="O6" i="5"/>
  <c r="N3" i="2"/>
  <c r="N5" i="2"/>
  <c r="O3" i="2"/>
  <c r="N4" i="2"/>
  <c r="O4" i="2"/>
  <c r="N7" i="2"/>
  <c r="O7" i="2"/>
  <c r="N6" i="2"/>
  <c r="N8" i="2"/>
  <c r="N9" i="2"/>
  <c r="N10" i="2"/>
  <c r="N11" i="2"/>
  <c r="N12" i="2"/>
  <c r="N13" i="2"/>
  <c r="N14" i="2"/>
  <c r="N15" i="2"/>
  <c r="N16" i="2"/>
  <c r="N17" i="2"/>
  <c r="O4" i="5"/>
  <c r="O5" i="5"/>
  <c r="O16" i="5"/>
  <c r="O3" i="5"/>
  <c r="C17" i="5"/>
  <c r="N18" i="2"/>
  <c r="O18" i="2"/>
  <c r="O9" i="2"/>
  <c r="O14" i="2"/>
  <c r="O6" i="2"/>
  <c r="O10" i="2"/>
  <c r="O15" i="2"/>
  <c r="N19" i="2"/>
  <c r="O19" i="2"/>
  <c r="O16" i="2"/>
  <c r="O12" i="2"/>
  <c r="O17" i="2"/>
  <c r="O13" i="2"/>
  <c r="O11" i="2"/>
  <c r="O8" i="2"/>
  <c r="O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450</author>
    <author>88697</author>
  </authors>
  <commentList>
    <comment ref="E45" authorId="0" shapeId="0" xr:uid="{59C19FDA-902F-4880-8028-35BBD46CB914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細明體"/>
            <family val="3"/>
            <charset val="136"/>
          </rPr>
          <t xml:space="preserve">月幾乎請假,2500為12月+1月月費
</t>
        </r>
      </text>
    </comment>
    <comment ref="F64" authorId="0" shapeId="0" xr:uid="{4B96A64A-3B8E-4403-805B-8C924AB824F6}">
      <text>
        <r>
          <rPr>
            <b/>
            <sz val="9"/>
            <color indexed="81"/>
            <rFont val="細明體"/>
            <family val="3"/>
            <charset val="136"/>
          </rPr>
          <t>繳1月600</t>
        </r>
      </text>
    </comment>
    <comment ref="H64" authorId="0" shapeId="0" xr:uid="{6D0C19A4-6142-4752-A033-CC1C5EDFA122}">
      <text>
        <r>
          <rPr>
            <b/>
            <sz val="9"/>
            <color indexed="81"/>
            <rFont val="細明體"/>
            <family val="3"/>
            <charset val="136"/>
          </rPr>
          <t xml:space="preserve">繳2月
</t>
        </r>
      </text>
    </comment>
    <comment ref="I64" authorId="0" shapeId="0" xr:uid="{BC109F10-9EC6-4378-AF77-53EBA8454B09}">
      <text>
        <r>
          <rPr>
            <b/>
            <sz val="9"/>
            <color indexed="81"/>
            <rFont val="細明體"/>
            <family val="3"/>
            <charset val="136"/>
          </rPr>
          <t xml:space="preserve">繳3月
</t>
        </r>
      </text>
    </comment>
    <comment ref="J64" authorId="0" shapeId="0" xr:uid="{9B7E2DAE-3584-4FD3-AB1E-C80D60F0D7BE}">
      <text>
        <r>
          <rPr>
            <b/>
            <sz val="9"/>
            <color indexed="81"/>
            <rFont val="細明體"/>
            <family val="3"/>
            <charset val="136"/>
          </rPr>
          <t>繳4月
4/8,4/15,4/22,4/29</t>
        </r>
      </text>
    </comment>
    <comment ref="K64" authorId="0" shapeId="0" xr:uid="{96FE84F3-9C18-4F21-AAB9-75C9F2FC67C0}">
      <text>
        <r>
          <rPr>
            <b/>
            <sz val="9"/>
            <color indexed="81"/>
            <rFont val="Tahoma"/>
            <family val="2"/>
          </rPr>
          <t>5/6,5/13,5/20,5/27</t>
        </r>
      </text>
    </comment>
    <comment ref="J65" authorId="0" shapeId="0" xr:uid="{EBF96E2F-0173-452B-868D-12B3E8702FF0}">
      <text>
        <r>
          <rPr>
            <b/>
            <sz val="9"/>
            <color indexed="81"/>
            <rFont val="細明體"/>
            <family val="3"/>
            <charset val="136"/>
          </rPr>
          <t>繳4月
4/8,4/15,4/22,4/29</t>
        </r>
      </text>
    </comment>
    <comment ref="K65" authorId="0" shapeId="0" xr:uid="{4C074046-205F-4F97-9493-F80CF957B6DB}">
      <text>
        <r>
          <rPr>
            <b/>
            <sz val="9"/>
            <color indexed="81"/>
            <rFont val="Tahoma"/>
            <family val="2"/>
          </rPr>
          <t>5/13,5/20</t>
        </r>
      </text>
    </comment>
    <comment ref="M65" authorId="0" shapeId="0" xr:uid="{676212F2-1855-4CAA-ABD4-551E8E5746CA}">
      <text>
        <r>
          <rPr>
            <b/>
            <sz val="9"/>
            <color indexed="81"/>
            <rFont val="Tahoma"/>
            <family val="2"/>
          </rPr>
          <t xml:space="preserve">7/1,7/15,7/22,7/29
</t>
        </r>
      </text>
    </comment>
    <comment ref="N65" authorId="1" shapeId="0" xr:uid="{9D5026AF-7365-4044-8BEB-E60BEADA650D}">
      <text>
        <r>
          <rPr>
            <sz val="9"/>
            <color indexed="81"/>
            <rFont val="細明體"/>
            <family val="3"/>
            <charset val="136"/>
          </rPr>
          <t>月費</t>
        </r>
        <r>
          <rPr>
            <sz val="9"/>
            <color indexed="81"/>
            <rFont val="Tahoma"/>
            <family val="2"/>
          </rPr>
          <t>+8</t>
        </r>
        <r>
          <rPr>
            <sz val="9"/>
            <color indexed="81"/>
            <rFont val="細明體"/>
            <family val="3"/>
            <charset val="136"/>
          </rPr>
          <t>月個練</t>
        </r>
        <r>
          <rPr>
            <sz val="9"/>
            <color indexed="81"/>
            <rFont val="Tahoma"/>
            <family val="2"/>
          </rPr>
          <t xml:space="preserve">
8/5,12,21,26</t>
        </r>
      </text>
    </comment>
    <comment ref="J66" authorId="0" shapeId="0" xr:uid="{56518A22-F0FA-4B82-B787-09E0CDF12F2C}">
      <text>
        <r>
          <rPr>
            <b/>
            <sz val="9"/>
            <color indexed="81"/>
            <rFont val="細明體"/>
            <family val="3"/>
            <charset val="136"/>
          </rPr>
          <t>繳3-4月
3/4,3/11,4/22,4/29</t>
        </r>
      </text>
    </comment>
    <comment ref="J67" authorId="0" shapeId="0" xr:uid="{19278607-5B85-48C9-8E39-43A2D71944F9}">
      <text>
        <r>
          <rPr>
            <b/>
            <sz val="9"/>
            <color indexed="81"/>
            <rFont val="Tahoma"/>
            <family val="2"/>
          </rPr>
          <t>4/22,4/29</t>
        </r>
      </text>
    </comment>
    <comment ref="K67" authorId="0" shapeId="0" xr:uid="{72722DAC-910F-45FC-80D5-7DAE797BBB37}">
      <text>
        <r>
          <rPr>
            <b/>
            <sz val="9"/>
            <color indexed="81"/>
            <rFont val="Tahoma"/>
            <family val="2"/>
          </rPr>
          <t>5/6,5/20,5/27</t>
        </r>
      </text>
    </comment>
    <comment ref="O67" authorId="1" shapeId="0" xr:uid="{C7AE4289-90E1-4B82-838C-08C7B6113147}">
      <text>
        <r>
          <rPr>
            <sz val="9"/>
            <color indexed="81"/>
            <rFont val="Tahoma"/>
            <family val="2"/>
          </rPr>
          <t xml:space="preserve">9/9
</t>
        </r>
      </text>
    </comment>
    <comment ref="P67" authorId="1" shapeId="0" xr:uid="{F1C06E8B-0A4C-4FEB-89DD-1219125E4DDF}">
      <text>
        <r>
          <rPr>
            <sz val="9"/>
            <color indexed="81"/>
            <rFont val="Tahoma"/>
            <family val="2"/>
          </rPr>
          <t xml:space="preserve">10/7,14,21,28
</t>
        </r>
      </text>
    </comment>
    <comment ref="J68" authorId="0" shapeId="0" xr:uid="{2F2A6CB6-B2FE-4B89-ADD1-1740659F65F0}">
      <text>
        <r>
          <rPr>
            <b/>
            <sz val="9"/>
            <color indexed="81"/>
            <rFont val="細明體"/>
            <family val="3"/>
            <charset val="136"/>
          </rPr>
          <t>繳3-4月
3/4,3/11,4/8,4/15,4/22,4/29</t>
        </r>
      </text>
    </comment>
    <comment ref="K68" authorId="0" shapeId="0" xr:uid="{255152BC-3C53-49AF-B19E-60DDDB7CDFF8}">
      <text>
        <r>
          <rPr>
            <b/>
            <sz val="9"/>
            <color indexed="81"/>
            <rFont val="Tahoma"/>
            <family val="2"/>
          </rPr>
          <t>5/6,5/13,5/10,5/27</t>
        </r>
      </text>
    </comment>
    <comment ref="L68" authorId="0" shapeId="0" xr:uid="{B9E279BB-9A34-4CFA-8786-4D19538CD641}">
      <text>
        <r>
          <rPr>
            <b/>
            <sz val="9"/>
            <color indexed="81"/>
            <rFont val="Tahoma"/>
            <family val="2"/>
          </rPr>
          <t>6/3,6/10+</t>
        </r>
        <r>
          <rPr>
            <b/>
            <sz val="9"/>
            <color indexed="81"/>
            <rFont val="細明體"/>
            <family val="3"/>
            <charset val="136"/>
          </rPr>
          <t>暑訓</t>
        </r>
      </text>
    </comment>
    <comment ref="O68" authorId="1" shapeId="0" xr:uid="{3C67CD1F-3A00-40E3-9899-D8E9482E4AC0}">
      <text>
        <r>
          <rPr>
            <sz val="9"/>
            <color indexed="81"/>
            <rFont val="Tahoma"/>
            <family val="2"/>
          </rPr>
          <t xml:space="preserve">9/9,16
</t>
        </r>
      </text>
    </comment>
    <comment ref="P68" authorId="1" shapeId="0" xr:uid="{BA845467-23B8-4AFB-B2DA-EB29FFBA5110}">
      <text>
        <r>
          <rPr>
            <sz val="9"/>
            <color indexed="81"/>
            <rFont val="Tahoma"/>
            <family val="2"/>
          </rPr>
          <t xml:space="preserve">10/7,14,21,28
</t>
        </r>
      </text>
    </comment>
    <comment ref="Q68" authorId="1" shapeId="0" xr:uid="{55218B93-1EFA-4C21-B9E7-0CB7F5E89AFF}">
      <text>
        <r>
          <rPr>
            <sz val="9"/>
            <color indexed="81"/>
            <rFont val="Tahoma"/>
            <family val="2"/>
          </rPr>
          <t xml:space="preserve">11/11,18,25
</t>
        </r>
      </text>
    </comment>
    <comment ref="P72" authorId="1" shapeId="0" xr:uid="{77928EDF-9E04-46B7-8D24-C72B5B5A94F1}">
      <text>
        <r>
          <rPr>
            <sz val="9"/>
            <color indexed="81"/>
            <rFont val="Tahoma"/>
            <family val="2"/>
          </rPr>
          <t xml:space="preserve">10/7,14,21
</t>
        </r>
      </text>
    </comment>
    <comment ref="Q72" authorId="1" shapeId="0" xr:uid="{64937835-5ACB-437F-AE71-8A5AFB0FAB58}">
      <text>
        <r>
          <rPr>
            <sz val="9"/>
            <color indexed="81"/>
            <rFont val="Tahoma"/>
            <family val="2"/>
          </rPr>
          <t xml:space="preserve">
11/18,25
</t>
        </r>
      </text>
    </comment>
    <comment ref="O99" authorId="1" shapeId="0" xr:uid="{0763CF7C-A10D-4221-BAFC-0F0855C859F9}">
      <text>
        <r>
          <rPr>
            <sz val="9"/>
            <color indexed="81"/>
            <rFont val="Tahoma"/>
            <family val="2"/>
          </rPr>
          <t xml:space="preserve">9/2
</t>
        </r>
      </text>
    </comment>
    <comment ref="P99" authorId="1" shapeId="0" xr:uid="{F8FD6BDB-3569-4BD3-A88E-B2C84F85EDBB}">
      <text>
        <r>
          <rPr>
            <b/>
            <sz val="9"/>
            <color indexed="81"/>
            <rFont val="Tahoma"/>
            <family val="2"/>
          </rPr>
          <t>10/14</t>
        </r>
      </text>
    </comment>
    <comment ref="O100" authorId="1" shapeId="0" xr:uid="{0EB1C483-26E7-4582-B60E-AC3B08F8C1EB}">
      <text>
        <r>
          <rPr>
            <sz val="9"/>
            <color indexed="81"/>
            <rFont val="Tahoma"/>
            <family val="2"/>
          </rPr>
          <t xml:space="preserve">9/16
</t>
        </r>
      </text>
    </comment>
    <comment ref="P100" authorId="1" shapeId="0" xr:uid="{4589DD25-0EA5-4E9F-A9BE-134E93A5F9C0}">
      <text>
        <r>
          <rPr>
            <sz val="9"/>
            <color indexed="81"/>
            <rFont val="Tahoma"/>
            <family val="2"/>
          </rPr>
          <t xml:space="preserve">10/7,14
</t>
        </r>
      </text>
    </comment>
    <comment ref="O101" authorId="1" shapeId="0" xr:uid="{D30FDCD1-A38A-42C8-9D2E-9D7C8A3624C6}">
      <text>
        <r>
          <rPr>
            <sz val="9"/>
            <color indexed="81"/>
            <rFont val="Tahoma"/>
            <family val="2"/>
          </rPr>
          <t xml:space="preserve">9/2,16
</t>
        </r>
      </text>
    </comment>
    <comment ref="P101" authorId="1" shapeId="0" xr:uid="{0D7CFCAE-DD37-43EC-A1A9-CA8129A07DD3}">
      <text>
        <r>
          <rPr>
            <sz val="9"/>
            <color indexed="81"/>
            <rFont val="Tahoma"/>
            <family val="2"/>
          </rPr>
          <t xml:space="preserve">10/7,14,21,28
</t>
        </r>
      </text>
    </comment>
    <comment ref="O102" authorId="1" shapeId="0" xr:uid="{F74E3F19-153E-4F33-8AE5-11D8A8C483B6}">
      <text>
        <r>
          <rPr>
            <sz val="9"/>
            <color indexed="81"/>
            <rFont val="Tahoma"/>
            <family val="2"/>
          </rPr>
          <t xml:space="preserve">9/2,16
</t>
        </r>
      </text>
    </comment>
    <comment ref="P102" authorId="1" shapeId="0" xr:uid="{D28F0F4F-C03F-451E-AD67-75BA6382A0C4}">
      <text>
        <r>
          <rPr>
            <sz val="9"/>
            <color indexed="81"/>
            <rFont val="Tahoma"/>
            <family val="2"/>
          </rPr>
          <t xml:space="preserve">10/7,14,21
</t>
        </r>
      </text>
    </comment>
    <comment ref="Q102" authorId="1" shapeId="0" xr:uid="{A4D23937-E103-4302-B78F-497C05337B39}">
      <text>
        <r>
          <rPr>
            <sz val="9"/>
            <color indexed="81"/>
            <rFont val="Tahoma"/>
            <family val="2"/>
          </rPr>
          <t xml:space="preserve">11/18,25
</t>
        </r>
      </text>
    </comment>
    <comment ref="P103" authorId="1" shapeId="0" xr:uid="{860D4258-7E93-4FE2-AB3F-3B488FCE5CFF}">
      <text>
        <r>
          <rPr>
            <sz val="9"/>
            <color indexed="81"/>
            <rFont val="Tahoma"/>
            <family val="2"/>
          </rPr>
          <t xml:space="preserve">10/7,28
</t>
        </r>
      </text>
    </comment>
    <comment ref="Q103" authorId="1" shapeId="0" xr:uid="{2E09BAD9-0E86-4973-8518-7B2F0257850C}">
      <text>
        <r>
          <rPr>
            <b/>
            <sz val="9"/>
            <color indexed="81"/>
            <rFont val="Tahoma"/>
            <family val="2"/>
          </rPr>
          <t>11/11,18,15</t>
        </r>
      </text>
    </comment>
    <comment ref="P104" authorId="1" shapeId="0" xr:uid="{BDB5EFAB-25EB-401F-990F-3945C9B869D7}">
      <text>
        <r>
          <rPr>
            <sz val="9"/>
            <color indexed="81"/>
            <rFont val="Tahoma"/>
            <family val="2"/>
          </rPr>
          <t xml:space="preserve">10/7,14,21,28
</t>
        </r>
      </text>
    </comment>
    <comment ref="Q104" authorId="1" shapeId="0" xr:uid="{757A87A0-8145-43FA-B090-845731D9C032}">
      <text>
        <r>
          <rPr>
            <sz val="9"/>
            <color indexed="81"/>
            <rFont val="Tahoma"/>
            <family val="2"/>
          </rPr>
          <t xml:space="preserve">11/11,18,25
</t>
        </r>
      </text>
    </comment>
  </commentList>
</comments>
</file>

<file path=xl/sharedStrings.xml><?xml version="1.0" encoding="utf-8"?>
<sst xmlns="http://schemas.openxmlformats.org/spreadsheetml/2006/main" count="737" uniqueCount="533">
  <si>
    <t>月</t>
  </si>
  <si>
    <t>日</t>
  </si>
  <si>
    <t>摘要</t>
  </si>
  <si>
    <t>收入</t>
  </si>
  <si>
    <t>支出</t>
  </si>
  <si>
    <t>備註</t>
  </si>
  <si>
    <t>1月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</si>
  <si>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</si>
  <si>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</si>
  <si>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</si>
  <si>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</si>
  <si>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</si>
  <si>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</si>
  <si>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</si>
  <si>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</si>
  <si>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</si>
  <si>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</si>
  <si>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總計</t>
  </si>
  <si>
    <t>比率</t>
  </si>
  <si>
    <t>學費收入</t>
  </si>
  <si>
    <t>其他收入</t>
  </si>
  <si>
    <t>收入總額</t>
  </si>
  <si>
    <t>薪資支出</t>
  </si>
  <si>
    <t>文具用品</t>
  </si>
  <si>
    <t>差旅費</t>
  </si>
  <si>
    <t>郵電費</t>
  </si>
  <si>
    <t>修繕費</t>
  </si>
  <si>
    <t>餐費(宿)</t>
  </si>
  <si>
    <t>訓練費(球)</t>
  </si>
  <si>
    <t>獎金支出</t>
  </si>
  <si>
    <t>其他費用</t>
  </si>
  <si>
    <t>支出總額</t>
  </si>
  <si>
    <t>收支相抵</t>
    <phoneticPr fontId="2" type="noConversion"/>
  </si>
  <si>
    <t>項次</t>
  </si>
  <si>
    <t>年級</t>
  </si>
  <si>
    <t>學生姓名</t>
  </si>
  <si>
    <t>一月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</si>
  <si>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</si>
  <si>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</si>
  <si>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</si>
  <si>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</si>
  <si>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</si>
  <si>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</si>
  <si>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</si>
  <si>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</si>
  <si>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</si>
  <si>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方炳崴</t>
  </si>
  <si>
    <t>黃柏洋</t>
  </si>
  <si>
    <t>陳秉承</t>
  </si>
  <si>
    <t>曾浩恩</t>
  </si>
  <si>
    <t>賴宥達</t>
  </si>
  <si>
    <t>黃裕傑</t>
  </si>
  <si>
    <t>蔡冠昇</t>
  </si>
  <si>
    <t>葉清寶</t>
  </si>
  <si>
    <t>賴胤丞</t>
  </si>
  <si>
    <t>劉宇恩</t>
  </si>
  <si>
    <t>蘇子承</t>
  </si>
  <si>
    <t>教練姓名</t>
  </si>
  <si>
    <t>合計</t>
  </si>
  <si>
    <t>許晉得</t>
  </si>
  <si>
    <t>邱鴻祥</t>
  </si>
  <si>
    <t>劉威廷</t>
  </si>
  <si>
    <t>羅婉玲</t>
  </si>
  <si>
    <t>薪資總額</t>
  </si>
  <si>
    <t>班別</t>
    <phoneticPr fontId="2" type="noConversion"/>
  </si>
  <si>
    <t>4</t>
    <phoneticPr fontId="2" type="noConversion"/>
  </si>
  <si>
    <t>許珀學</t>
    <phoneticPr fontId="16" type="noConversion"/>
  </si>
  <si>
    <t>林緖煌</t>
  </si>
  <si>
    <t>歐于瑄</t>
    <phoneticPr fontId="2" type="noConversion"/>
  </si>
  <si>
    <t>高湘惟</t>
    <phoneticPr fontId="2" type="noConversion"/>
  </si>
  <si>
    <t>匯費</t>
    <phoneticPr fontId="2" type="noConversion"/>
  </si>
  <si>
    <t>趙珩聿</t>
    <phoneticPr fontId="16" type="noConversion"/>
  </si>
  <si>
    <t>莊秉衡</t>
    <phoneticPr fontId="16" type="noConversion"/>
  </si>
  <si>
    <t>寒訓</t>
    <phoneticPr fontId="2" type="noConversion"/>
  </si>
  <si>
    <t>四月</t>
    <phoneticPr fontId="2" type="noConversion"/>
  </si>
  <si>
    <t>五月</t>
    <phoneticPr fontId="2" type="noConversion"/>
  </si>
  <si>
    <t>六月</t>
    <phoneticPr fontId="2" type="noConversion"/>
  </si>
  <si>
    <t>交通費</t>
    <phoneticPr fontId="2" type="noConversion"/>
  </si>
  <si>
    <t>電費</t>
    <phoneticPr fontId="2" type="noConversion"/>
  </si>
  <si>
    <t>王以樂</t>
    <phoneticPr fontId="16" type="noConversion"/>
  </si>
  <si>
    <t>羅子宸</t>
    <phoneticPr fontId="16" type="noConversion"/>
  </si>
  <si>
    <t>林群倫</t>
    <phoneticPr fontId="16" type="noConversion"/>
  </si>
  <si>
    <t>6</t>
    <phoneticPr fontId="2" type="noConversion"/>
  </si>
  <si>
    <t>林大棋</t>
    <phoneticPr fontId="2" type="noConversion"/>
  </si>
  <si>
    <t>二月</t>
    <phoneticPr fontId="2" type="noConversion"/>
  </si>
  <si>
    <t>三月</t>
    <phoneticPr fontId="2" type="noConversion"/>
  </si>
  <si>
    <t>＋</t>
    <phoneticPr fontId="2" type="noConversion"/>
  </si>
  <si>
    <t>寒訓＋二月</t>
    <phoneticPr fontId="2" type="noConversion"/>
  </si>
  <si>
    <t>張元祈</t>
    <phoneticPr fontId="2" type="noConversion"/>
  </si>
  <si>
    <t>三月</t>
    <phoneticPr fontId="2" type="noConversion"/>
  </si>
  <si>
    <t>莊宗翰</t>
    <phoneticPr fontId="2" type="noConversion"/>
  </si>
  <si>
    <t>盧筠杰</t>
    <phoneticPr fontId="16" type="noConversion"/>
  </si>
  <si>
    <t>劉貞妤</t>
    <phoneticPr fontId="16" type="noConversion"/>
  </si>
  <si>
    <t>5</t>
    <phoneticPr fontId="2" type="noConversion"/>
  </si>
  <si>
    <t>廖楷淯</t>
    <phoneticPr fontId="2" type="noConversion"/>
  </si>
  <si>
    <t>顏椲珣</t>
    <phoneticPr fontId="2" type="noConversion"/>
  </si>
  <si>
    <t>高鈺蓉</t>
    <phoneticPr fontId="2" type="noConversion"/>
  </si>
  <si>
    <t>陳毅展</t>
    <phoneticPr fontId="2" type="noConversion"/>
  </si>
  <si>
    <t>陳妍禎</t>
    <phoneticPr fontId="16" type="noConversion"/>
  </si>
  <si>
    <t>李依瑾</t>
    <phoneticPr fontId="16" type="noConversion"/>
  </si>
  <si>
    <t>吳澐叡</t>
    <phoneticPr fontId="16" type="noConversion"/>
  </si>
  <si>
    <t>孫暐程</t>
    <phoneticPr fontId="2" type="noConversion"/>
  </si>
  <si>
    <t>2</t>
    <phoneticPr fontId="16" type="noConversion"/>
  </si>
  <si>
    <t>羅宥晴</t>
    <phoneticPr fontId="16" type="noConversion"/>
  </si>
  <si>
    <t>盧易宏</t>
    <phoneticPr fontId="2" type="noConversion"/>
  </si>
  <si>
    <t>劉思澄</t>
    <phoneticPr fontId="2" type="noConversion"/>
  </si>
  <si>
    <t>蘇品云</t>
    <phoneticPr fontId="16" type="noConversion"/>
  </si>
  <si>
    <t>黃貞喜</t>
    <phoneticPr fontId="2" type="noConversion"/>
  </si>
  <si>
    <t>李漢莛</t>
    <phoneticPr fontId="2" type="noConversion"/>
  </si>
  <si>
    <t>羅允蔚</t>
    <phoneticPr fontId="2" type="noConversion"/>
  </si>
  <si>
    <t>林逸芮</t>
    <phoneticPr fontId="2" type="noConversion"/>
  </si>
  <si>
    <t>王睿駿</t>
    <phoneticPr fontId="2" type="noConversion"/>
  </si>
  <si>
    <t>胡茗心</t>
    <phoneticPr fontId="2" type="noConversion"/>
  </si>
  <si>
    <t>林牧謙</t>
    <phoneticPr fontId="2" type="noConversion"/>
  </si>
  <si>
    <t>黃圓量</t>
    <phoneticPr fontId="2" type="noConversion"/>
  </si>
  <si>
    <t>劉履善</t>
    <phoneticPr fontId="2" type="noConversion"/>
  </si>
  <si>
    <t>梁逸廷</t>
    <phoneticPr fontId="2" type="noConversion"/>
  </si>
  <si>
    <t>顏敬恆</t>
    <phoneticPr fontId="2" type="noConversion"/>
  </si>
  <si>
    <t>顏敬庭</t>
    <phoneticPr fontId="2" type="noConversion"/>
  </si>
  <si>
    <t>楊欣桐</t>
    <phoneticPr fontId="2" type="noConversion"/>
  </si>
  <si>
    <t>楊舒云</t>
    <phoneticPr fontId="2" type="noConversion"/>
  </si>
  <si>
    <t>許珈甄</t>
    <phoneticPr fontId="2" type="noConversion"/>
  </si>
  <si>
    <t>許晴寧</t>
    <phoneticPr fontId="2" type="noConversion"/>
  </si>
  <si>
    <t xml:space="preserve"> 陳楷恩 </t>
    <phoneticPr fontId="2" type="noConversion"/>
  </si>
  <si>
    <t>吳昀霏</t>
    <phoneticPr fontId="2" type="noConversion"/>
  </si>
  <si>
    <t>陳秉宏</t>
    <phoneticPr fontId="2" type="noConversion"/>
  </si>
  <si>
    <t>陳昱丞</t>
    <phoneticPr fontId="2" type="noConversion"/>
  </si>
  <si>
    <t>總計</t>
    <phoneticPr fontId="2" type="noConversion"/>
  </si>
  <si>
    <t>111年餘額</t>
    <phoneticPr fontId="2" type="noConversion"/>
  </si>
  <si>
    <t>112/1/3</t>
    <phoneticPr fontId="2" type="noConversion"/>
  </si>
  <si>
    <t>傅冠勳</t>
    <phoneticPr fontId="2" type="noConversion"/>
  </si>
  <si>
    <t>銀行支出-教練春節禮盒*3人</t>
    <phoneticPr fontId="2" type="noConversion"/>
  </si>
  <si>
    <t>現金支出-教練春節紅包2000*5人</t>
    <phoneticPr fontId="2" type="noConversion"/>
  </si>
  <si>
    <t>銀行收入-張元祈月費</t>
    <phoneticPr fontId="2" type="noConversion"/>
  </si>
  <si>
    <t>銀行收入-方炳崴月費</t>
    <phoneticPr fontId="2" type="noConversion"/>
  </si>
  <si>
    <t>銀行收入-曾浩恩、孫瑋程月費</t>
    <phoneticPr fontId="2" type="noConversion"/>
  </si>
  <si>
    <t>銀行收入-黃裕傑月費</t>
    <phoneticPr fontId="2" type="noConversion"/>
  </si>
  <si>
    <t>銀行收入-趙珩聿月費</t>
    <phoneticPr fontId="2" type="noConversion"/>
  </si>
  <si>
    <t>銀行收入-羅宥晴月費</t>
    <phoneticPr fontId="2" type="noConversion"/>
  </si>
  <si>
    <t>銀行收入-劉思澄月費</t>
    <phoneticPr fontId="2" type="noConversion"/>
  </si>
  <si>
    <t>銀行收入-施沛平月費</t>
    <phoneticPr fontId="2" type="noConversion"/>
  </si>
  <si>
    <t>銀行收入-廖楷淯月費</t>
    <phoneticPr fontId="2" type="noConversion"/>
  </si>
  <si>
    <t>銀行收入-顏椲珣月費</t>
    <phoneticPr fontId="2" type="noConversion"/>
  </si>
  <si>
    <t>銀行收入-黃貞喜月費</t>
    <phoneticPr fontId="2" type="noConversion"/>
  </si>
  <si>
    <t>無學費袋繳回</t>
    <phoneticPr fontId="2" type="noConversion"/>
  </si>
  <si>
    <t>製作海報印刷費</t>
    <phoneticPr fontId="2" type="noConversion"/>
  </si>
  <si>
    <t>現金收入-月費一批</t>
    <phoneticPr fontId="2" type="noConversion"/>
  </si>
  <si>
    <r>
      <t>112</t>
    </r>
    <r>
      <rPr>
        <sz val="18"/>
        <color indexed="8"/>
        <rFont val="細明體"/>
        <family val="3"/>
        <charset val="136"/>
      </rPr>
      <t>年度收支表</t>
    </r>
    <phoneticPr fontId="2" type="noConversion"/>
  </si>
  <si>
    <t>一月</t>
    <phoneticPr fontId="2" type="noConversion"/>
  </si>
  <si>
    <r>
      <t>112</t>
    </r>
    <r>
      <rPr>
        <sz val="14"/>
        <color indexed="8"/>
        <rFont val="細明體"/>
        <family val="3"/>
        <charset val="136"/>
      </rPr>
      <t>年教練薪資名單</t>
    </r>
    <phoneticPr fontId="2" type="noConversion"/>
  </si>
  <si>
    <t>十二月</t>
    <phoneticPr fontId="2" type="noConversion"/>
  </si>
  <si>
    <t>112年度收支表</t>
    <phoneticPr fontId="2" type="noConversion"/>
  </si>
  <si>
    <t>現金收入-劉貞妤月費</t>
    <phoneticPr fontId="2" type="noConversion"/>
  </si>
  <si>
    <t>1月教練薪資(含匯費)</t>
    <phoneticPr fontId="2" type="noConversion"/>
  </si>
  <si>
    <t xml:space="preserve">112年日記帳 </t>
    <phoneticPr fontId="2" type="noConversion"/>
  </si>
  <si>
    <t>上年度結餘165104元</t>
    <phoneticPr fontId="2" type="noConversion"/>
  </si>
  <si>
    <t>未參加</t>
    <phoneticPr fontId="2" type="noConversion"/>
  </si>
  <si>
    <t>現金收入-許珈甄、許晴寧月費</t>
    <phoneticPr fontId="2" type="noConversion"/>
  </si>
  <si>
    <t>現金收入-葉清寶</t>
    <phoneticPr fontId="2" type="noConversion"/>
  </si>
  <si>
    <t>現金收入-劉思澄</t>
    <phoneticPr fontId="2" type="noConversion"/>
  </si>
  <si>
    <t>銀行收入-曾浩恩、羅宥睛、黃裕傑、趙珩聿、黃貞喜</t>
    <phoneticPr fontId="2" type="noConversion"/>
  </si>
  <si>
    <t>銀行收入-黃圓量</t>
    <phoneticPr fontId="2" type="noConversion"/>
  </si>
  <si>
    <t>獎金-(嵐星盃30000+歐克盃10200)/2</t>
    <phoneticPr fontId="2" type="noConversion"/>
  </si>
  <si>
    <t>現金收入-寒訓一批</t>
    <phoneticPr fontId="2" type="noConversion"/>
  </si>
  <si>
    <t>銀行收入-施沛平、張元祈</t>
    <phoneticPr fontId="2" type="noConversion"/>
  </si>
  <si>
    <t>現金支出-慶生蛋糕</t>
    <phoneticPr fontId="2" type="noConversion"/>
  </si>
  <si>
    <t>銀行收入-方炳崴、顏椲珣</t>
    <phoneticPr fontId="2" type="noConversion"/>
  </si>
  <si>
    <t>李秉謙</t>
    <phoneticPr fontId="16" type="noConversion"/>
  </si>
  <si>
    <t>邱敬能</t>
  </si>
  <si>
    <t>羅千晴</t>
    <phoneticPr fontId="2" type="noConversion"/>
  </si>
  <si>
    <t>林昱琁</t>
    <phoneticPr fontId="2" type="noConversion"/>
  </si>
  <si>
    <t>骨折未收</t>
    <phoneticPr fontId="2" type="noConversion"/>
  </si>
  <si>
    <t>銀行收入-曾浩恩、黃裕傑、方炳崴</t>
    <phoneticPr fontId="2" type="noConversion"/>
  </si>
  <si>
    <t>銀行收入-施沛平</t>
    <phoneticPr fontId="2" type="noConversion"/>
  </si>
  <si>
    <t>銀行收入-廖楷淯、莊秉衡、羅宥晴、孫暐程</t>
    <phoneticPr fontId="2" type="noConversion"/>
  </si>
  <si>
    <t>銀行收入-張元祈</t>
    <phoneticPr fontId="2" type="noConversion"/>
  </si>
  <si>
    <t>現金支出-歐克盃及嵐星盃選手獎勵金700*2</t>
    <phoneticPr fontId="2" type="noConversion"/>
  </si>
  <si>
    <t>銀行收入-顏椲珣、趙珩聿、黃貞喜</t>
    <phoneticPr fontId="2" type="noConversion"/>
  </si>
  <si>
    <t>現金收入-2月月費一批</t>
    <phoneticPr fontId="2" type="noConversion"/>
  </si>
  <si>
    <t>銀行支出-歐克盃中餐及晚餐費用</t>
    <phoneticPr fontId="2" type="noConversion"/>
  </si>
  <si>
    <t>銀行支出-歐克盃教練交通費</t>
    <phoneticPr fontId="2" type="noConversion"/>
  </si>
  <si>
    <t>銀行支出-嵐星盃教練交通費</t>
    <phoneticPr fontId="2" type="noConversion"/>
  </si>
  <si>
    <t>銀行支出-嵐星盃餐費</t>
    <phoneticPr fontId="2" type="noConversion"/>
  </si>
  <si>
    <t>銀行支出-招生單影印費用</t>
    <phoneticPr fontId="2" type="noConversion"/>
  </si>
  <si>
    <t>受傷未收</t>
    <phoneticPr fontId="2" type="noConversion"/>
  </si>
  <si>
    <t>歐克盃冠軍</t>
    <phoneticPr fontId="2" type="noConversion"/>
  </si>
  <si>
    <t>嵐星嵐冠軍</t>
    <phoneticPr fontId="2" type="noConversion"/>
  </si>
  <si>
    <t>歐克盃餐費</t>
    <phoneticPr fontId="2" type="noConversion"/>
  </si>
  <si>
    <t>歐克盃教練交通費</t>
    <phoneticPr fontId="2" type="noConversion"/>
  </si>
  <si>
    <t>嵐星嵐餐費</t>
    <phoneticPr fontId="2" type="noConversion"/>
  </si>
  <si>
    <t>嵐星嵐交通費</t>
    <phoneticPr fontId="2" type="noConversion"/>
  </si>
  <si>
    <t>現金收入-王睿駿</t>
    <phoneticPr fontId="2" type="noConversion"/>
  </si>
  <si>
    <t>呂奕甫</t>
    <phoneticPr fontId="2" type="noConversion"/>
  </si>
  <si>
    <t>現金收入-李依瑾</t>
    <phoneticPr fontId="2" type="noConversion"/>
  </si>
  <si>
    <t>現金收入-呂奕甫</t>
    <phoneticPr fontId="2" type="noConversion"/>
  </si>
  <si>
    <r>
      <t>2</t>
    </r>
    <r>
      <rPr>
        <sz val="14"/>
        <color rgb="FF000000"/>
        <rFont val="微軟正黑體"/>
        <family val="2"/>
        <charset val="136"/>
      </rPr>
      <t>月</t>
    </r>
    <r>
      <rPr>
        <sz val="14"/>
        <color indexed="8"/>
        <rFont val="Songti TC Regular"/>
        <family val="3"/>
        <charset val="136"/>
      </rPr>
      <t>+寒訓</t>
    </r>
    <phoneticPr fontId="2" type="noConversion"/>
  </si>
  <si>
    <t>寒訓+2月教練薪資(含匯費)</t>
    <phoneticPr fontId="2" type="noConversion"/>
  </si>
  <si>
    <t>現金收入-高湘惟,高鈺蓉2月會費及月費</t>
    <phoneticPr fontId="2" type="noConversion"/>
  </si>
  <si>
    <t>教練團獎金-諸羅山盃</t>
    <phoneticPr fontId="2" type="noConversion"/>
  </si>
  <si>
    <t>銀行收入-顏椲珣+孫暐程</t>
    <phoneticPr fontId="2" type="noConversion"/>
  </si>
  <si>
    <t>銀行收入-劉思澄+黃裕傑+曾浩恩+廖楷淯</t>
    <phoneticPr fontId="2" type="noConversion"/>
  </si>
  <si>
    <t>銀行收入-趙珩聿</t>
    <phoneticPr fontId="2" type="noConversion"/>
  </si>
  <si>
    <t>現金收入-學費一批</t>
    <phoneticPr fontId="2" type="noConversion"/>
  </si>
  <si>
    <t>銀行收入-方炳崴+黃貞喜</t>
    <phoneticPr fontId="2" type="noConversion"/>
  </si>
  <si>
    <t>銀行收入-許珈甄+許晴寧</t>
    <phoneticPr fontId="2" type="noConversion"/>
  </si>
  <si>
    <t>家委會入</t>
    <phoneticPr fontId="2" type="noConversion"/>
  </si>
  <si>
    <t>慶生蛋糕</t>
    <phoneticPr fontId="2" type="noConversion"/>
  </si>
  <si>
    <t>3月繳</t>
    <phoneticPr fontId="2" type="noConversion"/>
  </si>
  <si>
    <t>王星皓</t>
    <phoneticPr fontId="16" type="noConversion"/>
  </si>
  <si>
    <t>黃子芯</t>
    <phoneticPr fontId="16" type="noConversion"/>
  </si>
  <si>
    <t>許立臻</t>
    <phoneticPr fontId="2" type="noConversion"/>
  </si>
  <si>
    <t>教練3月薪資+匯費</t>
    <phoneticPr fontId="2" type="noConversion"/>
  </si>
  <si>
    <t>銀行收入-黃圓量入</t>
    <phoneticPr fontId="2" type="noConversion"/>
  </si>
  <si>
    <t>現金收入-吳澐叡3月月費+會費</t>
    <phoneticPr fontId="2" type="noConversion"/>
  </si>
  <si>
    <t>4月繳</t>
    <phoneticPr fontId="2" type="noConversion"/>
  </si>
  <si>
    <t>銀行收入-孫暐程+顏椲珣+曾浩恩</t>
    <phoneticPr fontId="2" type="noConversion"/>
  </si>
  <si>
    <t>銀行收入-方炳崴</t>
    <phoneticPr fontId="2" type="noConversion"/>
  </si>
  <si>
    <t>銀行收入-廖楷淯+趙珩聿</t>
    <phoneticPr fontId="2" type="noConversion"/>
  </si>
  <si>
    <t>銀行收入-劉履善</t>
    <phoneticPr fontId="2" type="noConversion"/>
  </si>
  <si>
    <t>銀行收入-施沛平(3-4月月費)</t>
    <phoneticPr fontId="2" type="noConversion"/>
  </si>
  <si>
    <t>銀行收入-黃裕傑</t>
    <phoneticPr fontId="2" type="noConversion"/>
  </si>
  <si>
    <t>銀行收入-劉思澄+黃貞喜</t>
    <phoneticPr fontId="2" type="noConversion"/>
  </si>
  <si>
    <t>銀行收入-張元祈</t>
    <phoneticPr fontId="2" type="noConversion"/>
  </si>
  <si>
    <t>未參加</t>
    <phoneticPr fontId="2" type="noConversion"/>
  </si>
  <si>
    <t>吳畇鱳</t>
  </si>
  <si>
    <t>紅包袋*2</t>
    <phoneticPr fontId="2" type="noConversion"/>
  </si>
  <si>
    <t>小運會選手獎勵金14人*100</t>
    <phoneticPr fontId="2" type="noConversion"/>
  </si>
  <si>
    <t>4月月費入</t>
    <phoneticPr fontId="2" type="noConversion"/>
  </si>
  <si>
    <t>教練4月薪資+匯費</t>
    <phoneticPr fontId="2" type="noConversion"/>
  </si>
  <si>
    <t>小運會選手午餐退費</t>
    <phoneticPr fontId="2" type="noConversion"/>
  </si>
  <si>
    <t>現金收入-黃柏洋+蘇子承4月份月費</t>
    <phoneticPr fontId="2" type="noConversion"/>
  </si>
  <si>
    <t>銀行收入-黃圓量4月</t>
    <phoneticPr fontId="2" type="noConversion"/>
  </si>
  <si>
    <t>現金收入-林昱安4月</t>
    <phoneticPr fontId="2" type="noConversion"/>
  </si>
  <si>
    <t>現金收入-陳又綸4月</t>
    <phoneticPr fontId="2" type="noConversion"/>
  </si>
  <si>
    <t>林昱安</t>
    <phoneticPr fontId="2" type="noConversion"/>
  </si>
  <si>
    <t>陳又綸</t>
    <phoneticPr fontId="2" type="noConversion"/>
  </si>
  <si>
    <t>自由盃團體報名費</t>
    <phoneticPr fontId="2" type="noConversion"/>
  </si>
  <si>
    <t>自由盃團體賽-午餐退費</t>
    <phoneticPr fontId="2" type="noConversion"/>
  </si>
  <si>
    <t>現金收入-梁采甯,呂奕甫</t>
    <phoneticPr fontId="2" type="noConversion"/>
  </si>
  <si>
    <t>自由盃團體賽-12歲男生第二名獎勵金*5人</t>
    <phoneticPr fontId="2" type="noConversion"/>
  </si>
  <si>
    <t>梁采甯</t>
    <phoneticPr fontId="2" type="noConversion"/>
  </si>
  <si>
    <t>銀行收入-方炳崴,曾浩恩,劉思澄</t>
    <phoneticPr fontId="2" type="noConversion"/>
  </si>
  <si>
    <t>銀行收入-黃貞喜</t>
    <phoneticPr fontId="2" type="noConversion"/>
  </si>
  <si>
    <t>銀行收入-廖楷淯</t>
    <phoneticPr fontId="2" type="noConversion"/>
  </si>
  <si>
    <t>銀行收入-顏椲珣,孫暐程,黃裕傑</t>
    <phoneticPr fontId="2" type="noConversion"/>
  </si>
  <si>
    <t>銀行支出-電費</t>
    <phoneticPr fontId="2" type="noConversion"/>
  </si>
  <si>
    <t>5月份月費一批</t>
    <phoneticPr fontId="2" type="noConversion"/>
  </si>
  <si>
    <t>林柏睿</t>
    <phoneticPr fontId="2" type="noConversion"/>
  </si>
  <si>
    <t>現金收入-葉清寶</t>
    <phoneticPr fontId="2" type="noConversion"/>
  </si>
  <si>
    <t>3-4月電費</t>
    <phoneticPr fontId="2" type="noConversion"/>
  </si>
  <si>
    <t>自由盃團體賽-報名費</t>
    <phoneticPr fontId="2" type="noConversion"/>
  </si>
  <si>
    <r>
      <rPr>
        <sz val="16"/>
        <color rgb="FF000000"/>
        <rFont val="微軟正黑體"/>
        <family val="2"/>
        <charset val="136"/>
      </rPr>
      <t>自由盃團體賽</t>
    </r>
    <r>
      <rPr>
        <sz val="16"/>
        <color rgb="FF000000"/>
        <rFont val="Songti TC Regular"/>
        <family val="2"/>
      </rPr>
      <t>-</t>
    </r>
    <r>
      <rPr>
        <sz val="16"/>
        <color rgb="FF000000"/>
        <rFont val="微軟正黑體"/>
        <family val="2"/>
        <charset val="136"/>
      </rPr>
      <t>5/11餐費</t>
    </r>
    <phoneticPr fontId="2" type="noConversion"/>
  </si>
  <si>
    <t>自由盃團體賽-教練交通費</t>
    <phoneticPr fontId="2" type="noConversion"/>
  </si>
  <si>
    <r>
      <rPr>
        <sz val="16"/>
        <color rgb="FF000000"/>
        <rFont val="微軟正黑體"/>
        <family val="2"/>
        <charset val="136"/>
      </rPr>
      <t>自由盃團體賽</t>
    </r>
    <r>
      <rPr>
        <sz val="16"/>
        <color rgb="FF000000"/>
        <rFont val="Arial"/>
        <family val="2"/>
      </rPr>
      <t>-</t>
    </r>
    <r>
      <rPr>
        <sz val="16"/>
        <color rgb="FF000000"/>
        <rFont val="微軟正黑體"/>
        <family val="2"/>
        <charset val="136"/>
      </rPr>
      <t>住宿補助9人*300</t>
    </r>
    <phoneticPr fontId="2" type="noConversion"/>
  </si>
  <si>
    <t>自由盃團體賽費用一批(住宿補助2700+教練交通6446)</t>
    <phoneticPr fontId="2" type="noConversion"/>
  </si>
  <si>
    <t>自由盃團體賽5/11餐費</t>
    <phoneticPr fontId="2" type="noConversion"/>
  </si>
  <si>
    <t>小運會獎金(獎金12000,一半給7位選手)</t>
    <phoneticPr fontId="2" type="noConversion"/>
  </si>
  <si>
    <t>教練11205薪資+匯</t>
    <phoneticPr fontId="2" type="noConversion"/>
  </si>
  <si>
    <t>畢業餐會製作布條+運費</t>
    <phoneticPr fontId="2" type="noConversion"/>
  </si>
  <si>
    <t>畢業餐會家長自付額</t>
    <phoneticPr fontId="2" type="noConversion"/>
  </si>
  <si>
    <t>教練團獎金-自由盃團體第二名</t>
    <phoneticPr fontId="2" type="noConversion"/>
  </si>
  <si>
    <t>教練團獎金-小運會第一名</t>
    <phoneticPr fontId="2" type="noConversion"/>
  </si>
  <si>
    <t>現金收入-梁采甯</t>
    <phoneticPr fontId="2" type="noConversion"/>
  </si>
  <si>
    <t>現金收入-陳又綸</t>
    <phoneticPr fontId="2" type="noConversion"/>
  </si>
  <si>
    <t>帆布條*3條</t>
    <phoneticPr fontId="2" type="noConversion"/>
  </si>
  <si>
    <t>銀行收入-孫暐程+劉思澄+顏椲珣</t>
    <phoneticPr fontId="2" type="noConversion"/>
  </si>
  <si>
    <t>畢業</t>
    <phoneticPr fontId="2" type="noConversion"/>
  </si>
  <si>
    <t>施沛平</t>
    <phoneticPr fontId="2" type="noConversion"/>
  </si>
  <si>
    <t>銀行收入-廖楷淯,施沛平,黃貞喜,黃圓量</t>
    <phoneticPr fontId="2" type="noConversion"/>
  </si>
  <si>
    <t>銀行收入-許珈甄+許晴寧+趙珩聿</t>
    <phoneticPr fontId="2" type="noConversion"/>
  </si>
  <si>
    <t>利息</t>
    <phoneticPr fontId="2" type="noConversion"/>
  </si>
  <si>
    <t>月費袋*2包</t>
    <phoneticPr fontId="2" type="noConversion"/>
  </si>
  <si>
    <t>銀行支出-海報印刷費</t>
    <phoneticPr fontId="2" type="noConversion"/>
  </si>
  <si>
    <t>銀行支出-教練團端午節禮金8人*1000</t>
    <phoneticPr fontId="2" type="noConversion"/>
  </si>
  <si>
    <t>慶生蛋糕</t>
    <phoneticPr fontId="2" type="noConversion"/>
  </si>
  <si>
    <t>6月份月費一批</t>
    <phoneticPr fontId="2" type="noConversion"/>
  </si>
  <si>
    <t>七月暑訓</t>
    <phoneticPr fontId="2" type="noConversion"/>
  </si>
  <si>
    <t>八月暑訓</t>
    <phoneticPr fontId="2" type="noConversion"/>
  </si>
  <si>
    <t>現金收入-林昱安5月</t>
    <phoneticPr fontId="2" type="noConversion"/>
  </si>
  <si>
    <t>暫繳畢業餐費-待學校核發後回補</t>
    <phoneticPr fontId="2" type="noConversion"/>
  </si>
  <si>
    <t>現金收入-劉貞妤6月</t>
    <phoneticPr fontId="2" type="noConversion"/>
  </si>
  <si>
    <t>暫付款</t>
    <phoneticPr fontId="2" type="noConversion"/>
  </si>
  <si>
    <t>現金收入-梁采甯6月(計在暑訓)</t>
    <phoneticPr fontId="2" type="noConversion"/>
  </si>
  <si>
    <t>教練11206薪資+匯費</t>
    <phoneticPr fontId="2" type="noConversion"/>
  </si>
  <si>
    <t>沖6/10暫繳畢業餐費-待學校核發後回補</t>
    <phoneticPr fontId="2" type="noConversion"/>
  </si>
  <si>
    <t>銀行收入-暑訓黃貞喜+孫暐程+廖楷淯</t>
    <phoneticPr fontId="2" type="noConversion"/>
  </si>
  <si>
    <t>銀行收入-暑訓顏椲珣+趙珩聿</t>
    <phoneticPr fontId="2" type="noConversion"/>
  </si>
  <si>
    <t>銀行收入-暑訓張元祈 +劉思澄</t>
    <phoneticPr fontId="2" type="noConversion"/>
  </si>
  <si>
    <t>銀行支出-5-6月電費</t>
    <phoneticPr fontId="2" type="noConversion"/>
  </si>
  <si>
    <t>銀行收入-暑訓施沛平</t>
    <phoneticPr fontId="2" type="noConversion"/>
  </si>
  <si>
    <t>銀行收入-暑訓莊秉衡</t>
    <phoneticPr fontId="2" type="noConversion"/>
  </si>
  <si>
    <t>銀行收入-暑訓許珈甄+許晴寧</t>
    <phoneticPr fontId="2" type="noConversion"/>
  </si>
  <si>
    <t>7月月費一批</t>
    <phoneticPr fontId="2" type="noConversion"/>
  </si>
  <si>
    <t>飲水機維護費用</t>
    <phoneticPr fontId="2" type="noConversion"/>
  </si>
  <si>
    <t>退隊</t>
    <phoneticPr fontId="2" type="noConversion"/>
  </si>
  <si>
    <t>李眉霖</t>
    <phoneticPr fontId="2" type="noConversion"/>
  </si>
  <si>
    <t>翁羚瑄</t>
    <phoneticPr fontId="2" type="noConversion"/>
  </si>
  <si>
    <t>高浤鈞</t>
    <phoneticPr fontId="2" type="noConversion"/>
  </si>
  <si>
    <t>周湙森</t>
    <phoneticPr fontId="2" type="noConversion"/>
  </si>
  <si>
    <t>蔡均祥</t>
    <phoneticPr fontId="2" type="noConversion"/>
  </si>
  <si>
    <t>蔡均彥</t>
    <phoneticPr fontId="2" type="noConversion"/>
  </si>
  <si>
    <t>方詠緁</t>
    <phoneticPr fontId="2" type="noConversion"/>
  </si>
  <si>
    <t>張郁婕</t>
    <phoneticPr fontId="2" type="noConversion"/>
  </si>
  <si>
    <t>張楀若</t>
    <phoneticPr fontId="2" type="noConversion"/>
  </si>
  <si>
    <t>張逸儒</t>
    <phoneticPr fontId="2" type="noConversion"/>
  </si>
  <si>
    <t>張逸翰</t>
    <phoneticPr fontId="2" type="noConversion"/>
  </si>
  <si>
    <t>藍丞崴</t>
    <phoneticPr fontId="2" type="noConversion"/>
  </si>
  <si>
    <t>張倢菱</t>
    <phoneticPr fontId="2" type="noConversion"/>
  </si>
  <si>
    <t>王姿云</t>
    <phoneticPr fontId="2" type="noConversion"/>
  </si>
  <si>
    <t>未參加</t>
    <phoneticPr fontId="2" type="noConversion"/>
  </si>
  <si>
    <t>趙嘉甫</t>
    <phoneticPr fontId="2" type="noConversion"/>
  </si>
  <si>
    <t>合計</t>
    <phoneticPr fontId="2" type="noConversion"/>
  </si>
  <si>
    <t>現金收入-呂奕甫7月(4次*300)</t>
    <phoneticPr fontId="2" type="noConversion"/>
  </si>
  <si>
    <t>8/2-8/5</t>
    <phoneticPr fontId="2" type="noConversion"/>
  </si>
  <si>
    <t>南區精英賽車資</t>
    <phoneticPr fontId="2" type="noConversion"/>
  </si>
  <si>
    <t>南區精英賽餐費</t>
    <phoneticPr fontId="2" type="noConversion"/>
  </si>
  <si>
    <t>銀行收入-暑訓顏椲珣+孫暐程+許珈甄+許晴寧</t>
    <phoneticPr fontId="2" type="noConversion"/>
  </si>
  <si>
    <t>順序</t>
    <phoneticPr fontId="2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</si>
  <si>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</si>
  <si>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</si>
  <si>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</si>
  <si>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</si>
  <si>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</si>
  <si>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</si>
  <si>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</si>
  <si>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</si>
  <si>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</si>
  <si>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</si>
  <si>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</si>
  <si>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</si>
  <si>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</si>
  <si>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</si>
  <si>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</si>
  <si>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</si>
  <si>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</si>
  <si>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</si>
  <si>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</si>
  <si>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</si>
  <si>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</si>
  <si>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</si>
  <si>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</si>
  <si>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</si>
  <si>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</si>
  <si>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</si>
  <si>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</si>
  <si>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</si>
  <si>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</si>
  <si>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</si>
  <si>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</si>
  <si>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</si>
  <si>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</si>
  <si>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</si>
  <si>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</si>
  <si>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</si>
  <si>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</si>
  <si>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</si>
  <si>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</si>
  <si>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</si>
  <si>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</si>
  <si>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</si>
  <si>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</si>
  <si>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</si>
  <si>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</si>
  <si>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</si>
  <si>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</si>
  <si>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</si>
  <si>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</si>
  <si>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</si>
  <si>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</si>
  <si>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</si>
  <si>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</si>
  <si>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</si>
  <si>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</si>
  <si>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</si>
  <si>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</si>
  <si>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</si>
  <si>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</si>
  <si>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</si>
  <si>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</si>
  <si>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</si>
  <si>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</si>
  <si>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</si>
  <si>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</si>
  <si>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</si>
  <si>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</si>
  <si>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</si>
  <si>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</si>
  <si>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</si>
  <si>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</si>
  <si>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</si>
  <si>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</si>
  <si>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</si>
  <si>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</si>
  <si>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12</t>
    <phoneticPr fontId="2" type="noConversion"/>
  </si>
  <si>
    <t>88</t>
  </si>
  <si>
    <t xml:space="preserve"> </t>
    <phoneticPr fontId="2" type="noConversion"/>
  </si>
  <si>
    <t>銀行收入-暑訓廖楷淯+趙珩聿</t>
    <phoneticPr fontId="2" type="noConversion"/>
  </si>
  <si>
    <t xml:space="preserve">銀行收入-暑訓莊秉衡 </t>
    <phoneticPr fontId="2" type="noConversion"/>
  </si>
  <si>
    <t>銀行收入-黃貞喜-黃圓亮</t>
    <phoneticPr fontId="2" type="noConversion"/>
  </si>
  <si>
    <t>現金收入-梁逸廷+梁采甯</t>
    <phoneticPr fontId="2" type="noConversion"/>
  </si>
  <si>
    <t>銀行收入-顏椲珣</t>
    <phoneticPr fontId="2" type="noConversion"/>
  </si>
  <si>
    <t>銀行收入-黃貞喜+黃圓量</t>
    <phoneticPr fontId="2" type="noConversion"/>
  </si>
  <si>
    <t>議長盃團體賽餐費</t>
    <phoneticPr fontId="2" type="noConversion"/>
  </si>
  <si>
    <t>銀行收入-羅宥晴</t>
    <phoneticPr fontId="2" type="noConversion"/>
  </si>
  <si>
    <t>李家杰</t>
    <phoneticPr fontId="2" type="noConversion"/>
  </si>
  <si>
    <t>銀行收入-許珈甄+許晴甯</t>
    <phoneticPr fontId="2" type="noConversion"/>
  </si>
  <si>
    <t>銀行收入-施沛平(補總統盃差額)</t>
    <phoneticPr fontId="2" type="noConversion"/>
  </si>
  <si>
    <t>總統盃團體賽教練2名餐宿+交通費</t>
    <phoneticPr fontId="2" type="noConversion"/>
  </si>
  <si>
    <t>總統盃團體賽2組報名費</t>
    <phoneticPr fontId="2" type="noConversion"/>
  </si>
  <si>
    <t>總統盃團體賽組-選手12名*300住宿費補貼</t>
    <phoneticPr fontId="2" type="noConversion"/>
  </si>
  <si>
    <t>9/18-9/21</t>
    <phoneticPr fontId="2" type="noConversion"/>
  </si>
  <si>
    <t>羅允曄</t>
    <phoneticPr fontId="2" type="noConversion"/>
  </si>
  <si>
    <t>唐筠熙</t>
    <phoneticPr fontId="2" type="noConversion"/>
  </si>
  <si>
    <t>陳妍安</t>
    <phoneticPr fontId="2" type="noConversion"/>
  </si>
  <si>
    <t>陳亞駿</t>
    <phoneticPr fontId="2" type="noConversion"/>
  </si>
  <si>
    <t>89</t>
  </si>
  <si>
    <t>陳亞祥</t>
    <phoneticPr fontId="2" type="noConversion"/>
  </si>
  <si>
    <t>90</t>
  </si>
  <si>
    <t>陳子謙</t>
    <phoneticPr fontId="2" type="noConversion"/>
  </si>
  <si>
    <t>莊博勝</t>
    <phoneticPr fontId="2" type="noConversion"/>
  </si>
  <si>
    <t>91</t>
    <phoneticPr fontId="2" type="noConversion"/>
  </si>
  <si>
    <t>96</t>
    <phoneticPr fontId="2" type="noConversion"/>
  </si>
  <si>
    <t>現金收入-林緒煌+陳妍禎(9月分月費)</t>
    <phoneticPr fontId="2" type="noConversion"/>
  </si>
  <si>
    <t>陳宇婕</t>
    <phoneticPr fontId="2" type="noConversion"/>
  </si>
  <si>
    <t>陳宇瑄</t>
    <phoneticPr fontId="2" type="noConversion"/>
  </si>
  <si>
    <t>謝康倫</t>
    <phoneticPr fontId="2" type="noConversion"/>
  </si>
  <si>
    <t>銀行收入-劉思澄</t>
    <phoneticPr fontId="2" type="noConversion"/>
  </si>
  <si>
    <t>宋承臻</t>
    <phoneticPr fontId="2" type="noConversion"/>
  </si>
  <si>
    <t>銀行收入-施沛平+宋成臻+黃貞喜+黃圓量</t>
    <phoneticPr fontId="2" type="noConversion"/>
  </si>
  <si>
    <t>銀行收入-許珈甄+許晴甯+廖楷淯</t>
    <phoneticPr fontId="2" type="noConversion"/>
  </si>
  <si>
    <t>銀行收入-鄧皓元+鄧詠欣</t>
    <phoneticPr fontId="2" type="noConversion"/>
  </si>
  <si>
    <t>鄧皓元</t>
    <phoneticPr fontId="2" type="noConversion"/>
  </si>
  <si>
    <t>鄧詠欣</t>
    <phoneticPr fontId="2" type="noConversion"/>
  </si>
  <si>
    <t>現金收入-梁采甯+王廷豪</t>
    <phoneticPr fontId="2" type="noConversion"/>
  </si>
  <si>
    <t>王廷豪</t>
    <phoneticPr fontId="2" type="noConversion"/>
  </si>
  <si>
    <t>現金收入-歐于瑄(9月分月費)</t>
    <phoneticPr fontId="2" type="noConversion"/>
  </si>
  <si>
    <t>銀行收入-莊秉衡</t>
    <phoneticPr fontId="2" type="noConversion"/>
  </si>
  <si>
    <t>代轉予邱教練</t>
    <phoneticPr fontId="2" type="noConversion"/>
  </si>
  <si>
    <t>總統盃團體賽(施沛平補差額351)</t>
    <phoneticPr fontId="2" type="noConversion"/>
  </si>
  <si>
    <t>代轉-施沛平照顧費</t>
    <phoneticPr fontId="2" type="noConversion"/>
  </si>
  <si>
    <t>轉予許教練</t>
    <phoneticPr fontId="2" type="noConversion"/>
  </si>
  <si>
    <t>鄭羽彤</t>
    <phoneticPr fontId="2" type="noConversion"/>
  </si>
  <si>
    <t>郭宥呈</t>
    <phoneticPr fontId="2" type="noConversion"/>
  </si>
  <si>
    <t>計次</t>
    <phoneticPr fontId="2" type="noConversion"/>
  </si>
  <si>
    <t>銀行收入-宋承臻</t>
    <phoneticPr fontId="2" type="noConversion"/>
  </si>
  <si>
    <t>銀行收入-顏椲珣+張元祈</t>
    <phoneticPr fontId="2" type="noConversion"/>
  </si>
  <si>
    <t>銀行收入-廖楷淯+劉思澄</t>
    <phoneticPr fontId="2" type="noConversion"/>
  </si>
  <si>
    <t>吳昭賢</t>
    <phoneticPr fontId="2" type="noConversion"/>
  </si>
  <si>
    <t>現金收入-林昱璇+林逸芮(10月月費)</t>
    <phoneticPr fontId="2" type="noConversion"/>
  </si>
  <si>
    <t>11月繳</t>
    <phoneticPr fontId="2" type="noConversion"/>
  </si>
  <si>
    <t>10月繳</t>
    <phoneticPr fontId="2" type="noConversion"/>
  </si>
  <si>
    <t>現金收入-羅宥晴(10月月費)</t>
    <phoneticPr fontId="2" type="noConversion"/>
  </si>
  <si>
    <t>銀行收入-鄧詠欣+鄧皓元</t>
    <phoneticPr fontId="2" type="noConversion"/>
  </si>
  <si>
    <t>現金收入-吳昭賢(10/7.28)計次400*2=800</t>
    <phoneticPr fontId="2" type="noConversion"/>
  </si>
  <si>
    <t>現金收入-羅千晴(10/7,14,21)計次400*3=1200</t>
    <phoneticPr fontId="2" type="noConversion"/>
  </si>
  <si>
    <t>現金收入-梁采甯(10/7,14,21,28)400*4=1600</t>
    <phoneticPr fontId="2" type="noConversion"/>
  </si>
  <si>
    <t>現金收入-陳宇婕,陳宇瑄(9/2,16)計次300*2=600</t>
    <phoneticPr fontId="2" type="noConversion"/>
  </si>
  <si>
    <t>現金收入-謝康倫(9/2,16)計次300*2=600</t>
    <phoneticPr fontId="2" type="noConversion"/>
  </si>
  <si>
    <t>現金收入-葉又嘉(10/7.14.21.28)計次400*4=1600</t>
    <phoneticPr fontId="2" type="noConversion"/>
  </si>
  <si>
    <t>葉又嘉</t>
    <phoneticPr fontId="2" type="noConversion"/>
  </si>
  <si>
    <t>請假</t>
    <phoneticPr fontId="2" type="noConversion"/>
  </si>
  <si>
    <t>蔡秉倫</t>
    <phoneticPr fontId="2" type="noConversion"/>
  </si>
  <si>
    <t>現金收入-陳又綸(10/7.14.21.28)計次400*4=1600</t>
    <phoneticPr fontId="2" type="noConversion"/>
  </si>
  <si>
    <t>現金收入-王廷豪(10/7.14.21)計次400*3=1200</t>
    <phoneticPr fontId="2" type="noConversion"/>
  </si>
  <si>
    <t>諸羅山盃午餐費</t>
    <phoneticPr fontId="2" type="noConversion"/>
  </si>
  <si>
    <t>一銀盃錦標賽-選手6名*300住宿補貼</t>
    <phoneticPr fontId="2" type="noConversion"/>
  </si>
  <si>
    <t>一銀盃錦標賽-教練1名餐宿+交通費</t>
    <phoneticPr fontId="2" type="noConversion"/>
  </si>
  <si>
    <t>現金收入-林緒煌</t>
    <phoneticPr fontId="2" type="noConversion"/>
  </si>
  <si>
    <t>陳裕翰</t>
    <phoneticPr fontId="2" type="noConversion"/>
  </si>
  <si>
    <t>餘額</t>
    <phoneticPr fontId="2" type="noConversion"/>
  </si>
  <si>
    <t>現金收入-陳宇婕(10/14)計次*1=400</t>
    <phoneticPr fontId="2" type="noConversion"/>
  </si>
  <si>
    <t xml:space="preserve">現金收入-陳宇瑄(10/7,14)計次400*2=800 </t>
    <phoneticPr fontId="2" type="noConversion"/>
  </si>
  <si>
    <t>現金收入-謝康倫(10/7,14,21,28)計次400*4=1600</t>
    <phoneticPr fontId="2" type="noConversion"/>
  </si>
  <si>
    <t>生達盃交通費</t>
    <phoneticPr fontId="2" type="noConversion"/>
  </si>
  <si>
    <t>議長盃團體賽交通費</t>
    <phoneticPr fontId="2" type="noConversion"/>
  </si>
  <si>
    <t>12/1~12/2</t>
    <phoneticPr fontId="2" type="noConversion"/>
  </si>
  <si>
    <t>銀行收入-顏椲珣+黃貞喜+黃圓量</t>
    <phoneticPr fontId="2" type="noConversion"/>
  </si>
  <si>
    <t>現金收入-羅千晴(11/18,25)計次400*2=800元</t>
    <phoneticPr fontId="2" type="noConversion"/>
  </si>
  <si>
    <t>現金收入-吳昭賢(11/11,18,25)計次400*3=1200</t>
    <phoneticPr fontId="2" type="noConversion"/>
  </si>
  <si>
    <t>銀行收入-施沛平+趙珩聿</t>
    <phoneticPr fontId="2" type="noConversion"/>
  </si>
  <si>
    <t>銀行支出-一銀盃錦標賽-教練1名餐宿+交通費</t>
    <phoneticPr fontId="2" type="noConversion"/>
  </si>
  <si>
    <t>銀行支出-諸羅山盃午餐費</t>
    <phoneticPr fontId="2" type="noConversion"/>
  </si>
  <si>
    <t>銀行支出-慶生蛋糕</t>
    <phoneticPr fontId="2" type="noConversion"/>
  </si>
  <si>
    <r>
      <rPr>
        <sz val="14"/>
        <color rgb="FF000000"/>
        <rFont val="Microsoft JhengHei"/>
        <family val="3"/>
        <charset val="136"/>
      </rPr>
      <t>銀行支出-一銀</t>
    </r>
    <r>
      <rPr>
        <sz val="14"/>
        <color rgb="FF000000"/>
        <rFont val="細明體"/>
        <family val="3"/>
        <charset val="136"/>
      </rPr>
      <t>盃錦標賽</t>
    </r>
    <r>
      <rPr>
        <sz val="14"/>
        <color rgb="FF000000"/>
        <rFont val="Calibri"/>
        <family val="3"/>
      </rPr>
      <t>-</t>
    </r>
    <r>
      <rPr>
        <sz val="14"/>
        <color rgb="FF000000"/>
        <rFont val="細明體"/>
        <family val="3"/>
        <charset val="136"/>
      </rPr>
      <t>選手</t>
    </r>
    <r>
      <rPr>
        <sz val="14"/>
        <color rgb="FF000000"/>
        <rFont val="Calibri"/>
        <family val="3"/>
      </rPr>
      <t>6</t>
    </r>
    <r>
      <rPr>
        <sz val="14"/>
        <color rgb="FF000000"/>
        <rFont val="細明體"/>
        <family val="3"/>
        <charset val="136"/>
      </rPr>
      <t>名</t>
    </r>
    <r>
      <rPr>
        <sz val="14"/>
        <color rgb="FF000000"/>
        <rFont val="Calibri"/>
        <family val="3"/>
      </rPr>
      <t>*300</t>
    </r>
    <r>
      <rPr>
        <sz val="14"/>
        <color rgb="FF000000"/>
        <rFont val="Microsoft JhengHei"/>
        <family val="3"/>
      </rPr>
      <t>住宿補貼</t>
    </r>
    <phoneticPr fontId="2" type="noConversion"/>
  </si>
  <si>
    <t>銀行支出-飲水機保養費</t>
    <phoneticPr fontId="2" type="noConversion"/>
  </si>
  <si>
    <t>銀行支出-製作海報+匯費(10)元</t>
    <phoneticPr fontId="2" type="noConversion"/>
  </si>
  <si>
    <t>銀行支出-總統盃團體賽教練2名餐宿+交通費</t>
    <phoneticPr fontId="2" type="noConversion"/>
  </si>
  <si>
    <t>銀行支出-總統盃團體賽2組選手共12名*300住宿補貼</t>
    <phoneticPr fontId="2" type="noConversion"/>
  </si>
  <si>
    <t>銀行支出-總統盃團體賽2組報名費1200</t>
    <phoneticPr fontId="2" type="noConversion"/>
  </si>
  <si>
    <t>銀行支出-更換燈具</t>
    <phoneticPr fontId="2" type="noConversion"/>
  </si>
  <si>
    <t>銀行支出-議長盃車資+午餐費</t>
    <phoneticPr fontId="2" type="noConversion"/>
  </si>
  <si>
    <t>銀行支出-邱鴻翔教練慰問金</t>
    <phoneticPr fontId="2" type="noConversion"/>
  </si>
  <si>
    <t>銀行支出-新生招生影印+DM</t>
    <phoneticPr fontId="2" type="noConversion"/>
  </si>
  <si>
    <t>銀行支出-雙面泡棉膠帶-彩色膠帶</t>
    <phoneticPr fontId="2" type="noConversion"/>
  </si>
  <si>
    <t>銀行支出-招牌更新電話</t>
    <phoneticPr fontId="2" type="noConversion"/>
  </si>
  <si>
    <t>銀行支出-南區精英賽8/2-8/5餐費及車資</t>
    <phoneticPr fontId="2" type="noConversion"/>
  </si>
  <si>
    <t>銀行支出-教練薪資8位(8月份)含匯費(75)元</t>
    <phoneticPr fontId="2" type="noConversion"/>
  </si>
  <si>
    <t>銀行支出-教練薪資8位(9月份)+匯費(75)</t>
    <phoneticPr fontId="2" type="noConversion"/>
  </si>
  <si>
    <t>銀行收入-總統盃團體賽-選手午餐退費</t>
    <phoneticPr fontId="2" type="noConversion"/>
  </si>
  <si>
    <t>銀行收入-8月月費一批</t>
    <phoneticPr fontId="2" type="noConversion"/>
  </si>
  <si>
    <t>銀行支出-112年期初會議-茶水費</t>
    <phoneticPr fontId="2" type="noConversion"/>
  </si>
  <si>
    <t>銀行收入-10月月費現金一批</t>
    <phoneticPr fontId="2" type="noConversion"/>
  </si>
  <si>
    <t>銀行支出-教練8名(10月份)薪資+匯費$75元</t>
    <phoneticPr fontId="2" type="noConversion"/>
  </si>
  <si>
    <t>銀行收入-諸羅山盃+一銀錦標賽-午餐退費300*2=600元</t>
    <phoneticPr fontId="2" type="noConversion"/>
  </si>
  <si>
    <t>銀行支出-教練6名(11月份)薪資+匯費$45元</t>
    <phoneticPr fontId="2" type="noConversion"/>
  </si>
  <si>
    <t>銀行支出-生達盃車資-12/1~12/2日(含營業稅$400元)</t>
    <phoneticPr fontId="2" type="noConversion"/>
  </si>
  <si>
    <t>銀行收入-生達盃午餐退費</t>
    <phoneticPr fontId="2" type="noConversion"/>
  </si>
  <si>
    <t>銀行支出-電腦延延長線380*4=1520元</t>
    <phoneticPr fontId="2" type="noConversion"/>
  </si>
  <si>
    <t>銀行支出-鋁梯*1</t>
    <phoneticPr fontId="2" type="noConversion"/>
  </si>
  <si>
    <t>銀行收入-9月月費現金一批+呂奕甫8月(4次*3=1200)</t>
    <phoneticPr fontId="2" type="noConversion"/>
  </si>
  <si>
    <t>現金支出-8月份慶生蛋糕</t>
    <phoneticPr fontId="2" type="noConversion"/>
  </si>
  <si>
    <t>現金支出-中秋節禮金-教練團8*1000=8000</t>
    <phoneticPr fontId="2" type="noConversion"/>
  </si>
  <si>
    <t>現金支出-羅婉玲教練養身禮盒</t>
    <phoneticPr fontId="2" type="noConversion"/>
  </si>
  <si>
    <t>銀行支出-海報制作費$420元</t>
    <phoneticPr fontId="2" type="noConversion"/>
  </si>
  <si>
    <t>銀行利息</t>
    <phoneticPr fontId="2" type="noConversion"/>
  </si>
  <si>
    <t>112年體促會選手獎勵金18位*100=1800元</t>
    <phoneticPr fontId="2" type="noConversion"/>
  </si>
  <si>
    <t>教練團獎金-諸羅山第五名</t>
    <phoneticPr fontId="2" type="noConversion"/>
  </si>
  <si>
    <t>教練團獎金-體促會第二名</t>
    <phoneticPr fontId="2" type="noConversion"/>
  </si>
  <si>
    <t>宴席台布25*10=250</t>
    <phoneticPr fontId="2" type="noConversion"/>
  </si>
  <si>
    <t>現金收入-葉又嘉(11/11,18.25)計次400*3=1200</t>
    <phoneticPr fontId="2" type="noConversion"/>
  </si>
  <si>
    <t>許珈甄+許晴甯</t>
    <phoneticPr fontId="2" type="noConversion"/>
  </si>
  <si>
    <t>期末茶水費</t>
    <phoneticPr fontId="2" type="noConversion"/>
  </si>
  <si>
    <t>7-12月電費分攤</t>
    <phoneticPr fontId="2" type="noConversion"/>
  </si>
  <si>
    <t>現金收入-王庭豪(11/18,25)計次400*2=800</t>
    <phoneticPr fontId="2" type="noConversion"/>
  </si>
  <si>
    <t>銀行收入-(11月)月費現金一批</t>
    <phoneticPr fontId="2" type="noConversion"/>
  </si>
  <si>
    <t>銀行收入-(12月)月費現金一批</t>
    <phoneticPr fontId="2" type="noConversion"/>
  </si>
  <si>
    <t>銀行支出-教練8名(12月份)薪資+匯費$70元</t>
    <phoneticPr fontId="2" type="noConversion"/>
  </si>
  <si>
    <t>現金收入-王睿駿(12月)月費</t>
    <phoneticPr fontId="2" type="noConversion"/>
  </si>
  <si>
    <r>
      <rPr>
        <sz val="16"/>
        <color rgb="FF000000"/>
        <rFont val="微軟正黑體"/>
        <family val="2"/>
        <charset val="136"/>
      </rPr>
      <t>諸羅山盃</t>
    </r>
    <r>
      <rPr>
        <sz val="16"/>
        <color rgb="FF000000"/>
        <rFont val="Arial"/>
        <family val="2"/>
      </rPr>
      <t>-</t>
    </r>
    <r>
      <rPr>
        <sz val="16"/>
        <color rgb="FF000000"/>
        <rFont val="微軟正黑體"/>
        <family val="2"/>
        <charset val="136"/>
      </rPr>
      <t>教練團獎金</t>
    </r>
    <phoneticPr fontId="2" type="noConversion"/>
  </si>
  <si>
    <r>
      <t>體促會</t>
    </r>
    <r>
      <rPr>
        <sz val="16"/>
        <color indexed="8"/>
        <rFont val="Songti TC Regular"/>
        <family val="2"/>
      </rPr>
      <t>-</t>
    </r>
    <r>
      <rPr>
        <sz val="16"/>
        <color indexed="8"/>
        <rFont val="Songti TC Regular"/>
      </rPr>
      <t>教練團獎金</t>
    </r>
    <phoneticPr fontId="2" type="noConversion"/>
  </si>
  <si>
    <r>
      <rPr>
        <sz val="16"/>
        <color rgb="FF000000"/>
        <rFont val="微軟正黑體"/>
        <family val="2"/>
        <charset val="136"/>
      </rPr>
      <t>體促會</t>
    </r>
    <r>
      <rPr>
        <sz val="16"/>
        <color indexed="8"/>
        <rFont val="Songti TC Regular"/>
        <family val="2"/>
      </rPr>
      <t>-選手獎金18名*100</t>
    </r>
    <phoneticPr fontId="2" type="noConversion"/>
  </si>
  <si>
    <t>12/9~12/10</t>
    <phoneticPr fontId="2" type="noConversion"/>
  </si>
  <si>
    <t>11/23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</si>
</sst>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#,##0&quot; &quot;;\(#,##0\)"/>
    <numFmt numFmtId="177" formatCode="#,##0&quot; &quot;"/>
    <numFmt numFmtId="178" formatCode="&quot; &quot;* #,##0&quot; &quot;;&quot;-&quot;* #,##0&quot; &quot;;&quot; &quot;* &quot;-&quot;??&quot; &quot;"/>
    <numFmt numFmtId="179" formatCode="#,##0&quot; &quot;;&quot;-&quot;#,##0&quot; &quot;"/>
    <numFmt numFmtId="180" formatCode="#,##0_ ;[Red]\-#,##0\ "/>
    <numFmt numFmtId="181" formatCode="_-* #,##0_-;\-* #,##0_-;_-* &quot;-&quot;??_-;_-@_-"/>
    <numFmt numFmtId="182" formatCode="#,##0_ "/>
  </numFmts>
  <fonts count="60">
    <font>
      <sz val="12"/>
      <color indexed="8"/>
      <name val="Songti TC Regular"/>
    </font>
    <font>
      <sz val="18"/>
      <color indexed="8"/>
      <name val="細明體"/>
      <family val="3"/>
      <charset val="136"/>
    </font>
    <font>
      <sz val="9"/>
      <name val="細明體"/>
      <family val="3"/>
      <charset val="136"/>
    </font>
    <font>
      <sz val="14"/>
      <color indexed="8"/>
      <name val="細明體"/>
      <family val="3"/>
      <charset val="136"/>
    </font>
    <font>
      <sz val="12"/>
      <color indexed="8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Songti TC Regular"/>
      <family val="3"/>
      <charset val="136"/>
    </font>
    <font>
      <sz val="18"/>
      <color indexed="8"/>
      <name val="Songti TC Bold"/>
      <family val="1"/>
      <charset val="136"/>
    </font>
    <font>
      <sz val="14"/>
      <color indexed="8"/>
      <name val="Songti TC Bold"/>
      <family val="1"/>
    </font>
    <font>
      <sz val="14"/>
      <color indexed="8"/>
      <name val="Songti TC Regular"/>
      <family val="3"/>
      <charset val="136"/>
    </font>
    <font>
      <sz val="16"/>
      <color indexed="8"/>
      <name val="Songti TC Regular"/>
      <family val="3"/>
      <charset val="136"/>
    </font>
    <font>
      <sz val="16"/>
      <color indexed="8"/>
      <name val="細明體"/>
      <family val="3"/>
      <charset val="136"/>
    </font>
    <font>
      <sz val="15"/>
      <color indexed="8"/>
      <name val="Songti TC Regular"/>
      <family val="3"/>
      <charset val="136"/>
    </font>
    <font>
      <sz val="16"/>
      <name val="Songti TC Regular"/>
      <family val="3"/>
      <charset val="136"/>
    </font>
    <font>
      <sz val="14"/>
      <color indexed="16"/>
      <name val="Songti TC Regular"/>
      <family val="3"/>
      <charset val="136"/>
    </font>
    <font>
      <sz val="12"/>
      <color indexed="16"/>
      <name val="Songti TC Regular"/>
      <family val="3"/>
      <charset val="136"/>
    </font>
    <font>
      <sz val="9"/>
      <name val="Helvetica Neue"/>
      <family val="1"/>
      <charset val="136"/>
    </font>
    <font>
      <sz val="14"/>
      <name val="細明體"/>
      <family val="3"/>
      <charset val="136"/>
    </font>
    <font>
      <sz val="14"/>
      <color indexed="8"/>
      <name val="標楷體"/>
      <family val="4"/>
      <charset val="136"/>
    </font>
    <font>
      <u/>
      <sz val="16"/>
      <color rgb="FFFF0000"/>
      <name val="Songti TC Bold"/>
      <family val="1"/>
    </font>
    <font>
      <sz val="16"/>
      <name val="Songti TC Regular"/>
      <family val="2"/>
    </font>
    <font>
      <sz val="12"/>
      <name val="Songti TC Regular"/>
      <family val="2"/>
    </font>
    <font>
      <sz val="16"/>
      <color rgb="FFFF0000"/>
      <name val="Songti TC Regular"/>
      <family val="3"/>
      <charset val="136"/>
    </font>
    <font>
      <sz val="16"/>
      <color rgb="FFFF0000"/>
      <name val="Songti TC Regular"/>
      <family val="2"/>
    </font>
    <font>
      <sz val="12"/>
      <color rgb="FFFF0000"/>
      <name val="Songti TC Regular"/>
      <family val="2"/>
    </font>
    <font>
      <sz val="16"/>
      <color indexed="8"/>
      <name val="標楷體"/>
      <family val="4"/>
      <charset val="136"/>
    </font>
    <font>
      <u/>
      <sz val="16"/>
      <color rgb="FFFF0000"/>
      <name val="Songti TC Regular"/>
      <family val="3"/>
      <charset val="136"/>
    </font>
    <font>
      <sz val="16"/>
      <color indexed="8"/>
      <name val="新細明體"/>
      <family val="1"/>
      <charset val="136"/>
      <scheme val="major"/>
    </font>
    <font>
      <sz val="14"/>
      <name val="Songti TC Bold"/>
      <family val="1"/>
    </font>
    <font>
      <sz val="14"/>
      <name val="Songti TC Regular"/>
      <family val="3"/>
      <charset val="136"/>
    </font>
    <font>
      <sz val="12"/>
      <color indexed="8"/>
      <name val="Songti TC Regula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6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indexed="8"/>
      <name val="Helvetica Neue"/>
      <family val="1"/>
      <charset val="136"/>
    </font>
    <font>
      <sz val="16"/>
      <color rgb="FFFF0000"/>
      <name val="細明體"/>
      <family val="3"/>
      <charset val="136"/>
    </font>
    <font>
      <sz val="12"/>
      <name val="新細明體"/>
      <family val="1"/>
      <charset val="136"/>
    </font>
    <font>
      <sz val="16"/>
      <name val="細明體"/>
      <family val="3"/>
      <charset val="136"/>
    </font>
    <font>
      <u/>
      <sz val="16"/>
      <color theme="1"/>
      <name val="Songti TC Bold"/>
      <family val="1"/>
    </font>
    <font>
      <sz val="16"/>
      <color rgb="FFFF0000"/>
      <name val="標楷體"/>
      <family val="4"/>
      <charset val="136"/>
    </font>
    <font>
      <sz val="14"/>
      <color rgb="FF000000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6"/>
      <color rgb="FF000000"/>
      <name val="Arial"/>
      <family val="2"/>
    </font>
    <font>
      <sz val="16"/>
      <color rgb="FF000000"/>
      <name val="Songti TC Regular"/>
      <family val="2"/>
    </font>
    <font>
      <sz val="14"/>
      <color rgb="FF002060"/>
      <name val="細明體"/>
      <family val="3"/>
      <charset val="136"/>
    </font>
    <font>
      <sz val="9"/>
      <color indexed="81"/>
      <name val="Tahoma"/>
      <family val="2"/>
    </font>
    <font>
      <sz val="14"/>
      <color rgb="FF000000"/>
      <name val="細明體"/>
      <family val="3"/>
      <charset val="136"/>
    </font>
    <font>
      <sz val="14"/>
      <color rgb="FFC00000"/>
      <name val="標楷體"/>
      <family val="4"/>
      <charset val="136"/>
    </font>
    <font>
      <sz val="14"/>
      <color rgb="FF000000"/>
      <name val="Microsoft JhengHei"/>
      <family val="3"/>
    </font>
    <font>
      <sz val="14"/>
      <color rgb="FF000000"/>
      <name val="Microsoft JhengHei"/>
      <family val="3"/>
      <charset val="136"/>
    </font>
    <font>
      <sz val="14"/>
      <color rgb="FF000000"/>
      <name val="Calibri"/>
      <family val="3"/>
    </font>
    <font>
      <u/>
      <sz val="14"/>
      <color indexed="8"/>
      <name val="細明體"/>
      <family val="3"/>
      <charset val="136"/>
    </font>
    <font>
      <sz val="14"/>
      <color theme="1"/>
      <name val="細明體"/>
      <family val="3"/>
      <charset val="136"/>
    </font>
    <font>
      <sz val="16"/>
      <color indexed="8"/>
      <name val="微軟正黑體"/>
      <family val="2"/>
      <charset val="136"/>
    </font>
    <font>
      <sz val="16"/>
      <color rgb="FF000000"/>
      <name val="Songti TC Regular"/>
      <family val="2"/>
      <charset val="136"/>
    </font>
    <font>
      <sz val="16"/>
      <color indexed="8"/>
      <name val="Songti TC Regular"/>
    </font>
    <font>
      <sz val="16"/>
      <color indexed="8"/>
      <name val="Songti TC Regular"/>
      <family val="2"/>
    </font>
    <font>
      <sz val="16"/>
      <color indexed="8"/>
      <name val="Songti TC Regular"/>
      <family val="2"/>
      <charset val="136"/>
    </font>
    <font>
      <sz val="9"/>
      <color indexed="81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43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1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18"/>
      </right>
      <top style="thin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8"/>
      </top>
      <bottom/>
      <diagonal/>
    </border>
    <border>
      <left style="thick">
        <color indexed="18"/>
      </left>
      <right style="thin">
        <color indexed="17"/>
      </right>
      <top/>
      <bottom style="thick">
        <color indexed="18"/>
      </bottom>
      <diagonal/>
    </border>
    <border>
      <left style="thin">
        <color indexed="17"/>
      </left>
      <right style="thin">
        <color indexed="17"/>
      </right>
      <top/>
      <bottom style="thick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ck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8"/>
      </left>
      <right style="thin">
        <color indexed="17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8"/>
      </bottom>
      <diagonal/>
    </border>
    <border>
      <left/>
      <right style="thin">
        <color indexed="17"/>
      </right>
      <top style="thin">
        <color indexed="17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ck">
        <color indexed="1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ck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ck">
        <color indexed="18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 style="thin">
        <color indexed="8"/>
      </bottom>
      <diagonal/>
    </border>
    <border>
      <left style="thick">
        <color indexed="18"/>
      </left>
      <right style="thin">
        <color indexed="8"/>
      </right>
      <top/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7"/>
      </left>
      <right/>
      <top style="thin">
        <color indexed="17"/>
      </top>
      <bottom style="thin">
        <color auto="1"/>
      </bottom>
      <diagonal/>
    </border>
    <border>
      <left/>
      <right/>
      <top style="thin">
        <color indexed="17"/>
      </top>
      <bottom style="thin">
        <color auto="1"/>
      </bottom>
      <diagonal/>
    </border>
    <border>
      <left/>
      <right style="thin">
        <color indexed="17"/>
      </right>
      <top style="thin">
        <color indexed="1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4.9989318521683403E-2"/>
      </bottom>
      <diagonal/>
    </border>
    <border>
      <left style="thin">
        <color theme="7" tint="-0.249977111117893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 style="thin">
        <color theme="1" tint="4.9989318521683403E-2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 tint="-0.499984740745262"/>
      </bottom>
      <diagonal/>
    </border>
    <border>
      <left style="thin">
        <color auto="1"/>
      </left>
      <right style="thin">
        <color auto="1"/>
      </right>
      <top style="thin">
        <color theme="8" tint="-0.499984740745262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8" tint="-0.499984740745262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8" tint="-0.49998474074526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8" tint="-0.499984740745262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8" tint="-0.499984740745262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8" tint="-0.499984740745262"/>
      </right>
      <top style="medium">
        <color theme="1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1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1"/>
      </right>
      <top style="medium">
        <color theme="1"/>
      </top>
      <bottom style="thin">
        <color theme="8" tint="-0.499984740745262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8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8" tint="-0.499984740745262"/>
      </bottom>
      <diagonal/>
    </border>
    <border>
      <left style="thin">
        <color auto="1"/>
      </left>
      <right style="thin">
        <color auto="1"/>
      </right>
      <top style="mediumDashDot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mediumDashDot">
        <color theme="1"/>
      </bottom>
      <diagonal/>
    </border>
    <border>
      <left style="thin">
        <color indexed="64"/>
      </left>
      <right style="thin">
        <color theme="1" tint="4.9989318521683403E-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theme="1"/>
      </bottom>
      <diagonal/>
    </border>
    <border>
      <left style="thin">
        <color theme="1" tint="4.9989318521683403E-2"/>
      </left>
      <right style="thin">
        <color indexed="64"/>
      </right>
      <top style="mediumDashDot">
        <color theme="1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DashDot">
        <color theme="1"/>
      </top>
      <bottom style="thin">
        <color theme="1" tint="4.9989318521683403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indexed="64"/>
      </bottom>
      <diagonal/>
    </border>
    <border>
      <left style="thin">
        <color auto="1"/>
      </left>
      <right style="thin">
        <color auto="1"/>
      </right>
      <top style="mediumDashDot">
        <color indexed="64"/>
      </top>
      <bottom style="thin">
        <color auto="1"/>
      </bottom>
      <diagonal/>
    </border>
  </borders>
  <cellStyleXfs count="4">
    <xf numFmtId="0" fontId="0" fillId="0" borderId="0" applyNumberFormat="0" applyFill="0" applyBorder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top" wrapText="1"/>
    </xf>
    <xf numFmtId="0" fontId="37" fillId="0" borderId="0">
      <alignment vertical="center"/>
    </xf>
  </cellStyleXfs>
  <cellXfs count="445">
    <xf numFmtId="0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6" fillId="0" borderId="0" xfId="0" applyNumberFormat="1" applyFont="1" applyFill="1">
      <alignment vertical="center"/>
    </xf>
    <xf numFmtId="0" fontId="3" fillId="0" borderId="3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9" fontId="8" fillId="0" borderId="3" xfId="0" applyNumberFormat="1" applyFont="1" applyFill="1" applyBorder="1" applyAlignment="1">
      <alignment horizontal="right" vertical="center"/>
    </xf>
    <xf numFmtId="10" fontId="9" fillId="0" borderId="3" xfId="0" applyNumberFormat="1" applyFont="1" applyFill="1" applyBorder="1" applyAlignment="1">
      <alignment horizontal="right" vertical="center"/>
    </xf>
    <xf numFmtId="9" fontId="9" fillId="0" borderId="3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shrinkToFit="1"/>
    </xf>
    <xf numFmtId="0" fontId="14" fillId="0" borderId="51" xfId="0" applyFont="1" applyFill="1" applyBorder="1" applyAlignment="1">
      <alignment horizontal="center" vertical="center"/>
    </xf>
    <xf numFmtId="49" fontId="0" fillId="0" borderId="6" xfId="0" applyNumberFormat="1" applyFill="1" applyBorder="1">
      <alignment vertical="center"/>
    </xf>
    <xf numFmtId="49" fontId="0" fillId="0" borderId="7" xfId="0" applyNumberFormat="1" applyFill="1" applyBorder="1" applyAlignment="1">
      <alignment horizontal="center" vertical="center"/>
    </xf>
    <xf numFmtId="49" fontId="15" fillId="0" borderId="52" xfId="0" applyNumberFormat="1" applyFont="1" applyFill="1" applyBorder="1" applyAlignment="1">
      <alignment horizontal="center" vertical="center"/>
    </xf>
    <xf numFmtId="0" fontId="0" fillId="0" borderId="9" xfId="0" applyNumberFormat="1" applyFill="1" applyBorder="1">
      <alignment vertical="center"/>
    </xf>
    <xf numFmtId="176" fontId="0" fillId="0" borderId="10" xfId="0" applyNumberFormat="1" applyFill="1" applyBorder="1">
      <alignment vertical="center"/>
    </xf>
    <xf numFmtId="176" fontId="15" fillId="0" borderId="53" xfId="0" applyNumberFormat="1" applyFont="1" applyFill="1" applyBorder="1">
      <alignment vertical="center"/>
    </xf>
    <xf numFmtId="0" fontId="0" fillId="0" borderId="54" xfId="0" applyFill="1" applyBorder="1">
      <alignment vertical="center"/>
    </xf>
    <xf numFmtId="176" fontId="0" fillId="0" borderId="54" xfId="0" applyNumberFormat="1" applyFill="1" applyBorder="1">
      <alignment vertical="center"/>
    </xf>
    <xf numFmtId="176" fontId="0" fillId="0" borderId="49" xfId="0" applyNumberFormat="1" applyFill="1" applyBorder="1" applyAlignment="1">
      <alignment horizontal="center" vertical="center"/>
    </xf>
    <xf numFmtId="176" fontId="15" fillId="0" borderId="49" xfId="0" applyNumberFormat="1" applyFont="1" applyFill="1" applyBorder="1" applyAlignment="1">
      <alignment horizontal="center" vertical="center"/>
    </xf>
    <xf numFmtId="176" fontId="0" fillId="0" borderId="55" xfId="0" applyNumberFormat="1" applyFill="1" applyBorder="1">
      <alignment vertical="center"/>
    </xf>
    <xf numFmtId="49" fontId="0" fillId="0" borderId="10" xfId="0" applyNumberForma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shrinkToFi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79" fontId="8" fillId="0" borderId="3" xfId="0" applyNumberFormat="1" applyFont="1" applyFill="1" applyBorder="1" applyAlignment="1">
      <alignment horizontal="right" vertical="center"/>
    </xf>
    <xf numFmtId="179" fontId="9" fillId="0" borderId="3" xfId="0" applyNumberFormat="1" applyFont="1" applyFill="1" applyBorder="1" applyAlignment="1">
      <alignment horizontal="right" vertical="center"/>
    </xf>
    <xf numFmtId="178" fontId="8" fillId="0" borderId="3" xfId="0" applyNumberFormat="1" applyFont="1" applyFill="1" applyBorder="1" applyAlignment="1">
      <alignment horizontal="right" vertical="center"/>
    </xf>
    <xf numFmtId="176" fontId="3" fillId="0" borderId="3" xfId="0" applyNumberFormat="1" applyFont="1" applyFill="1" applyBorder="1" applyAlignment="1">
      <alignment horizontal="right" vertical="center"/>
    </xf>
    <xf numFmtId="0" fontId="4" fillId="0" borderId="57" xfId="0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 shrinkToFit="1"/>
    </xf>
    <xf numFmtId="0" fontId="18" fillId="0" borderId="3" xfId="0" applyNumberFormat="1" applyFont="1" applyFill="1" applyBorder="1">
      <alignment vertical="center"/>
    </xf>
    <xf numFmtId="0" fontId="18" fillId="0" borderId="0" xfId="0" applyNumberFormat="1" applyFont="1" applyFill="1" applyBorder="1">
      <alignment vertical="center"/>
    </xf>
    <xf numFmtId="0" fontId="18" fillId="0" borderId="3" xfId="0" applyNumberFormat="1" applyFont="1" applyFill="1" applyBorder="1" applyAlignment="1">
      <alignment horizontal="center" vertical="center"/>
    </xf>
    <xf numFmtId="3" fontId="18" fillId="0" borderId="3" xfId="0" applyNumberFormat="1" applyFont="1" applyFill="1" applyBorder="1">
      <alignment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0" xfId="0" applyFont="1" applyFill="1" applyBorder="1">
      <alignment vertical="center"/>
    </xf>
    <xf numFmtId="0" fontId="18" fillId="0" borderId="0" xfId="0" applyNumberFormat="1" applyFont="1" applyFill="1" applyBorder="1" applyAlignment="1">
      <alignment vertical="center" shrinkToFit="1"/>
    </xf>
    <xf numFmtId="49" fontId="18" fillId="0" borderId="5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right" vertical="center" shrinkToFit="1"/>
    </xf>
    <xf numFmtId="3" fontId="18" fillId="0" borderId="3" xfId="0" applyNumberFormat="1" applyFont="1" applyFill="1" applyBorder="1" applyAlignment="1">
      <alignment horizontal="right" vertical="center" shrinkToFit="1"/>
    </xf>
    <xf numFmtId="0" fontId="18" fillId="0" borderId="3" xfId="0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vertical="center" shrinkToFit="1"/>
    </xf>
    <xf numFmtId="176" fontId="17" fillId="0" borderId="3" xfId="0" applyNumberFormat="1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center" vertical="center"/>
    </xf>
    <xf numFmtId="49" fontId="10" fillId="0" borderId="10" xfId="0" applyNumberFormat="1" applyFont="1" applyFill="1" applyBorder="1">
      <alignment vertical="center"/>
    </xf>
    <xf numFmtId="0" fontId="10" fillId="0" borderId="11" xfId="0" applyFont="1" applyFill="1" applyBorder="1">
      <alignment vertical="center"/>
    </xf>
    <xf numFmtId="0" fontId="10" fillId="0" borderId="10" xfId="0" applyFont="1" applyFill="1" applyBorder="1" applyAlignment="1">
      <alignment horizontal="center" vertical="center"/>
    </xf>
    <xf numFmtId="49" fontId="10" fillId="0" borderId="7" xfId="0" applyNumberFormat="1" applyFont="1" applyFill="1" applyBorder="1">
      <alignment vertical="center"/>
    </xf>
    <xf numFmtId="49" fontId="10" fillId="0" borderId="8" xfId="0" applyNumberFormat="1" applyFont="1" applyFill="1" applyBorder="1">
      <alignment vertical="center"/>
    </xf>
    <xf numFmtId="0" fontId="10" fillId="0" borderId="10" xfId="0" applyFont="1" applyFill="1" applyBorder="1">
      <alignment vertical="center"/>
    </xf>
    <xf numFmtId="0" fontId="10" fillId="0" borderId="12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>
      <alignment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0" fontId="10" fillId="0" borderId="16" xfId="0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0" fillId="0" borderId="2" xfId="0" applyFont="1" applyFill="1" applyBorder="1">
      <alignment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>
      <alignment vertical="center"/>
    </xf>
    <xf numFmtId="0" fontId="10" fillId="0" borderId="17" xfId="0" applyFont="1" applyFill="1" applyBorder="1" applyAlignment="1">
      <alignment horizontal="center" vertical="center"/>
    </xf>
    <xf numFmtId="178" fontId="10" fillId="0" borderId="18" xfId="0" applyNumberFormat="1" applyFont="1" applyFill="1" applyBorder="1">
      <alignment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12" fillId="0" borderId="8" xfId="0" applyFont="1" applyFill="1" applyBorder="1">
      <alignment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3" xfId="0" applyFont="1" applyFill="1" applyBorder="1">
      <alignment vertical="center"/>
    </xf>
    <xf numFmtId="0" fontId="10" fillId="0" borderId="24" xfId="0" applyFont="1" applyFill="1" applyBorder="1">
      <alignment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1" fillId="0" borderId="13" xfId="0" applyFont="1" applyFill="1" applyBorder="1">
      <alignment vertical="center"/>
    </xf>
    <xf numFmtId="0" fontId="10" fillId="0" borderId="25" xfId="0" applyFont="1" applyFill="1" applyBorder="1">
      <alignment vertical="center"/>
    </xf>
    <xf numFmtId="0" fontId="0" fillId="0" borderId="26" xfId="0" applyFill="1" applyBorder="1">
      <alignment vertical="center"/>
    </xf>
    <xf numFmtId="0" fontId="3" fillId="0" borderId="4" xfId="0" applyFont="1" applyFill="1" applyBorder="1">
      <alignment vertical="center"/>
    </xf>
    <xf numFmtId="0" fontId="10" fillId="0" borderId="27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vertical="center" shrinkToFit="1"/>
    </xf>
    <xf numFmtId="0" fontId="10" fillId="0" borderId="28" xfId="0" applyNumberFormat="1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shrinkToFit="1"/>
    </xf>
    <xf numFmtId="0" fontId="10" fillId="0" borderId="36" xfId="0" applyFont="1" applyFill="1" applyBorder="1">
      <alignment vertical="center"/>
    </xf>
    <xf numFmtId="0" fontId="10" fillId="0" borderId="37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178" fontId="11" fillId="0" borderId="35" xfId="0" applyNumberFormat="1" applyFont="1" applyFill="1" applyBorder="1">
      <alignment vertical="center"/>
    </xf>
    <xf numFmtId="0" fontId="10" fillId="0" borderId="39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0" fontId="10" fillId="0" borderId="41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178" fontId="10" fillId="0" borderId="42" xfId="0" applyNumberFormat="1" applyFont="1" applyFill="1" applyBorder="1">
      <alignment vertical="center"/>
    </xf>
    <xf numFmtId="0" fontId="10" fillId="0" borderId="44" xfId="0" applyFont="1" applyFill="1" applyBorder="1">
      <alignment vertical="center"/>
    </xf>
    <xf numFmtId="0" fontId="10" fillId="0" borderId="45" xfId="0" applyFont="1" applyFill="1" applyBorder="1" applyAlignment="1">
      <alignment horizontal="center" vertical="center"/>
    </xf>
    <xf numFmtId="178" fontId="10" fillId="0" borderId="45" xfId="0" applyNumberFormat="1" applyFont="1" applyFill="1" applyBorder="1">
      <alignment vertical="center"/>
    </xf>
    <xf numFmtId="0" fontId="10" fillId="0" borderId="45" xfId="0" applyFont="1" applyFill="1" applyBorder="1">
      <alignment vertical="center"/>
    </xf>
    <xf numFmtId="0" fontId="10" fillId="0" borderId="46" xfId="0" applyFont="1" applyFill="1" applyBorder="1" applyAlignment="1">
      <alignment horizontal="center" vertical="center"/>
    </xf>
    <xf numFmtId="178" fontId="10" fillId="0" borderId="46" xfId="0" applyNumberFormat="1" applyFont="1" applyFill="1" applyBorder="1">
      <alignment vertical="center"/>
    </xf>
    <xf numFmtId="0" fontId="10" fillId="0" borderId="46" xfId="0" applyFont="1" applyFill="1" applyBorder="1">
      <alignment vertical="center"/>
    </xf>
    <xf numFmtId="49" fontId="10" fillId="0" borderId="58" xfId="0" applyNumberFormat="1" applyFont="1" applyFill="1" applyBorder="1" applyAlignment="1">
      <alignment horizontal="center" vertical="center"/>
    </xf>
    <xf numFmtId="49" fontId="13" fillId="0" borderId="58" xfId="0" applyNumberFormat="1" applyFont="1" applyFill="1" applyBorder="1" applyAlignment="1">
      <alignment horizontal="center" vertical="center"/>
    </xf>
    <xf numFmtId="49" fontId="10" fillId="0" borderId="59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19" fillId="0" borderId="3" xfId="0" applyNumberFormat="1" applyFont="1" applyFill="1" applyBorder="1" applyAlignment="1">
      <alignment horizontal="center" vertical="center"/>
    </xf>
    <xf numFmtId="0" fontId="10" fillId="0" borderId="61" xfId="0" applyFont="1" applyFill="1" applyBorder="1">
      <alignment vertical="center"/>
    </xf>
    <xf numFmtId="49" fontId="10" fillId="0" borderId="62" xfId="0" applyNumberFormat="1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/>
    </xf>
    <xf numFmtId="0" fontId="10" fillId="0" borderId="64" xfId="0" applyFont="1" applyFill="1" applyBorder="1" applyAlignment="1">
      <alignment horizontal="center" vertical="center"/>
    </xf>
    <xf numFmtId="0" fontId="10" fillId="0" borderId="65" xfId="0" applyFont="1" applyFill="1" applyBorder="1" applyAlignment="1">
      <alignment horizontal="center" vertical="center"/>
    </xf>
    <xf numFmtId="0" fontId="10" fillId="0" borderId="66" xfId="0" applyFont="1" applyFill="1" applyBorder="1" applyAlignment="1">
      <alignment horizontal="center" vertical="center"/>
    </xf>
    <xf numFmtId="0" fontId="10" fillId="0" borderId="67" xfId="0" applyFont="1" applyFill="1" applyBorder="1">
      <alignment vertical="center"/>
    </xf>
    <xf numFmtId="0" fontId="10" fillId="0" borderId="68" xfId="0" applyFont="1" applyFill="1" applyBorder="1" applyAlignment="1">
      <alignment horizontal="center" vertical="center"/>
    </xf>
    <xf numFmtId="0" fontId="10" fillId="0" borderId="69" xfId="0" applyFont="1" applyFill="1" applyBorder="1" applyAlignment="1">
      <alignment horizontal="center" vertical="center"/>
    </xf>
    <xf numFmtId="0" fontId="21" fillId="0" borderId="0" xfId="0" applyNumberFormat="1" applyFont="1" applyFill="1">
      <alignment vertical="center"/>
    </xf>
    <xf numFmtId="49" fontId="22" fillId="0" borderId="58" xfId="0" applyNumberFormat="1" applyFont="1" applyFill="1" applyBorder="1" applyAlignment="1">
      <alignment horizontal="center" vertical="center"/>
    </xf>
    <xf numFmtId="3" fontId="23" fillId="0" borderId="3" xfId="0" applyNumberFormat="1" applyFont="1" applyFill="1" applyBorder="1" applyAlignment="1">
      <alignment horizontal="center" vertical="center"/>
    </xf>
    <xf numFmtId="3" fontId="23" fillId="0" borderId="69" xfId="0" applyNumberFormat="1" applyFont="1" applyFill="1" applyBorder="1" applyAlignment="1">
      <alignment horizontal="center" vertical="center"/>
    </xf>
    <xf numFmtId="3" fontId="23" fillId="0" borderId="57" xfId="0" applyNumberFormat="1" applyFont="1" applyFill="1" applyBorder="1" applyAlignment="1">
      <alignment horizontal="center" vertical="center"/>
    </xf>
    <xf numFmtId="3" fontId="23" fillId="0" borderId="10" xfId="0" applyNumberFormat="1" applyFont="1" applyFill="1" applyBorder="1" applyAlignment="1">
      <alignment horizontal="center" vertical="center"/>
    </xf>
    <xf numFmtId="3" fontId="23" fillId="0" borderId="13" xfId="0" applyNumberFormat="1" applyFont="1" applyFill="1" applyBorder="1" applyAlignment="1">
      <alignment horizontal="center" vertical="center"/>
    </xf>
    <xf numFmtId="3" fontId="23" fillId="0" borderId="1" xfId="0" applyNumberFormat="1" applyFont="1" applyFill="1" applyBorder="1" applyAlignment="1">
      <alignment horizontal="center" vertical="center"/>
    </xf>
    <xf numFmtId="3" fontId="23" fillId="0" borderId="18" xfId="0" applyNumberFormat="1" applyFont="1" applyFill="1" applyBorder="1" applyAlignment="1">
      <alignment horizontal="center" vertical="center"/>
    </xf>
    <xf numFmtId="3" fontId="23" fillId="0" borderId="31" xfId="0" applyNumberFormat="1" applyFont="1" applyFill="1" applyBorder="1" applyAlignment="1">
      <alignment horizontal="center" vertical="center"/>
    </xf>
    <xf numFmtId="3" fontId="23" fillId="0" borderId="35" xfId="0" applyNumberFormat="1" applyFont="1" applyFill="1" applyBorder="1" applyAlignment="1">
      <alignment horizontal="center" vertical="center"/>
    </xf>
    <xf numFmtId="3" fontId="23" fillId="0" borderId="43" xfId="0" applyNumberFormat="1" applyFont="1" applyFill="1" applyBorder="1" applyAlignment="1">
      <alignment horizontal="center" vertical="center"/>
    </xf>
    <xf numFmtId="3" fontId="23" fillId="0" borderId="45" xfId="0" applyNumberFormat="1" applyFont="1" applyFill="1" applyBorder="1" applyAlignment="1">
      <alignment horizontal="center" vertical="center"/>
    </xf>
    <xf numFmtId="49" fontId="23" fillId="0" borderId="46" xfId="0" applyNumberFormat="1" applyFont="1" applyFill="1" applyBorder="1" applyAlignment="1">
      <alignment horizontal="center" vertical="center"/>
    </xf>
    <xf numFmtId="0" fontId="24" fillId="0" borderId="0" xfId="0" applyNumberFormat="1" applyFont="1" applyFill="1">
      <alignment vertical="center"/>
    </xf>
    <xf numFmtId="177" fontId="20" fillId="0" borderId="3" xfId="0" applyNumberFormat="1" applyFont="1" applyFill="1" applyBorder="1" applyAlignment="1">
      <alignment horizontal="center" vertical="center"/>
    </xf>
    <xf numFmtId="177" fontId="20" fillId="0" borderId="69" xfId="0" applyNumberFormat="1" applyFont="1" applyFill="1" applyBorder="1" applyAlignment="1">
      <alignment horizontal="center" vertical="center"/>
    </xf>
    <xf numFmtId="177" fontId="20" fillId="0" borderId="66" xfId="0" applyNumberFormat="1" applyFont="1" applyFill="1" applyBorder="1" applyAlignment="1">
      <alignment horizontal="center" vertical="center"/>
    </xf>
    <xf numFmtId="177" fontId="20" fillId="0" borderId="57" xfId="0" applyNumberFormat="1" applyFont="1" applyFill="1" applyBorder="1" applyAlignment="1">
      <alignment horizontal="center" vertical="center"/>
    </xf>
    <xf numFmtId="177" fontId="20" fillId="0" borderId="10" xfId="0" applyNumberFormat="1" applyFont="1" applyFill="1" applyBorder="1" applyAlignment="1">
      <alignment horizontal="center" vertical="center"/>
    </xf>
    <xf numFmtId="177" fontId="20" fillId="0" borderId="13" xfId="0" applyNumberFormat="1" applyFont="1" applyFill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/>
    </xf>
    <xf numFmtId="177" fontId="20" fillId="0" borderId="18" xfId="0" applyNumberFormat="1" applyFont="1" applyFill="1" applyBorder="1" applyAlignment="1">
      <alignment horizontal="center" vertical="center"/>
    </xf>
    <xf numFmtId="177" fontId="20" fillId="0" borderId="20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/>
    </xf>
    <xf numFmtId="177" fontId="20" fillId="0" borderId="30" xfId="0" applyNumberFormat="1" applyFont="1" applyFill="1" applyBorder="1" applyAlignment="1">
      <alignment horizontal="center" vertical="center"/>
    </xf>
    <xf numFmtId="177" fontId="20" fillId="0" borderId="34" xfId="0" applyNumberFormat="1" applyFont="1" applyFill="1" applyBorder="1" applyAlignment="1">
      <alignment horizontal="center" vertical="center"/>
    </xf>
    <xf numFmtId="177" fontId="20" fillId="0" borderId="38" xfId="0" applyNumberFormat="1" applyFont="1" applyFill="1" applyBorder="1" applyAlignment="1">
      <alignment horizontal="center" vertical="center"/>
    </xf>
    <xf numFmtId="177" fontId="20" fillId="0" borderId="35" xfId="0" applyNumberFormat="1" applyFont="1" applyFill="1" applyBorder="1" applyAlignment="1">
      <alignment horizontal="center" vertical="center"/>
    </xf>
    <xf numFmtId="177" fontId="20" fillId="0" borderId="43" xfId="0" applyNumberFormat="1" applyFont="1" applyFill="1" applyBorder="1" applyAlignment="1">
      <alignment horizontal="center" vertical="center"/>
    </xf>
    <xf numFmtId="177" fontId="20" fillId="0" borderId="45" xfId="0" applyNumberFormat="1" applyFont="1" applyFill="1" applyBorder="1" applyAlignment="1">
      <alignment horizontal="center" vertical="center"/>
    </xf>
    <xf numFmtId="177" fontId="20" fillId="0" borderId="46" xfId="0" applyNumberFormat="1" applyFont="1" applyFill="1" applyBorder="1" applyAlignment="1">
      <alignment horizontal="center" vertical="center"/>
    </xf>
    <xf numFmtId="3" fontId="22" fillId="0" borderId="3" xfId="0" applyNumberFormat="1" applyFont="1" applyFill="1" applyBorder="1" applyAlignment="1">
      <alignment horizontal="center" vertical="center"/>
    </xf>
    <xf numFmtId="3" fontId="19" fillId="0" borderId="66" xfId="0" applyNumberFormat="1" applyFont="1" applyFill="1" applyBorder="1" applyAlignment="1">
      <alignment horizontal="center" vertical="center"/>
    </xf>
    <xf numFmtId="3" fontId="19" fillId="0" borderId="10" xfId="0" applyNumberFormat="1" applyFont="1" applyFill="1" applyBorder="1" applyAlignment="1">
      <alignment horizontal="center" vertical="center"/>
    </xf>
    <xf numFmtId="3" fontId="22" fillId="0" borderId="14" xfId="0" applyNumberFormat="1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horizontal="center" vertical="center"/>
    </xf>
    <xf numFmtId="3" fontId="19" fillId="0" borderId="1" xfId="0" applyNumberFormat="1" applyFont="1" applyFill="1" applyBorder="1" applyAlignment="1">
      <alignment horizontal="center" vertical="center"/>
    </xf>
    <xf numFmtId="3" fontId="22" fillId="0" borderId="18" xfId="0" applyNumberFormat="1" applyFont="1" applyFill="1" applyBorder="1" applyAlignment="1">
      <alignment horizontal="center" vertical="center"/>
    </xf>
    <xf numFmtId="3" fontId="19" fillId="0" borderId="18" xfId="0" applyNumberFormat="1" applyFont="1" applyFill="1" applyBorder="1" applyAlignment="1">
      <alignment horizontal="center" vertical="center"/>
    </xf>
    <xf numFmtId="3" fontId="19" fillId="0" borderId="13" xfId="0" applyNumberFormat="1" applyFont="1" applyFill="1" applyBorder="1" applyAlignment="1">
      <alignment horizontal="center" vertical="center"/>
    </xf>
    <xf numFmtId="3" fontId="19" fillId="0" borderId="29" xfId="0" applyNumberFormat="1" applyFont="1" applyFill="1" applyBorder="1" applyAlignment="1">
      <alignment horizontal="center" vertical="center"/>
    </xf>
    <xf numFmtId="3" fontId="19" fillId="0" borderId="35" xfId="0" applyNumberFormat="1" applyFont="1" applyFill="1" applyBorder="1" applyAlignment="1">
      <alignment horizontal="center" vertical="center"/>
    </xf>
    <xf numFmtId="3" fontId="19" fillId="0" borderId="43" xfId="0" applyNumberFormat="1" applyFont="1" applyFill="1" applyBorder="1" applyAlignment="1">
      <alignment horizontal="center" vertical="center"/>
    </xf>
    <xf numFmtId="3" fontId="19" fillId="0" borderId="45" xfId="0" applyNumberFormat="1" applyFont="1" applyFill="1" applyBorder="1" applyAlignment="1">
      <alignment horizontal="center" vertical="center"/>
    </xf>
    <xf numFmtId="3" fontId="19" fillId="0" borderId="46" xfId="0" applyNumberFormat="1" applyFont="1" applyFill="1" applyBorder="1" applyAlignment="1">
      <alignment horizontal="center" vertical="center"/>
    </xf>
    <xf numFmtId="0" fontId="10" fillId="0" borderId="70" xfId="0" applyFont="1" applyFill="1" applyBorder="1">
      <alignment vertical="center"/>
    </xf>
    <xf numFmtId="176" fontId="0" fillId="0" borderId="71" xfId="0" applyNumberFormat="1" applyFill="1" applyBorder="1">
      <alignment vertical="center"/>
    </xf>
    <xf numFmtId="176" fontId="0" fillId="0" borderId="56" xfId="0" applyNumberFormat="1" applyFill="1" applyBorder="1">
      <alignment vertical="center"/>
    </xf>
    <xf numFmtId="176" fontId="0" fillId="0" borderId="57" xfId="0" applyNumberFormat="1" applyFill="1" applyBorder="1">
      <alignment vertical="center"/>
    </xf>
    <xf numFmtId="180" fontId="0" fillId="0" borderId="3" xfId="0" applyNumberFormat="1" applyFill="1" applyBorder="1">
      <alignment vertical="center"/>
    </xf>
    <xf numFmtId="0" fontId="4" fillId="0" borderId="66" xfId="0" applyNumberFormat="1" applyFont="1" applyFill="1" applyBorder="1" applyAlignment="1">
      <alignment horizontal="center" vertical="center"/>
    </xf>
    <xf numFmtId="176" fontId="15" fillId="0" borderId="72" xfId="0" applyNumberFormat="1" applyFont="1" applyFill="1" applyBorder="1">
      <alignment vertical="center"/>
    </xf>
    <xf numFmtId="0" fontId="25" fillId="0" borderId="3" xfId="0" applyFont="1" applyFill="1" applyBorder="1" applyAlignment="1">
      <alignment horizontal="center" vertical="center"/>
    </xf>
    <xf numFmtId="49" fontId="10" fillId="0" borderId="66" xfId="0" applyNumberFormat="1" applyFont="1" applyFill="1" applyBorder="1" applyAlignment="1">
      <alignment vertical="center" shrinkToFit="1"/>
    </xf>
    <xf numFmtId="0" fontId="4" fillId="0" borderId="73" xfId="0" applyFont="1" applyFill="1" applyBorder="1" applyAlignment="1">
      <alignment horizontal="center" vertical="center"/>
    </xf>
    <xf numFmtId="176" fontId="0" fillId="0" borderId="74" xfId="0" applyNumberFormat="1" applyFill="1" applyBorder="1">
      <alignment vertical="center"/>
    </xf>
    <xf numFmtId="180" fontId="0" fillId="0" borderId="74" xfId="0" applyNumberFormat="1" applyFill="1" applyBorder="1">
      <alignment vertical="center"/>
    </xf>
    <xf numFmtId="0" fontId="4" fillId="0" borderId="75" xfId="0" applyFont="1" applyFill="1" applyBorder="1" applyAlignment="1">
      <alignment horizontal="center" vertical="center"/>
    </xf>
    <xf numFmtId="176" fontId="0" fillId="0" borderId="75" xfId="0" applyNumberFormat="1" applyFill="1" applyBorder="1">
      <alignment vertical="center"/>
    </xf>
    <xf numFmtId="180" fontId="0" fillId="0" borderId="75" xfId="0" applyNumberFormat="1" applyFill="1" applyBorder="1">
      <alignment vertical="center"/>
    </xf>
    <xf numFmtId="176" fontId="0" fillId="0" borderId="76" xfId="0" applyNumberFormat="1" applyFill="1" applyBorder="1">
      <alignment vertical="center"/>
    </xf>
    <xf numFmtId="3" fontId="19" fillId="0" borderId="57" xfId="0" applyNumberFormat="1" applyFont="1" applyFill="1" applyBorder="1" applyAlignment="1">
      <alignment horizontal="center" vertical="center"/>
    </xf>
    <xf numFmtId="177" fontId="20" fillId="0" borderId="78" xfId="0" applyNumberFormat="1" applyFont="1" applyFill="1" applyBorder="1" applyAlignment="1">
      <alignment horizontal="center" vertical="center"/>
    </xf>
    <xf numFmtId="3" fontId="23" fillId="0" borderId="78" xfId="0" applyNumberFormat="1" applyFont="1" applyFill="1" applyBorder="1" applyAlignment="1">
      <alignment horizontal="center" vertical="center"/>
    </xf>
    <xf numFmtId="3" fontId="19" fillId="0" borderId="78" xfId="0" applyNumberFormat="1" applyFont="1" applyFill="1" applyBorder="1" applyAlignment="1">
      <alignment horizontal="center" vertical="center"/>
    </xf>
    <xf numFmtId="177" fontId="20" fillId="0" borderId="80" xfId="0" applyNumberFormat="1" applyFont="1" applyFill="1" applyBorder="1" applyAlignment="1">
      <alignment horizontal="center" vertical="center"/>
    </xf>
    <xf numFmtId="3" fontId="23" fillId="0" borderId="80" xfId="0" applyNumberFormat="1" applyFont="1" applyFill="1" applyBorder="1" applyAlignment="1">
      <alignment horizontal="center" vertical="center"/>
    </xf>
    <xf numFmtId="49" fontId="10" fillId="0" borderId="81" xfId="0" applyNumberFormat="1" applyFont="1" applyFill="1" applyBorder="1">
      <alignment vertical="center"/>
    </xf>
    <xf numFmtId="177" fontId="20" fillId="0" borderId="75" xfId="0" applyNumberFormat="1" applyFont="1" applyFill="1" applyBorder="1" applyAlignment="1">
      <alignment horizontal="center" vertical="center"/>
    </xf>
    <xf numFmtId="3" fontId="23" fillId="0" borderId="75" xfId="0" applyNumberFormat="1" applyFont="1" applyFill="1" applyBorder="1" applyAlignment="1">
      <alignment horizontal="center" vertical="center"/>
    </xf>
    <xf numFmtId="3" fontId="19" fillId="0" borderId="75" xfId="0" applyNumberFormat="1" applyFont="1" applyFill="1" applyBorder="1" applyAlignment="1">
      <alignment horizontal="center" vertical="center"/>
    </xf>
    <xf numFmtId="49" fontId="10" fillId="0" borderId="77" xfId="0" applyNumberFormat="1" applyFont="1" applyFill="1" applyBorder="1">
      <alignment vertical="center"/>
    </xf>
    <xf numFmtId="0" fontId="10" fillId="0" borderId="82" xfId="0" applyFont="1" applyFill="1" applyBorder="1">
      <alignment vertical="center"/>
    </xf>
    <xf numFmtId="177" fontId="20" fillId="0" borderId="83" xfId="0" applyNumberFormat="1" applyFont="1" applyFill="1" applyBorder="1" applyAlignment="1">
      <alignment horizontal="center" vertical="center"/>
    </xf>
    <xf numFmtId="3" fontId="23" fillId="0" borderId="83" xfId="0" applyNumberFormat="1" applyFont="1" applyFill="1" applyBorder="1" applyAlignment="1">
      <alignment horizontal="center" vertical="center"/>
    </xf>
    <xf numFmtId="0" fontId="10" fillId="0" borderId="85" xfId="0" applyNumberFormat="1" applyFont="1" applyFill="1" applyBorder="1" applyAlignment="1">
      <alignment horizontal="center" vertical="center"/>
    </xf>
    <xf numFmtId="0" fontId="10" fillId="0" borderId="57" xfId="0" applyNumberFormat="1" applyFont="1" applyFill="1" applyBorder="1" applyAlignment="1">
      <alignment horizontal="center" vertical="center"/>
    </xf>
    <xf numFmtId="0" fontId="10" fillId="0" borderId="60" xfId="0" applyFont="1" applyFill="1" applyBorder="1">
      <alignment vertical="center"/>
    </xf>
    <xf numFmtId="49" fontId="10" fillId="0" borderId="57" xfId="0" applyNumberFormat="1" applyFont="1" applyFill="1" applyBorder="1">
      <alignment vertical="center"/>
    </xf>
    <xf numFmtId="49" fontId="10" fillId="0" borderId="80" xfId="0" applyNumberFormat="1" applyFont="1" applyFill="1" applyBorder="1">
      <alignment vertical="center"/>
    </xf>
    <xf numFmtId="3" fontId="26" fillId="0" borderId="80" xfId="0" applyNumberFormat="1" applyFont="1" applyFill="1" applyBorder="1" applyAlignment="1">
      <alignment horizontal="center" vertical="center"/>
    </xf>
    <xf numFmtId="0" fontId="10" fillId="0" borderId="86" xfId="0" applyNumberFormat="1" applyFont="1" applyFill="1" applyBorder="1" applyAlignment="1">
      <alignment horizontal="center" vertical="center"/>
    </xf>
    <xf numFmtId="0" fontId="10" fillId="0" borderId="76" xfId="0" applyNumberFormat="1" applyFont="1" applyFill="1" applyBorder="1" applyAlignment="1">
      <alignment horizontal="center" vertical="center"/>
    </xf>
    <xf numFmtId="49" fontId="10" fillId="0" borderId="75" xfId="0" applyNumberFormat="1" applyFont="1" applyFill="1" applyBorder="1">
      <alignment vertical="center"/>
    </xf>
    <xf numFmtId="3" fontId="26" fillId="0" borderId="75" xfId="0" applyNumberFormat="1" applyFont="1" applyFill="1" applyBorder="1" applyAlignment="1">
      <alignment horizontal="center" vertical="center"/>
    </xf>
    <xf numFmtId="0" fontId="10" fillId="0" borderId="87" xfId="0" applyNumberFormat="1" applyFont="1" applyFill="1" applyBorder="1" applyAlignment="1">
      <alignment horizontal="center" vertical="center"/>
    </xf>
    <xf numFmtId="0" fontId="10" fillId="0" borderId="88" xfId="0" applyNumberFormat="1" applyFont="1" applyFill="1" applyBorder="1" applyAlignment="1">
      <alignment horizontal="center" vertical="center"/>
    </xf>
    <xf numFmtId="0" fontId="10" fillId="0" borderId="79" xfId="0" applyFont="1" applyFill="1" applyBorder="1">
      <alignment vertical="center"/>
    </xf>
    <xf numFmtId="0" fontId="10" fillId="0" borderId="89" xfId="0" applyNumberFormat="1" applyFont="1" applyFill="1" applyBorder="1" applyAlignment="1">
      <alignment horizontal="center" vertical="center"/>
    </xf>
    <xf numFmtId="0" fontId="10" fillId="0" borderId="75" xfId="0" applyNumberFormat="1" applyFont="1" applyFill="1" applyBorder="1" applyAlignment="1">
      <alignment horizontal="center" vertical="center"/>
    </xf>
    <xf numFmtId="0" fontId="10" fillId="0" borderId="77" xfId="0" applyFont="1" applyFill="1" applyBorder="1">
      <alignment vertical="center"/>
    </xf>
    <xf numFmtId="3" fontId="19" fillId="0" borderId="83" xfId="0" applyNumberFormat="1" applyFont="1" applyFill="1" applyBorder="1" applyAlignment="1">
      <alignment horizontal="center" vertical="center"/>
    </xf>
    <xf numFmtId="49" fontId="10" fillId="0" borderId="83" xfId="0" applyNumberFormat="1" applyFont="1" applyFill="1" applyBorder="1">
      <alignment vertical="center"/>
    </xf>
    <xf numFmtId="0" fontId="10" fillId="0" borderId="84" xfId="0" applyFont="1" applyFill="1" applyBorder="1">
      <alignment vertical="center"/>
    </xf>
    <xf numFmtId="49" fontId="10" fillId="0" borderId="75" xfId="0" applyNumberFormat="1" applyFont="1" applyFill="1" applyBorder="1" applyAlignment="1">
      <alignment vertical="center" shrinkToFit="1"/>
    </xf>
    <xf numFmtId="176" fontId="3" fillId="0" borderId="3" xfId="0" applyNumberFormat="1" applyFont="1" applyFill="1" applyBorder="1" applyAlignment="1">
      <alignment horizontal="right" vertical="center" shrinkToFit="1"/>
    </xf>
    <xf numFmtId="49" fontId="0" fillId="0" borderId="7" xfId="0" applyNumberFormat="1" applyFill="1" applyBorder="1" applyAlignment="1">
      <alignment horizontal="center" vertical="center" shrinkToFit="1"/>
    </xf>
    <xf numFmtId="49" fontId="10" fillId="0" borderId="69" xfId="0" applyNumberFormat="1" applyFont="1" applyFill="1" applyBorder="1" applyAlignment="1">
      <alignment vertical="center" shrinkToFit="1"/>
    </xf>
    <xf numFmtId="49" fontId="11" fillId="0" borderId="3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38" fontId="2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9" fontId="25" fillId="0" borderId="3" xfId="0" applyNumberFormat="1" applyFont="1" applyFill="1" applyBorder="1" applyAlignment="1">
      <alignment horizontal="center" vertical="center"/>
    </xf>
    <xf numFmtId="179" fontId="28" fillId="0" borderId="3" xfId="0" applyNumberFormat="1" applyFont="1" applyFill="1" applyBorder="1" applyAlignment="1">
      <alignment horizontal="right" vertical="center"/>
    </xf>
    <xf numFmtId="9" fontId="29" fillId="0" borderId="3" xfId="0" applyNumberFormat="1" applyFont="1" applyFill="1" applyBorder="1" applyAlignment="1">
      <alignment horizontal="right" vertical="center"/>
    </xf>
    <xf numFmtId="178" fontId="29" fillId="2" borderId="3" xfId="0" applyNumberFormat="1" applyFont="1" applyFill="1" applyBorder="1" applyAlignment="1">
      <alignment horizontal="right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vertical="center" wrapText="1" shrinkToFit="1"/>
    </xf>
    <xf numFmtId="0" fontId="18" fillId="3" borderId="3" xfId="0" applyNumberFormat="1" applyFont="1" applyFill="1" applyBorder="1" applyAlignment="1">
      <alignment horizontal="center" vertical="center"/>
    </xf>
    <xf numFmtId="49" fontId="18" fillId="0" borderId="90" xfId="0" applyNumberFormat="1" applyFont="1" applyFill="1" applyBorder="1" applyAlignment="1">
      <alignment horizontal="center" vertical="center"/>
    </xf>
    <xf numFmtId="0" fontId="3" fillId="0" borderId="90" xfId="0" applyNumberFormat="1" applyFont="1" applyFill="1" applyBorder="1" applyAlignment="1">
      <alignment horizontal="center" vertical="center"/>
    </xf>
    <xf numFmtId="176" fontId="3" fillId="0" borderId="90" xfId="0" applyNumberFormat="1" applyFont="1" applyFill="1" applyBorder="1" applyAlignment="1">
      <alignment horizontal="right" vertical="center"/>
    </xf>
    <xf numFmtId="177" fontId="5" fillId="0" borderId="90" xfId="0" applyNumberFormat="1" applyFont="1" applyFill="1" applyBorder="1" applyAlignment="1">
      <alignment horizontal="righ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33" fillId="0" borderId="3" xfId="0" applyFont="1" applyFill="1" applyBorder="1" applyAlignment="1">
      <alignment horizontal="center" vertical="center"/>
    </xf>
    <xf numFmtId="0" fontId="18" fillId="0" borderId="90" xfId="0" applyNumberFormat="1" applyFont="1" applyFill="1" applyBorder="1" applyAlignment="1">
      <alignment horizontal="center" vertical="center"/>
    </xf>
    <xf numFmtId="49" fontId="3" fillId="0" borderId="90" xfId="0" applyNumberFormat="1" applyFont="1" applyFill="1" applyBorder="1">
      <alignment vertical="center"/>
    </xf>
    <xf numFmtId="0" fontId="18" fillId="3" borderId="90" xfId="0" applyNumberFormat="1" applyFont="1" applyFill="1" applyBorder="1" applyAlignment="1">
      <alignment horizontal="center" vertical="center"/>
    </xf>
    <xf numFmtId="3" fontId="18" fillId="0" borderId="0" xfId="0" applyNumberFormat="1" applyFont="1" applyFill="1" applyBorder="1" applyAlignment="1">
      <alignment vertical="center" shrinkToFit="1"/>
    </xf>
    <xf numFmtId="0" fontId="25" fillId="0" borderId="3" xfId="0" applyNumberFormat="1" applyFont="1" applyFill="1" applyBorder="1" applyAlignment="1">
      <alignment horizontal="center" vertical="center"/>
    </xf>
    <xf numFmtId="0" fontId="25" fillId="0" borderId="90" xfId="0" applyNumberFormat="1" applyFont="1" applyFill="1" applyBorder="1" applyAlignment="1">
      <alignment horizontal="center" vertical="center"/>
    </xf>
    <xf numFmtId="49" fontId="3" fillId="0" borderId="90" xfId="0" applyNumberFormat="1" applyFont="1" applyFill="1" applyBorder="1" applyAlignment="1">
      <alignment vertical="center" shrinkToFit="1"/>
    </xf>
    <xf numFmtId="49" fontId="3" fillId="0" borderId="66" xfId="0" applyNumberFormat="1" applyFont="1" applyFill="1" applyBorder="1" applyAlignment="1">
      <alignment vertical="center" shrinkToFit="1"/>
    </xf>
    <xf numFmtId="176" fontId="3" fillId="0" borderId="66" xfId="0" applyNumberFormat="1" applyFont="1" applyFill="1" applyBorder="1" applyAlignment="1">
      <alignment horizontal="right" vertical="center"/>
    </xf>
    <xf numFmtId="177" fontId="5" fillId="0" borderId="66" xfId="0" applyNumberFormat="1" applyFont="1" applyFill="1" applyBorder="1" applyAlignment="1">
      <alignment horizontal="right" vertical="center"/>
    </xf>
    <xf numFmtId="49" fontId="3" fillId="0" borderId="69" xfId="0" applyNumberFormat="1" applyFont="1" applyFill="1" applyBorder="1" applyAlignment="1">
      <alignment vertical="center" shrinkToFit="1"/>
    </xf>
    <xf numFmtId="176" fontId="3" fillId="0" borderId="69" xfId="0" applyNumberFormat="1" applyFont="1" applyFill="1" applyBorder="1" applyAlignment="1">
      <alignment horizontal="right" vertical="center"/>
    </xf>
    <xf numFmtId="177" fontId="5" fillId="0" borderId="69" xfId="0" applyNumberFormat="1" applyFont="1" applyFill="1" applyBorder="1" applyAlignment="1">
      <alignment horizontal="right" vertical="center"/>
    </xf>
    <xf numFmtId="0" fontId="3" fillId="0" borderId="66" xfId="0" applyNumberFormat="1" applyFont="1" applyFill="1" applyBorder="1" applyAlignment="1">
      <alignment horizontal="center" vertical="center"/>
    </xf>
    <xf numFmtId="0" fontId="3" fillId="0" borderId="69" xfId="0" applyNumberFormat="1" applyFont="1" applyFill="1" applyBorder="1" applyAlignment="1">
      <alignment horizontal="center" vertical="center"/>
    </xf>
    <xf numFmtId="49" fontId="3" fillId="0" borderId="66" xfId="0" applyNumberFormat="1" applyFont="1" applyFill="1" applyBorder="1">
      <alignment vertical="center"/>
    </xf>
    <xf numFmtId="0" fontId="25" fillId="0" borderId="90" xfId="0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vertical="center" shrinkToFit="1"/>
    </xf>
    <xf numFmtId="3" fontId="34" fillId="0" borderId="90" xfId="0" applyNumberFormat="1" applyFont="1" applyFill="1" applyBorder="1" applyAlignment="1">
      <alignment horizontal="right" vertical="center"/>
    </xf>
    <xf numFmtId="3" fontId="34" fillId="0" borderId="3" xfId="0" applyNumberFormat="1" applyFont="1" applyFill="1" applyBorder="1" applyAlignment="1">
      <alignment horizontal="right" vertical="center"/>
    </xf>
    <xf numFmtId="3" fontId="34" fillId="0" borderId="5" xfId="0" applyNumberFormat="1" applyFont="1" applyFill="1" applyBorder="1" applyAlignment="1">
      <alignment horizontal="right" vertical="center"/>
    </xf>
    <xf numFmtId="176" fontId="34" fillId="0" borderId="3" xfId="0" applyNumberFormat="1" applyFont="1" applyFill="1" applyBorder="1" applyAlignment="1">
      <alignment horizontal="center" vertical="center" shrinkToFit="1"/>
    </xf>
    <xf numFmtId="176" fontId="34" fillId="0" borderId="90" xfId="0" applyNumberFormat="1" applyFont="1" applyFill="1" applyBorder="1" applyAlignment="1">
      <alignment horizontal="center" vertical="center" shrinkToFit="1"/>
    </xf>
    <xf numFmtId="182" fontId="38" fillId="0" borderId="3" xfId="0" applyNumberFormat="1" applyFont="1" applyFill="1" applyBorder="1" applyAlignment="1">
      <alignment horizontal="right" vertical="center"/>
    </xf>
    <xf numFmtId="182" fontId="36" fillId="0" borderId="3" xfId="0" applyNumberFormat="1" applyFont="1" applyFill="1" applyBorder="1" applyAlignment="1">
      <alignment horizontal="right" vertical="center"/>
    </xf>
    <xf numFmtId="3" fontId="39" fillId="0" borderId="69" xfId="0" applyNumberFormat="1" applyFont="1" applyFill="1" applyBorder="1" applyAlignment="1">
      <alignment horizontal="center" vertical="center"/>
    </xf>
    <xf numFmtId="3" fontId="40" fillId="0" borderId="3" xfId="0" applyNumberFormat="1" applyFont="1" applyFill="1" applyBorder="1" applyAlignment="1">
      <alignment horizontal="right" vertical="center"/>
    </xf>
    <xf numFmtId="49" fontId="18" fillId="3" borderId="3" xfId="0" applyNumberFormat="1" applyFont="1" applyFill="1" applyBorder="1" applyAlignment="1">
      <alignment vertical="center" shrinkToFit="1"/>
    </xf>
    <xf numFmtId="3" fontId="34" fillId="3" borderId="3" xfId="0" applyNumberFormat="1" applyFont="1" applyFill="1" applyBorder="1" applyAlignment="1">
      <alignment horizontal="right" vertical="center"/>
    </xf>
    <xf numFmtId="3" fontId="34" fillId="3" borderId="90" xfId="0" applyNumberFormat="1" applyFont="1" applyFill="1" applyBorder="1" applyAlignment="1">
      <alignment horizontal="right" vertical="center"/>
    </xf>
    <xf numFmtId="0" fontId="18" fillId="3" borderId="0" xfId="0" applyNumberFormat="1" applyFont="1" applyFill="1" applyBorder="1" applyAlignment="1">
      <alignment vertical="center" shrinkToFit="1"/>
    </xf>
    <xf numFmtId="3" fontId="34" fillId="4" borderId="3" xfId="0" applyNumberFormat="1" applyFont="1" applyFill="1" applyBorder="1" applyAlignment="1">
      <alignment horizontal="right" vertical="center"/>
    </xf>
    <xf numFmtId="3" fontId="34" fillId="5" borderId="3" xfId="0" applyNumberFormat="1" applyFont="1" applyFill="1" applyBorder="1" applyAlignment="1">
      <alignment horizontal="right" vertical="center"/>
    </xf>
    <xf numFmtId="3" fontId="34" fillId="0" borderId="3" xfId="0" applyNumberFormat="1" applyFont="1" applyFill="1" applyBorder="1" applyAlignment="1">
      <alignment horizontal="center" vertical="center"/>
    </xf>
    <xf numFmtId="176" fontId="3" fillId="0" borderId="66" xfId="0" applyNumberFormat="1" applyFont="1" applyFill="1" applyBorder="1" applyAlignment="1">
      <alignment horizontal="right" vertical="center" shrinkToFit="1"/>
    </xf>
    <xf numFmtId="3" fontId="34" fillId="5" borderId="90" xfId="0" applyNumberFormat="1" applyFont="1" applyFill="1" applyBorder="1" applyAlignment="1">
      <alignment horizontal="right" vertical="center"/>
    </xf>
    <xf numFmtId="3" fontId="19" fillId="0" borderId="94" xfId="0" applyNumberFormat="1" applyFont="1" applyFill="1" applyBorder="1" applyAlignment="1">
      <alignment horizontal="center" vertical="center"/>
    </xf>
    <xf numFmtId="0" fontId="3" fillId="6" borderId="3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>
      <alignment vertical="center"/>
    </xf>
    <xf numFmtId="49" fontId="41" fillId="2" borderId="3" xfId="0" applyNumberFormat="1" applyFont="1" applyFill="1" applyBorder="1" applyAlignment="1">
      <alignment horizontal="center" vertical="center" wrapText="1"/>
    </xf>
    <xf numFmtId="49" fontId="3" fillId="6" borderId="69" xfId="0" applyNumberFormat="1" applyFont="1" applyFill="1" applyBorder="1" applyAlignment="1">
      <alignment vertical="center" shrinkToFit="1"/>
    </xf>
    <xf numFmtId="176" fontId="3" fillId="3" borderId="66" xfId="0" applyNumberFormat="1" applyFont="1" applyFill="1" applyBorder="1" applyAlignment="1">
      <alignment horizontal="right" vertical="center"/>
    </xf>
    <xf numFmtId="0" fontId="18" fillId="0" borderId="90" xfId="0" applyNumberFormat="1" applyFont="1" applyFill="1" applyBorder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3" fillId="0" borderId="90" xfId="0" applyFont="1" applyFill="1" applyBorder="1">
      <alignment vertical="center"/>
    </xf>
    <xf numFmtId="49" fontId="3" fillId="0" borderId="69" xfId="0" applyNumberFormat="1" applyFont="1" applyFill="1" applyBorder="1">
      <alignment vertical="center"/>
    </xf>
    <xf numFmtId="181" fontId="3" fillId="0" borderId="0" xfId="1" applyNumberFormat="1" applyFont="1" applyFill="1">
      <alignment vertical="center"/>
    </xf>
    <xf numFmtId="49" fontId="5" fillId="0" borderId="3" xfId="0" applyNumberFormat="1" applyFont="1" applyFill="1" applyBorder="1">
      <alignment vertical="center"/>
    </xf>
    <xf numFmtId="49" fontId="5" fillId="0" borderId="90" xfId="0" applyNumberFormat="1" applyFont="1" applyFill="1" applyBorder="1">
      <alignment vertical="center"/>
    </xf>
    <xf numFmtId="0" fontId="3" fillId="0" borderId="3" xfId="0" applyNumberFormat="1" applyFont="1" applyFill="1" applyBorder="1">
      <alignment vertical="center"/>
    </xf>
    <xf numFmtId="49" fontId="45" fillId="0" borderId="66" xfId="0" applyNumberFormat="1" applyFont="1" applyFill="1" applyBorder="1" applyAlignment="1">
      <alignment vertical="center" shrinkToFit="1"/>
    </xf>
    <xf numFmtId="49" fontId="17" fillId="0" borderId="3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1" fontId="3" fillId="0" borderId="0" xfId="0" applyNumberFormat="1" applyFont="1" applyFill="1">
      <alignment vertical="center"/>
    </xf>
    <xf numFmtId="49" fontId="5" fillId="0" borderId="66" xfId="0" applyNumberFormat="1" applyFont="1" applyFill="1" applyBorder="1">
      <alignment vertical="center"/>
    </xf>
    <xf numFmtId="181" fontId="3" fillId="3" borderId="0" xfId="1" applyNumberFormat="1" applyFont="1" applyFill="1">
      <alignment vertical="center"/>
    </xf>
    <xf numFmtId="0" fontId="5" fillId="0" borderId="3" xfId="0" applyNumberFormat="1" applyFont="1" applyFill="1" applyBorder="1">
      <alignment vertical="center"/>
    </xf>
    <xf numFmtId="0" fontId="3" fillId="0" borderId="0" xfId="0" applyFont="1" applyFill="1">
      <alignment vertical="center"/>
    </xf>
    <xf numFmtId="0" fontId="3" fillId="0" borderId="90" xfId="0" applyNumberFormat="1" applyFont="1" applyFill="1" applyBorder="1">
      <alignment vertical="center"/>
    </xf>
    <xf numFmtId="0" fontId="5" fillId="0" borderId="90" xfId="0" applyNumberFormat="1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horizontal="center" vertical="center"/>
    </xf>
    <xf numFmtId="176" fontId="3" fillId="7" borderId="66" xfId="0" applyNumberFormat="1" applyFont="1" applyFill="1" applyBorder="1" applyAlignment="1">
      <alignment horizontal="right" vertical="center"/>
    </xf>
    <xf numFmtId="3" fontId="18" fillId="0" borderId="90" xfId="0" applyNumberFormat="1" applyFont="1" applyFill="1" applyBorder="1">
      <alignment vertical="center"/>
    </xf>
    <xf numFmtId="0" fontId="10" fillId="0" borderId="95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49" fontId="42" fillId="0" borderId="96" xfId="0" applyNumberFormat="1" applyFont="1" applyFill="1" applyBorder="1" applyAlignment="1">
      <alignment vertical="center" shrinkToFit="1"/>
    </xf>
    <xf numFmtId="177" fontId="20" fillId="0" borderId="56" xfId="0" applyNumberFormat="1" applyFont="1" applyFill="1" applyBorder="1" applyAlignment="1">
      <alignment horizontal="center" vertical="center"/>
    </xf>
    <xf numFmtId="3" fontId="23" fillId="0" borderId="56" xfId="0" applyNumberFormat="1" applyFont="1" applyFill="1" applyBorder="1" applyAlignment="1">
      <alignment horizontal="center" vertical="center"/>
    </xf>
    <xf numFmtId="3" fontId="19" fillId="0" borderId="56" xfId="0" applyNumberFormat="1" applyFont="1" applyFill="1" applyBorder="1" applyAlignment="1">
      <alignment horizontal="center" vertical="center"/>
    </xf>
    <xf numFmtId="49" fontId="42" fillId="0" borderId="57" xfId="0" applyNumberFormat="1" applyFont="1" applyFill="1" applyBorder="1">
      <alignment vertical="center"/>
    </xf>
    <xf numFmtId="49" fontId="12" fillId="0" borderId="60" xfId="0" applyNumberFormat="1" applyFont="1" applyFill="1" applyBorder="1">
      <alignment vertical="center"/>
    </xf>
    <xf numFmtId="0" fontId="10" fillId="0" borderId="90" xfId="0" applyFont="1" applyFill="1" applyBorder="1" applyAlignment="1">
      <alignment horizontal="center" vertical="center"/>
    </xf>
    <xf numFmtId="0" fontId="10" fillId="0" borderId="90" xfId="0" applyFont="1" applyFill="1" applyBorder="1">
      <alignment vertical="center"/>
    </xf>
    <xf numFmtId="177" fontId="20" fillId="0" borderId="90" xfId="0" applyNumberFormat="1" applyFont="1" applyFill="1" applyBorder="1" applyAlignment="1">
      <alignment horizontal="center" vertical="center"/>
    </xf>
    <xf numFmtId="3" fontId="23" fillId="0" borderId="90" xfId="0" applyNumberFormat="1" applyFont="1" applyFill="1" applyBorder="1" applyAlignment="1">
      <alignment horizontal="center" vertical="center"/>
    </xf>
    <xf numFmtId="3" fontId="19" fillId="0" borderId="90" xfId="0" applyNumberFormat="1" applyFont="1" applyFill="1" applyBorder="1" applyAlignment="1">
      <alignment horizontal="center" vertical="center"/>
    </xf>
    <xf numFmtId="176" fontId="3" fillId="3" borderId="90" xfId="0" applyNumberFormat="1" applyFont="1" applyFill="1" applyBorder="1" applyAlignment="1">
      <alignment horizontal="right" vertical="center"/>
    </xf>
    <xf numFmtId="0" fontId="3" fillId="0" borderId="66" xfId="0" applyNumberFormat="1" applyFont="1" applyFill="1" applyBorder="1">
      <alignment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>
      <alignment vertical="center"/>
    </xf>
    <xf numFmtId="0" fontId="5" fillId="0" borderId="5" xfId="0" applyNumberFormat="1" applyFont="1" applyFill="1" applyBorder="1">
      <alignment vertical="center"/>
    </xf>
    <xf numFmtId="176" fontId="3" fillId="3" borderId="96" xfId="0" applyNumberFormat="1" applyFont="1" applyFill="1" applyBorder="1" applyAlignment="1">
      <alignment horizontal="right" vertical="center"/>
    </xf>
    <xf numFmtId="0" fontId="5" fillId="0" borderId="66" xfId="0" applyNumberFormat="1" applyFont="1" applyFill="1" applyBorder="1">
      <alignment vertical="center"/>
    </xf>
    <xf numFmtId="0" fontId="3" fillId="0" borderId="66" xfId="0" applyNumberFormat="1" applyFont="1" applyFill="1" applyBorder="1" applyAlignment="1">
      <alignment horizontal="right" vertical="center"/>
    </xf>
    <xf numFmtId="0" fontId="3" fillId="0" borderId="90" xfId="0" applyNumberFormat="1" applyFont="1" applyFill="1" applyBorder="1" applyAlignment="1">
      <alignment horizontal="right" vertical="center"/>
    </xf>
    <xf numFmtId="0" fontId="3" fillId="0" borderId="97" xfId="0" applyNumberFormat="1" applyFont="1" applyFill="1" applyBorder="1" applyAlignment="1">
      <alignment horizontal="center" vertical="center"/>
    </xf>
    <xf numFmtId="0" fontId="3" fillId="0" borderId="97" xfId="0" applyNumberFormat="1" applyFont="1" applyFill="1" applyBorder="1">
      <alignment vertical="center"/>
    </xf>
    <xf numFmtId="0" fontId="5" fillId="0" borderId="97" xfId="0" applyNumberFormat="1" applyFont="1" applyFill="1" applyBorder="1">
      <alignment vertical="center"/>
    </xf>
    <xf numFmtId="176" fontId="3" fillId="3" borderId="97" xfId="0" applyNumberFormat="1" applyFont="1" applyFill="1" applyBorder="1" applyAlignment="1">
      <alignment horizontal="right" vertical="center"/>
    </xf>
    <xf numFmtId="0" fontId="3" fillId="0" borderId="98" xfId="0" applyNumberFormat="1" applyFont="1" applyFill="1" applyBorder="1">
      <alignment vertical="center"/>
    </xf>
    <xf numFmtId="0" fontId="5" fillId="0" borderId="101" xfId="0" applyNumberFormat="1" applyFont="1" applyFill="1" applyBorder="1">
      <alignment vertical="center"/>
    </xf>
    <xf numFmtId="0" fontId="3" fillId="0" borderId="102" xfId="0" applyNumberFormat="1" applyFont="1" applyFill="1" applyBorder="1">
      <alignment vertical="center"/>
    </xf>
    <xf numFmtId="0" fontId="3" fillId="0" borderId="100" xfId="0" applyNumberFormat="1" applyFont="1" applyFill="1" applyBorder="1" applyAlignment="1">
      <alignment horizontal="center" vertical="center"/>
    </xf>
    <xf numFmtId="0" fontId="3" fillId="0" borderId="100" xfId="0" applyNumberFormat="1" applyFont="1" applyFill="1" applyBorder="1">
      <alignment vertical="center"/>
    </xf>
    <xf numFmtId="176" fontId="3" fillId="3" borderId="100" xfId="0" applyNumberFormat="1" applyFont="1" applyFill="1" applyBorder="1" applyAlignment="1">
      <alignment horizontal="right" vertical="center"/>
    </xf>
    <xf numFmtId="0" fontId="3" fillId="0" borderId="96" xfId="0" applyNumberFormat="1" applyFont="1" applyFill="1" applyBorder="1">
      <alignment vertical="center"/>
    </xf>
    <xf numFmtId="0" fontId="3" fillId="0" borderId="103" xfId="0" applyNumberFormat="1" applyFont="1" applyFill="1" applyBorder="1" applyAlignment="1">
      <alignment horizontal="center" vertical="center"/>
    </xf>
    <xf numFmtId="0" fontId="47" fillId="0" borderId="90" xfId="0" applyNumberFormat="1" applyFont="1" applyFill="1" applyBorder="1">
      <alignment vertical="center"/>
    </xf>
    <xf numFmtId="0" fontId="18" fillId="3" borderId="100" xfId="0" applyNumberFormat="1" applyFont="1" applyFill="1" applyBorder="1" applyAlignment="1">
      <alignment horizontal="center" vertical="center"/>
    </xf>
    <xf numFmtId="49" fontId="18" fillId="0" borderId="100" xfId="0" applyNumberFormat="1" applyFont="1" applyFill="1" applyBorder="1" applyAlignment="1">
      <alignment horizontal="center" vertical="center"/>
    </xf>
    <xf numFmtId="0" fontId="25" fillId="0" borderId="100" xfId="0" applyNumberFormat="1" applyFont="1" applyFill="1" applyBorder="1" applyAlignment="1">
      <alignment horizontal="center" vertical="center"/>
    </xf>
    <xf numFmtId="176" fontId="34" fillId="0" borderId="100" xfId="0" applyNumberFormat="1" applyFont="1" applyFill="1" applyBorder="1" applyAlignment="1">
      <alignment horizontal="center" vertical="center" shrinkToFit="1"/>
    </xf>
    <xf numFmtId="3" fontId="34" fillId="3" borderId="100" xfId="0" applyNumberFormat="1" applyFont="1" applyFill="1" applyBorder="1" applyAlignment="1">
      <alignment horizontal="right" vertical="center"/>
    </xf>
    <xf numFmtId="3" fontId="34" fillId="0" borderId="100" xfId="0" applyNumberFormat="1" applyFont="1" applyFill="1" applyBorder="1" applyAlignment="1">
      <alignment horizontal="right" vertical="center"/>
    </xf>
    <xf numFmtId="3" fontId="18" fillId="0" borderId="100" xfId="0" applyNumberFormat="1" applyFont="1" applyFill="1" applyBorder="1">
      <alignment vertical="center"/>
    </xf>
    <xf numFmtId="0" fontId="3" fillId="0" borderId="0" xfId="0" applyNumberFormat="1" applyFont="1" applyFill="1" applyBorder="1">
      <alignment vertical="center"/>
    </xf>
    <xf numFmtId="0" fontId="5" fillId="0" borderId="100" xfId="0" applyNumberFormat="1" applyFont="1" applyFill="1" applyBorder="1">
      <alignment vertical="center"/>
    </xf>
    <xf numFmtId="49" fontId="3" fillId="0" borderId="100" xfId="0" applyNumberFormat="1" applyFont="1" applyFill="1" applyBorder="1" applyAlignment="1">
      <alignment horizontal="center" vertical="center"/>
    </xf>
    <xf numFmtId="0" fontId="5" fillId="0" borderId="106" xfId="0" applyNumberFormat="1" applyFont="1" applyFill="1" applyBorder="1">
      <alignment vertical="center"/>
    </xf>
    <xf numFmtId="0" fontId="3" fillId="0" borderId="104" xfId="0" applyNumberFormat="1" applyFont="1" applyFill="1" applyBorder="1">
      <alignment vertical="center"/>
    </xf>
    <xf numFmtId="0" fontId="3" fillId="0" borderId="107" xfId="0" applyNumberFormat="1" applyFont="1" applyFill="1" applyBorder="1">
      <alignment vertical="center"/>
    </xf>
    <xf numFmtId="0" fontId="5" fillId="0" borderId="108" xfId="0" applyNumberFormat="1" applyFont="1" applyFill="1" applyBorder="1">
      <alignment vertical="center"/>
    </xf>
    <xf numFmtId="0" fontId="5" fillId="0" borderId="110" xfId="0" applyNumberFormat="1" applyFont="1" applyFill="1" applyBorder="1">
      <alignment vertical="center"/>
    </xf>
    <xf numFmtId="0" fontId="3" fillId="0" borderId="108" xfId="0" applyNumberFormat="1" applyFont="1" applyFill="1" applyBorder="1">
      <alignment vertical="center"/>
    </xf>
    <xf numFmtId="0" fontId="3" fillId="0" borderId="111" xfId="0" applyNumberFormat="1" applyFont="1" applyFill="1" applyBorder="1">
      <alignment vertical="center"/>
    </xf>
    <xf numFmtId="0" fontId="5" fillId="0" borderId="109" xfId="0" applyNumberFormat="1" applyFont="1" applyFill="1" applyBorder="1">
      <alignment vertical="center"/>
    </xf>
    <xf numFmtId="0" fontId="3" fillId="0" borderId="113" xfId="0" applyNumberFormat="1" applyFont="1" applyFill="1" applyBorder="1">
      <alignment vertical="center"/>
    </xf>
    <xf numFmtId="0" fontId="18" fillId="3" borderId="97" xfId="0" applyNumberFormat="1" applyFont="1" applyFill="1" applyBorder="1" applyAlignment="1">
      <alignment horizontal="center" vertical="center"/>
    </xf>
    <xf numFmtId="49" fontId="18" fillId="0" borderId="114" xfId="0" applyNumberFormat="1" applyFont="1" applyFill="1" applyBorder="1" applyAlignment="1">
      <alignment horizontal="center" vertical="center"/>
    </xf>
    <xf numFmtId="49" fontId="18" fillId="0" borderId="97" xfId="0" applyNumberFormat="1" applyFont="1" applyFill="1" applyBorder="1" applyAlignment="1">
      <alignment horizontal="center" vertical="center"/>
    </xf>
    <xf numFmtId="0" fontId="25" fillId="0" borderId="97" xfId="0" applyNumberFormat="1" applyFont="1" applyFill="1" applyBorder="1" applyAlignment="1">
      <alignment horizontal="center" vertical="center"/>
    </xf>
    <xf numFmtId="0" fontId="18" fillId="3" borderId="115" xfId="0" applyNumberFormat="1" applyFont="1" applyFill="1" applyBorder="1" applyAlignment="1">
      <alignment horizontal="center" vertical="center"/>
    </xf>
    <xf numFmtId="0" fontId="18" fillId="3" borderId="116" xfId="0" applyNumberFormat="1" applyFont="1" applyFill="1" applyBorder="1" applyAlignment="1">
      <alignment horizontal="center" vertical="center"/>
    </xf>
    <xf numFmtId="0" fontId="18" fillId="8" borderId="97" xfId="0" applyNumberFormat="1" applyFont="1" applyFill="1" applyBorder="1" applyAlignment="1">
      <alignment horizontal="center" vertical="center"/>
    </xf>
    <xf numFmtId="49" fontId="18" fillId="0" borderId="117" xfId="0" applyNumberFormat="1" applyFont="1" applyFill="1" applyBorder="1" applyAlignment="1">
      <alignment horizontal="center" vertical="center"/>
    </xf>
    <xf numFmtId="3" fontId="48" fillId="0" borderId="3" xfId="0" applyNumberFormat="1" applyFont="1" applyFill="1" applyBorder="1" applyAlignment="1">
      <alignment horizontal="right" vertical="center"/>
    </xf>
    <xf numFmtId="0" fontId="52" fillId="0" borderId="90" xfId="0" applyNumberFormat="1" applyFont="1" applyFill="1" applyBorder="1">
      <alignment vertical="center"/>
    </xf>
    <xf numFmtId="0" fontId="3" fillId="0" borderId="119" xfId="0" applyNumberFormat="1" applyFont="1" applyFill="1" applyBorder="1">
      <alignment vertical="center"/>
    </xf>
    <xf numFmtId="0" fontId="3" fillId="0" borderId="118" xfId="0" applyNumberFormat="1" applyFont="1" applyFill="1" applyBorder="1">
      <alignment vertical="center"/>
    </xf>
    <xf numFmtId="0" fontId="3" fillId="0" borderId="112" xfId="0" applyNumberFormat="1" applyFont="1" applyFill="1" applyBorder="1" applyAlignment="1">
      <alignment horizontal="center" vertical="center"/>
    </xf>
    <xf numFmtId="0" fontId="3" fillId="0" borderId="121" xfId="0" applyNumberFormat="1" applyFont="1" applyFill="1" applyBorder="1">
      <alignment vertical="center"/>
    </xf>
    <xf numFmtId="0" fontId="3" fillId="0" borderId="122" xfId="0" applyNumberFormat="1" applyFont="1" applyFill="1" applyBorder="1" applyAlignment="1">
      <alignment horizontal="center" vertical="center"/>
    </xf>
    <xf numFmtId="0" fontId="3" fillId="0" borderId="123" xfId="0" applyNumberFormat="1" applyFont="1" applyFill="1" applyBorder="1">
      <alignment vertical="center"/>
    </xf>
    <xf numFmtId="0" fontId="3" fillId="0" borderId="120" xfId="0" applyNumberFormat="1" applyFont="1" applyFill="1" applyBorder="1">
      <alignment vertical="center"/>
    </xf>
    <xf numFmtId="0" fontId="3" fillId="0" borderId="125" xfId="0" applyNumberFormat="1" applyFont="1" applyFill="1" applyBorder="1" applyAlignment="1">
      <alignment horizontal="center" vertical="center"/>
    </xf>
    <xf numFmtId="0" fontId="53" fillId="0" borderId="127" xfId="0" applyNumberFormat="1" applyFont="1" applyFill="1" applyBorder="1">
      <alignment vertical="center"/>
    </xf>
    <xf numFmtId="0" fontId="3" fillId="0" borderId="129" xfId="0" applyNumberFormat="1" applyFont="1" applyFill="1" applyBorder="1" applyAlignment="1">
      <alignment horizontal="center" vertical="center"/>
    </xf>
    <xf numFmtId="0" fontId="3" fillId="0" borderId="130" xfId="0" applyNumberFormat="1" applyFont="1" applyFill="1" applyBorder="1" applyAlignment="1">
      <alignment horizontal="center" vertical="center"/>
    </xf>
    <xf numFmtId="0" fontId="3" fillId="3" borderId="130" xfId="0" applyNumberFormat="1" applyFont="1" applyFill="1" applyBorder="1">
      <alignment vertical="center"/>
    </xf>
    <xf numFmtId="0" fontId="3" fillId="0" borderId="131" xfId="0" applyNumberFormat="1" applyFont="1" applyFill="1" applyBorder="1">
      <alignment vertical="center"/>
    </xf>
    <xf numFmtId="0" fontId="5" fillId="0" borderId="132" xfId="0" applyNumberFormat="1" applyFont="1" applyFill="1" applyBorder="1">
      <alignment vertical="center"/>
    </xf>
    <xf numFmtId="0" fontId="3" fillId="0" borderId="133" xfId="0" applyNumberFormat="1" applyFont="1" applyFill="1" applyBorder="1">
      <alignment vertical="center"/>
    </xf>
    <xf numFmtId="0" fontId="3" fillId="0" borderId="105" xfId="0" applyNumberFormat="1" applyFont="1" applyFill="1" applyBorder="1">
      <alignment vertical="center"/>
    </xf>
    <xf numFmtId="0" fontId="5" fillId="0" borderId="104" xfId="0" applyNumberFormat="1" applyFont="1" applyFill="1" applyBorder="1">
      <alignment vertical="center"/>
    </xf>
    <xf numFmtId="0" fontId="3" fillId="0" borderId="126" xfId="0" applyNumberFormat="1" applyFont="1" applyFill="1" applyBorder="1" applyAlignment="1">
      <alignment horizontal="center" vertical="center"/>
    </xf>
    <xf numFmtId="0" fontId="3" fillId="0" borderId="135" xfId="0" applyNumberFormat="1" applyFont="1" applyFill="1" applyBorder="1" applyAlignment="1">
      <alignment horizontal="center" vertical="center"/>
    </xf>
    <xf numFmtId="0" fontId="3" fillId="0" borderId="135" xfId="0" applyNumberFormat="1" applyFont="1" applyFill="1" applyBorder="1">
      <alignment vertical="center"/>
    </xf>
    <xf numFmtId="0" fontId="3" fillId="3" borderId="136" xfId="0" applyNumberFormat="1" applyFont="1" applyFill="1" applyBorder="1">
      <alignment vertical="center"/>
    </xf>
    <xf numFmtId="0" fontId="5" fillId="0" borderId="135" xfId="0" applyNumberFormat="1" applyFont="1" applyFill="1" applyBorder="1">
      <alignment vertical="center"/>
    </xf>
    <xf numFmtId="0" fontId="3" fillId="0" borderId="137" xfId="0" applyNumberFormat="1" applyFont="1" applyFill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right" vertical="center"/>
    </xf>
    <xf numFmtId="0" fontId="3" fillId="0" borderId="134" xfId="0" applyNumberFormat="1" applyFont="1" applyFill="1" applyBorder="1">
      <alignment vertical="center"/>
    </xf>
    <xf numFmtId="0" fontId="5" fillId="0" borderId="136" xfId="0" applyNumberFormat="1" applyFont="1" applyFill="1" applyBorder="1">
      <alignment vertical="center"/>
    </xf>
    <xf numFmtId="0" fontId="3" fillId="0" borderId="136" xfId="0" applyNumberFormat="1" applyFont="1" applyFill="1" applyBorder="1">
      <alignment vertical="center"/>
    </xf>
    <xf numFmtId="0" fontId="5" fillId="0" borderId="138" xfId="0" applyNumberFormat="1" applyFont="1" applyFill="1" applyBorder="1">
      <alignment vertical="center"/>
    </xf>
    <xf numFmtId="0" fontId="3" fillId="0" borderId="138" xfId="0" applyNumberFormat="1" applyFont="1" applyFill="1" applyBorder="1">
      <alignment vertical="center"/>
    </xf>
    <xf numFmtId="0" fontId="3" fillId="0" borderId="139" xfId="0" applyNumberFormat="1" applyFont="1" applyFill="1" applyBorder="1" applyAlignment="1">
      <alignment horizontal="center" vertical="center"/>
    </xf>
    <xf numFmtId="0" fontId="3" fillId="3" borderId="135" xfId="0" applyNumberFormat="1" applyFont="1" applyFill="1" applyBorder="1" applyAlignment="1">
      <alignment horizontal="center" vertical="center"/>
    </xf>
    <xf numFmtId="0" fontId="3" fillId="0" borderId="140" xfId="0" applyNumberFormat="1" applyFont="1" applyFill="1" applyBorder="1">
      <alignment vertical="center"/>
    </xf>
    <xf numFmtId="0" fontId="5" fillId="0" borderId="99" xfId="0" applyNumberFormat="1" applyFont="1" applyFill="1" applyBorder="1">
      <alignment vertical="center"/>
    </xf>
    <xf numFmtId="176" fontId="3" fillId="3" borderId="140" xfId="0" applyNumberFormat="1" applyFont="1" applyFill="1" applyBorder="1" applyAlignment="1">
      <alignment horizontal="right" vertical="center"/>
    </xf>
    <xf numFmtId="176" fontId="3" fillId="3" borderId="135" xfId="0" applyNumberFormat="1" applyFont="1" applyFill="1" applyBorder="1" applyAlignment="1">
      <alignment horizontal="right" vertical="center"/>
    </xf>
    <xf numFmtId="3" fontId="3" fillId="0" borderId="90" xfId="0" applyNumberFormat="1" applyFont="1" applyFill="1" applyBorder="1">
      <alignment vertical="center"/>
    </xf>
    <xf numFmtId="3" fontId="3" fillId="0" borderId="5" xfId="0" applyNumberFormat="1" applyFont="1" applyFill="1" applyBorder="1">
      <alignment vertical="center"/>
    </xf>
    <xf numFmtId="3" fontId="3" fillId="0" borderId="135" xfId="0" applyNumberFormat="1" applyFont="1" applyFill="1" applyBorder="1">
      <alignment vertical="center"/>
    </xf>
    <xf numFmtId="3" fontId="3" fillId="0" borderId="133" xfId="0" applyNumberFormat="1" applyFont="1" applyFill="1" applyBorder="1">
      <alignment vertical="center"/>
    </xf>
    <xf numFmtId="3" fontId="3" fillId="0" borderId="124" xfId="0" applyNumberFormat="1" applyFont="1" applyFill="1" applyBorder="1">
      <alignment vertical="center"/>
    </xf>
    <xf numFmtId="3" fontId="3" fillId="0" borderId="112" xfId="0" applyNumberFormat="1" applyFont="1" applyFill="1" applyBorder="1">
      <alignment vertical="center"/>
    </xf>
    <xf numFmtId="3" fontId="3" fillId="0" borderId="97" xfId="0" applyNumberFormat="1" applyFont="1" applyFill="1" applyBorder="1">
      <alignment vertical="center"/>
    </xf>
    <xf numFmtId="3" fontId="3" fillId="0" borderId="128" xfId="0" applyNumberFormat="1" applyFont="1" applyFill="1" applyBorder="1">
      <alignment vertical="center"/>
    </xf>
    <xf numFmtId="3" fontId="3" fillId="0" borderId="126" xfId="0" applyNumberFormat="1" applyFont="1" applyFill="1" applyBorder="1">
      <alignment vertical="center"/>
    </xf>
    <xf numFmtId="3" fontId="3" fillId="0" borderId="100" xfId="0" applyNumberFormat="1" applyFont="1" applyFill="1" applyBorder="1">
      <alignment vertical="center"/>
    </xf>
    <xf numFmtId="49" fontId="42" fillId="0" borderId="66" xfId="0" applyNumberFormat="1" applyFont="1" applyFill="1" applyBorder="1" applyAlignment="1">
      <alignment vertical="center" shrinkToFit="1"/>
    </xf>
    <xf numFmtId="0" fontId="54" fillId="0" borderId="90" xfId="0" applyNumberFormat="1" applyFont="1" applyFill="1" applyBorder="1">
      <alignment vertical="center"/>
    </xf>
    <xf numFmtId="0" fontId="3" fillId="0" borderId="141" xfId="0" applyNumberFormat="1" applyFont="1" applyFill="1" applyBorder="1" applyAlignment="1">
      <alignment horizontal="center" vertical="center"/>
    </xf>
    <xf numFmtId="0" fontId="3" fillId="0" borderId="142" xfId="0" applyNumberFormat="1" applyFont="1" applyFill="1" applyBorder="1" applyAlignment="1">
      <alignment horizontal="center" vertical="center"/>
    </xf>
    <xf numFmtId="0" fontId="3" fillId="0" borderId="142" xfId="0" applyNumberFormat="1" applyFont="1" applyFill="1" applyBorder="1">
      <alignment vertical="center"/>
    </xf>
    <xf numFmtId="0" fontId="3" fillId="0" borderId="141" xfId="0" applyNumberFormat="1" applyFont="1" applyFill="1" applyBorder="1">
      <alignment vertical="center"/>
    </xf>
    <xf numFmtId="0" fontId="5" fillId="0" borderId="141" xfId="0" applyNumberFormat="1" applyFont="1" applyFill="1" applyBorder="1">
      <alignment vertical="center"/>
    </xf>
    <xf numFmtId="49" fontId="55" fillId="0" borderId="1" xfId="0" applyNumberFormat="1" applyFont="1" applyFill="1" applyBorder="1">
      <alignment vertical="center"/>
    </xf>
    <xf numFmtId="0" fontId="56" fillId="0" borderId="17" xfId="0" applyFont="1" applyFill="1" applyBorder="1">
      <alignment vertical="center"/>
    </xf>
    <xf numFmtId="49" fontId="56" fillId="0" borderId="1" xfId="0" applyNumberFormat="1" applyFont="1" applyFill="1" applyBorder="1">
      <alignment vertical="center"/>
    </xf>
    <xf numFmtId="49" fontId="58" fillId="0" borderId="1" xfId="0" applyNumberFormat="1" applyFont="1" applyFill="1" applyBorder="1">
      <alignment vertical="center"/>
    </xf>
    <xf numFmtId="14" fontId="10" fillId="0" borderId="2" xfId="0" applyNumberFormat="1" applyFont="1" applyFill="1" applyBorder="1">
      <alignment vertical="center"/>
    </xf>
    <xf numFmtId="14" fontId="10" fillId="0" borderId="19" xfId="0" applyNumberFormat="1" applyFont="1" applyFill="1" applyBorder="1">
      <alignment vertical="center"/>
    </xf>
    <xf numFmtId="49" fontId="12" fillId="0" borderId="8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>
      <alignment vertical="center"/>
    </xf>
    <xf numFmtId="49" fontId="3" fillId="0" borderId="91" xfId="0" applyNumberFormat="1" applyFont="1" applyFill="1" applyBorder="1" applyAlignment="1">
      <alignment horizontal="center" vertical="center"/>
    </xf>
    <xf numFmtId="49" fontId="3" fillId="0" borderId="92" xfId="0" applyNumberFormat="1" applyFont="1" applyFill="1" applyBorder="1" applyAlignment="1">
      <alignment horizontal="center" vertical="center"/>
    </xf>
    <xf numFmtId="49" fontId="3" fillId="0" borderId="93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49" fontId="9" fillId="0" borderId="50" xfId="0" applyNumberFormat="1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0" fillId="0" borderId="50" xfId="0" applyFill="1" applyBorder="1">
      <alignment vertical="center"/>
    </xf>
    <xf numFmtId="49" fontId="9" fillId="0" borderId="47" xfId="0" applyNumberFormat="1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</cellXfs>
  <cellStyles count="4">
    <cellStyle name="一般" xfId="0" builtinId="0"/>
    <cellStyle name="一般 2" xfId="2" xr:uid="{00000000-0005-0000-0000-00002F000000}"/>
    <cellStyle name="一般 3" xfId="3" xr:uid="{00000000-0005-0000-0000-000001000000}"/>
    <cellStyle name="千分位" xfId="1" builtinId="3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6699FF"/>
      <color rgb="FF00CCFF"/>
      <color rgb="FF00FFFF"/>
      <color rgb="FFECB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V303"/>
  <sheetViews>
    <sheetView showGridLines="0" tabSelected="1" showRuler="0" view="pageBreakPreview" zoomScale="98" zoomScaleNormal="130" zoomScaleSheetLayoutView="98" zoomScalePageLayoutView="130" workbookViewId="0">
      <pane ySplit="2" topLeftCell="A138" activePane="bottomLeft" state="frozen"/>
      <selection pane="bottomLeft" activeCell="F252" sqref="F252"/>
    </sheetView>
  </sheetViews>
  <sheetFormatPr defaultColWidth="8.81640625" defaultRowHeight="24" customHeight="1"/>
  <cols>
    <col min="1" max="1" width="4" style="308" customWidth="1"/>
    <col min="2" max="2" width="4.1796875" style="308" customWidth="1"/>
    <col min="3" max="3" width="70.81640625" style="290" customWidth="1"/>
    <col min="4" max="4" width="10" style="290" customWidth="1"/>
    <col min="5" max="5" width="12" style="307" customWidth="1"/>
    <col min="6" max="6" width="10.6328125" style="290" customWidth="1"/>
    <col min="7" max="7" width="32.81640625" style="290" customWidth="1"/>
    <col min="8" max="256" width="8.81640625" style="290" customWidth="1"/>
    <col min="257" max="16384" width="8.81640625" style="304"/>
  </cols>
  <sheetData>
    <row r="1" spans="1:7" s="290" customFormat="1" ht="24" customHeight="1">
      <c r="A1" s="435" t="s">
        <v>154</v>
      </c>
      <c r="B1" s="436"/>
      <c r="C1" s="436"/>
      <c r="D1" s="436"/>
      <c r="E1" s="436"/>
      <c r="F1" s="436"/>
      <c r="G1" s="437"/>
    </row>
    <row r="2" spans="1:7" s="290" customFormat="1" ht="24" customHeight="1">
      <c r="A2" s="57" t="s">
        <v>0</v>
      </c>
      <c r="B2" s="57" t="s">
        <v>1</v>
      </c>
      <c r="C2" s="355" t="s">
        <v>2</v>
      </c>
      <c r="D2" s="57" t="s">
        <v>3</v>
      </c>
      <c r="E2" s="58" t="s">
        <v>4</v>
      </c>
      <c r="F2" s="57" t="s">
        <v>469</v>
      </c>
      <c r="G2" s="57" t="s">
        <v>5</v>
      </c>
    </row>
    <row r="3" spans="1:7" s="290" customFormat="1" ht="24" customHeight="1">
      <c r="A3" s="4">
        <v>1</v>
      </c>
      <c r="B3" s="4">
        <v>1</v>
      </c>
      <c r="C3" s="56" t="s">
        <v>128</v>
      </c>
      <c r="D3" s="41"/>
      <c r="E3" s="5"/>
      <c r="F3" s="41">
        <v>165104</v>
      </c>
      <c r="G3" s="106" t="s">
        <v>129</v>
      </c>
    </row>
    <row r="4" spans="1:7" s="290" customFormat="1" ht="24" customHeight="1">
      <c r="A4" s="4">
        <v>1</v>
      </c>
      <c r="B4" s="242">
        <v>5</v>
      </c>
      <c r="C4" s="248" t="s">
        <v>145</v>
      </c>
      <c r="D4" s="243"/>
      <c r="E4" s="244">
        <v>1470</v>
      </c>
      <c r="F4" s="41">
        <f>F3+D4-E4</f>
        <v>163634</v>
      </c>
      <c r="G4" s="291"/>
    </row>
    <row r="5" spans="1:7" s="290" customFormat="1" ht="24" customHeight="1">
      <c r="A5" s="4">
        <v>1</v>
      </c>
      <c r="B5" s="4">
        <v>7</v>
      </c>
      <c r="C5" s="56" t="s">
        <v>134</v>
      </c>
      <c r="D5" s="41">
        <v>1600</v>
      </c>
      <c r="E5" s="5"/>
      <c r="F5" s="41">
        <f t="shared" ref="F5:F48" si="0">F4+D5-E5</f>
        <v>165234</v>
      </c>
      <c r="G5" s="106"/>
    </row>
    <row r="6" spans="1:7" s="290" customFormat="1" ht="24" customHeight="1">
      <c r="A6" s="4">
        <v>1</v>
      </c>
      <c r="B6" s="4">
        <v>9</v>
      </c>
      <c r="C6" s="56" t="s">
        <v>136</v>
      </c>
      <c r="D6" s="41">
        <v>1600</v>
      </c>
      <c r="E6" s="5"/>
      <c r="F6" s="41">
        <f t="shared" si="0"/>
        <v>166834</v>
      </c>
      <c r="G6" s="106"/>
    </row>
    <row r="7" spans="1:7" s="290" customFormat="1" ht="24" customHeight="1">
      <c r="A7" s="4">
        <v>1</v>
      </c>
      <c r="B7" s="242">
        <v>10</v>
      </c>
      <c r="C7" s="56" t="s">
        <v>135</v>
      </c>
      <c r="D7" s="243">
        <f>1600+1600</f>
        <v>3200</v>
      </c>
      <c r="E7" s="244"/>
      <c r="F7" s="41">
        <f t="shared" si="0"/>
        <v>170034</v>
      </c>
      <c r="G7" s="291"/>
    </row>
    <row r="8" spans="1:7" s="290" customFormat="1" ht="24" customHeight="1">
      <c r="A8" s="4">
        <v>1</v>
      </c>
      <c r="B8" s="4">
        <v>10</v>
      </c>
      <c r="C8" s="56" t="s">
        <v>139</v>
      </c>
      <c r="D8" s="41">
        <v>1500</v>
      </c>
      <c r="E8" s="5"/>
      <c r="F8" s="41">
        <f t="shared" si="0"/>
        <v>171534</v>
      </c>
      <c r="G8" s="106"/>
    </row>
    <row r="9" spans="1:7" s="290" customFormat="1" ht="24" customHeight="1">
      <c r="A9" s="4">
        <v>1</v>
      </c>
      <c r="B9" s="242">
        <v>11</v>
      </c>
      <c r="C9" s="56" t="s">
        <v>143</v>
      </c>
      <c r="D9" s="243">
        <v>1600</v>
      </c>
      <c r="E9" s="244"/>
      <c r="F9" s="41">
        <f t="shared" si="0"/>
        <v>173134</v>
      </c>
      <c r="G9" s="291" t="s">
        <v>144</v>
      </c>
    </row>
    <row r="10" spans="1:7" s="290" customFormat="1" ht="24" customHeight="1">
      <c r="A10" s="4">
        <v>1</v>
      </c>
      <c r="B10" s="242">
        <v>12</v>
      </c>
      <c r="C10" s="56" t="s">
        <v>142</v>
      </c>
      <c r="D10" s="243">
        <v>1600</v>
      </c>
      <c r="E10" s="244"/>
      <c r="F10" s="41">
        <f t="shared" si="0"/>
        <v>174734</v>
      </c>
      <c r="G10" s="291" t="s">
        <v>144</v>
      </c>
    </row>
    <row r="11" spans="1:7" s="290" customFormat="1" ht="24" customHeight="1">
      <c r="A11" s="4">
        <v>1</v>
      </c>
      <c r="B11" s="242">
        <v>13</v>
      </c>
      <c r="C11" s="56" t="s">
        <v>140</v>
      </c>
      <c r="D11" s="243">
        <v>1600</v>
      </c>
      <c r="E11" s="244"/>
      <c r="F11" s="41">
        <f t="shared" si="0"/>
        <v>176334</v>
      </c>
      <c r="G11" s="291"/>
    </row>
    <row r="12" spans="1:7" s="290" customFormat="1" ht="24" customHeight="1">
      <c r="A12" s="4">
        <v>1</v>
      </c>
      <c r="B12" s="242">
        <v>13</v>
      </c>
      <c r="C12" s="56" t="s">
        <v>137</v>
      </c>
      <c r="D12" s="243">
        <v>1600</v>
      </c>
      <c r="E12" s="244"/>
      <c r="F12" s="41">
        <f t="shared" si="0"/>
        <v>177934</v>
      </c>
      <c r="G12" s="291"/>
    </row>
    <row r="13" spans="1:7" s="290" customFormat="1" ht="24" customHeight="1">
      <c r="A13" s="4">
        <v>1</v>
      </c>
      <c r="B13" s="242">
        <v>16</v>
      </c>
      <c r="C13" s="56" t="s">
        <v>141</v>
      </c>
      <c r="D13" s="243">
        <v>1600</v>
      </c>
      <c r="E13" s="244"/>
      <c r="F13" s="41">
        <f t="shared" si="0"/>
        <v>179534</v>
      </c>
      <c r="G13" s="291"/>
    </row>
    <row r="14" spans="1:7" s="290" customFormat="1" ht="24" customHeight="1">
      <c r="A14" s="4">
        <v>1</v>
      </c>
      <c r="B14" s="242">
        <v>16</v>
      </c>
      <c r="C14" s="56" t="s">
        <v>138</v>
      </c>
      <c r="D14" s="243">
        <v>1600</v>
      </c>
      <c r="E14" s="244"/>
      <c r="F14" s="41">
        <f t="shared" si="0"/>
        <v>181134</v>
      </c>
      <c r="G14" s="291"/>
    </row>
    <row r="15" spans="1:7" s="290" customFormat="1" ht="24" customHeight="1">
      <c r="A15" s="4">
        <v>1</v>
      </c>
      <c r="B15" s="4">
        <v>18</v>
      </c>
      <c r="C15" s="59" t="s">
        <v>131</v>
      </c>
      <c r="D15" s="41"/>
      <c r="E15" s="5">
        <v>1575</v>
      </c>
      <c r="F15" s="41">
        <f t="shared" si="0"/>
        <v>179559</v>
      </c>
      <c r="G15" s="106"/>
    </row>
    <row r="16" spans="1:7" s="290" customFormat="1" ht="24" customHeight="1">
      <c r="A16" s="4">
        <v>1</v>
      </c>
      <c r="B16" s="4">
        <v>18</v>
      </c>
      <c r="C16" s="59" t="s">
        <v>132</v>
      </c>
      <c r="D16" s="41"/>
      <c r="E16" s="5">
        <v>10000</v>
      </c>
      <c r="F16" s="41">
        <f t="shared" si="0"/>
        <v>169559</v>
      </c>
      <c r="G16" s="56"/>
    </row>
    <row r="17" spans="1:9" s="290" customFormat="1" ht="24" customHeight="1">
      <c r="A17" s="4">
        <v>1</v>
      </c>
      <c r="B17" s="4">
        <v>18</v>
      </c>
      <c r="C17" s="56" t="s">
        <v>133</v>
      </c>
      <c r="D17" s="41">
        <v>1500</v>
      </c>
      <c r="E17" s="5"/>
      <c r="F17" s="41">
        <f t="shared" si="0"/>
        <v>171059</v>
      </c>
      <c r="G17" s="56"/>
    </row>
    <row r="18" spans="1:9" s="290" customFormat="1" ht="24" customHeight="1">
      <c r="A18" s="4">
        <v>1</v>
      </c>
      <c r="B18" s="4">
        <v>18</v>
      </c>
      <c r="C18" s="56" t="s">
        <v>146</v>
      </c>
      <c r="D18" s="41">
        <f>63300+1600</f>
        <v>64900</v>
      </c>
      <c r="E18" s="5"/>
      <c r="F18" s="41">
        <f t="shared" si="0"/>
        <v>235959</v>
      </c>
      <c r="G18" s="56"/>
    </row>
    <row r="19" spans="1:9" s="290" customFormat="1" ht="24" customHeight="1">
      <c r="A19" s="242">
        <v>1</v>
      </c>
      <c r="B19" s="242">
        <v>20</v>
      </c>
      <c r="C19" s="248" t="s">
        <v>153</v>
      </c>
      <c r="D19" s="243"/>
      <c r="E19" s="244">
        <v>92687</v>
      </c>
      <c r="F19" s="41">
        <f t="shared" si="0"/>
        <v>143272</v>
      </c>
      <c r="G19" s="248"/>
    </row>
    <row r="20" spans="1:9" s="290" customFormat="1" ht="24" customHeight="1">
      <c r="A20" s="4">
        <v>1</v>
      </c>
      <c r="B20" s="4">
        <v>27</v>
      </c>
      <c r="C20" s="56" t="s">
        <v>152</v>
      </c>
      <c r="D20" s="41">
        <v>1500</v>
      </c>
      <c r="E20" s="5"/>
      <c r="F20" s="41">
        <f t="shared" si="0"/>
        <v>144772</v>
      </c>
      <c r="G20" s="56"/>
    </row>
    <row r="21" spans="1:9" s="290" customFormat="1" ht="24" customHeight="1">
      <c r="A21" s="4">
        <v>1</v>
      </c>
      <c r="B21" s="4">
        <v>29</v>
      </c>
      <c r="C21" s="59" t="s">
        <v>157</v>
      </c>
      <c r="D21" s="41">
        <v>3100</v>
      </c>
      <c r="E21" s="5"/>
      <c r="F21" s="41">
        <f t="shared" si="0"/>
        <v>147872</v>
      </c>
      <c r="G21" s="56"/>
    </row>
    <row r="22" spans="1:9" s="290" customFormat="1" ht="24" customHeight="1" thickBot="1">
      <c r="A22" s="261">
        <v>1</v>
      </c>
      <c r="B22" s="261">
        <v>30</v>
      </c>
      <c r="C22" s="257" t="s">
        <v>158</v>
      </c>
      <c r="D22" s="258">
        <v>1600</v>
      </c>
      <c r="E22" s="259"/>
      <c r="F22" s="258">
        <f t="shared" si="0"/>
        <v>149472</v>
      </c>
      <c r="G22" s="292"/>
    </row>
    <row r="23" spans="1:9" s="290" customFormat="1" ht="24" customHeight="1" thickTop="1">
      <c r="A23" s="260">
        <v>1</v>
      </c>
      <c r="B23" s="260">
        <v>30</v>
      </c>
      <c r="C23" s="254" t="s">
        <v>160</v>
      </c>
      <c r="D23" s="255">
        <f>3500*4+2800*1</f>
        <v>16800</v>
      </c>
      <c r="E23" s="256"/>
      <c r="F23" s="255">
        <f t="shared" si="0"/>
        <v>166272</v>
      </c>
      <c r="G23" s="262"/>
    </row>
    <row r="24" spans="1:9" s="290" customFormat="1" ht="24" customHeight="1">
      <c r="A24" s="242">
        <v>1</v>
      </c>
      <c r="B24" s="242">
        <v>31</v>
      </c>
      <c r="C24" s="59" t="s">
        <v>159</v>
      </c>
      <c r="D24" s="243">
        <v>3500</v>
      </c>
      <c r="E24" s="244"/>
      <c r="F24" s="255">
        <f t="shared" si="0"/>
        <v>169772</v>
      </c>
      <c r="G24" s="248"/>
    </row>
    <row r="25" spans="1:9" s="290" customFormat="1" ht="24" customHeight="1">
      <c r="A25" s="4">
        <v>2</v>
      </c>
      <c r="B25" s="4">
        <v>1</v>
      </c>
      <c r="C25" s="59" t="s">
        <v>166</v>
      </c>
      <c r="D25" s="41">
        <f>3500*2</f>
        <v>7000</v>
      </c>
      <c r="E25" s="5"/>
      <c r="F25" s="255">
        <f t="shared" si="0"/>
        <v>176772</v>
      </c>
      <c r="G25" s="56"/>
    </row>
    <row r="26" spans="1:9" s="290" customFormat="1" ht="24" customHeight="1">
      <c r="A26" s="242">
        <v>2</v>
      </c>
      <c r="B26" s="242">
        <v>2</v>
      </c>
      <c r="C26" s="253" t="s">
        <v>161</v>
      </c>
      <c r="D26" s="243">
        <v>600</v>
      </c>
      <c r="E26" s="244"/>
      <c r="F26" s="255">
        <f t="shared" si="0"/>
        <v>177372</v>
      </c>
      <c r="G26" s="248"/>
    </row>
    <row r="27" spans="1:9" s="290" customFormat="1" ht="24" customHeight="1">
      <c r="A27" s="4">
        <v>2</v>
      </c>
      <c r="B27" s="4">
        <v>6</v>
      </c>
      <c r="C27" s="59" t="s">
        <v>141</v>
      </c>
      <c r="D27" s="41">
        <v>3500</v>
      </c>
      <c r="E27" s="5"/>
      <c r="F27" s="255">
        <f t="shared" si="0"/>
        <v>180872</v>
      </c>
      <c r="G27" s="56"/>
    </row>
    <row r="28" spans="1:9" s="290" customFormat="1" ht="24" customHeight="1">
      <c r="A28" s="4">
        <v>2</v>
      </c>
      <c r="B28" s="4">
        <v>13</v>
      </c>
      <c r="C28" s="59" t="s">
        <v>162</v>
      </c>
      <c r="D28" s="41">
        <v>21000</v>
      </c>
      <c r="E28" s="5"/>
      <c r="F28" s="255">
        <f t="shared" si="0"/>
        <v>201872</v>
      </c>
      <c r="G28" s="56"/>
    </row>
    <row r="29" spans="1:9" s="290" customFormat="1" ht="24" customHeight="1">
      <c r="A29" s="4">
        <v>2</v>
      </c>
      <c r="B29" s="4">
        <v>13</v>
      </c>
      <c r="C29" s="59" t="s">
        <v>163</v>
      </c>
      <c r="D29" s="41">
        <v>159600</v>
      </c>
      <c r="E29" s="5"/>
      <c r="F29" s="255">
        <f t="shared" si="0"/>
        <v>361472</v>
      </c>
      <c r="G29" s="56"/>
    </row>
    <row r="30" spans="1:9" s="290" customFormat="1" ht="24" customHeight="1">
      <c r="A30" s="4">
        <v>2</v>
      </c>
      <c r="B30" s="4">
        <v>13</v>
      </c>
      <c r="C30" s="59" t="s">
        <v>164</v>
      </c>
      <c r="D30" s="41">
        <f>3500*2</f>
        <v>7000</v>
      </c>
      <c r="E30" s="5"/>
      <c r="F30" s="255">
        <f t="shared" si="0"/>
        <v>368472</v>
      </c>
      <c r="G30" s="56"/>
    </row>
    <row r="31" spans="1:9" s="290" customFormat="1" ht="24" customHeight="1">
      <c r="A31" s="4">
        <v>2</v>
      </c>
      <c r="B31" s="4">
        <v>13</v>
      </c>
      <c r="C31" s="59" t="s">
        <v>165</v>
      </c>
      <c r="D31" s="41"/>
      <c r="E31" s="5">
        <v>1400</v>
      </c>
      <c r="F31" s="255">
        <f t="shared" si="0"/>
        <v>367072</v>
      </c>
      <c r="G31" s="56"/>
    </row>
    <row r="32" spans="1:9" s="290" customFormat="1" ht="24" customHeight="1">
      <c r="A32" s="4">
        <v>2</v>
      </c>
      <c r="B32" s="4">
        <v>16</v>
      </c>
      <c r="C32" s="59" t="s">
        <v>180</v>
      </c>
      <c r="D32" s="41"/>
      <c r="E32" s="5">
        <f>706*2+1000</f>
        <v>2412</v>
      </c>
      <c r="F32" s="255">
        <f t="shared" si="0"/>
        <v>364660</v>
      </c>
      <c r="G32" s="56"/>
      <c r="I32" s="293"/>
    </row>
    <row r="33" spans="1:9" s="290" customFormat="1" ht="24" customHeight="1">
      <c r="A33" s="4">
        <v>2</v>
      </c>
      <c r="B33" s="4">
        <v>16</v>
      </c>
      <c r="C33" s="59" t="s">
        <v>179</v>
      </c>
      <c r="D33" s="41"/>
      <c r="E33" s="5">
        <v>1722</v>
      </c>
      <c r="F33" s="255">
        <f t="shared" si="0"/>
        <v>362938</v>
      </c>
      <c r="G33" s="56"/>
      <c r="I33" s="293"/>
    </row>
    <row r="34" spans="1:9" s="290" customFormat="1" ht="24" customHeight="1">
      <c r="A34" s="4">
        <v>2</v>
      </c>
      <c r="B34" s="4">
        <v>16</v>
      </c>
      <c r="C34" s="59" t="s">
        <v>181</v>
      </c>
      <c r="D34" s="41"/>
      <c r="E34" s="5">
        <v>824</v>
      </c>
      <c r="F34" s="255">
        <f t="shared" si="0"/>
        <v>362114</v>
      </c>
      <c r="G34" s="56"/>
      <c r="I34" s="293"/>
    </row>
    <row r="35" spans="1:9" s="290" customFormat="1" ht="24" customHeight="1">
      <c r="A35" s="4">
        <v>2</v>
      </c>
      <c r="B35" s="4">
        <v>16</v>
      </c>
      <c r="C35" s="59" t="s">
        <v>182</v>
      </c>
      <c r="D35" s="41"/>
      <c r="E35" s="5">
        <v>800</v>
      </c>
      <c r="F35" s="255">
        <f t="shared" si="0"/>
        <v>361314</v>
      </c>
      <c r="G35" s="56"/>
      <c r="I35" s="293"/>
    </row>
    <row r="36" spans="1:9" s="290" customFormat="1" ht="24" customHeight="1">
      <c r="A36" s="4">
        <v>2</v>
      </c>
      <c r="B36" s="4">
        <v>16</v>
      </c>
      <c r="C36" s="59" t="s">
        <v>183</v>
      </c>
      <c r="D36" s="41"/>
      <c r="E36" s="5">
        <v>1000</v>
      </c>
      <c r="F36" s="255">
        <f t="shared" si="0"/>
        <v>360314</v>
      </c>
      <c r="G36" s="56"/>
      <c r="I36" s="293"/>
    </row>
    <row r="37" spans="1:9" s="290" customFormat="1" ht="24" customHeight="1">
      <c r="A37" s="4">
        <v>2</v>
      </c>
      <c r="B37" s="4">
        <v>17</v>
      </c>
      <c r="C37" s="59" t="s">
        <v>176</v>
      </c>
      <c r="D37" s="41"/>
      <c r="E37" s="5">
        <v>1400</v>
      </c>
      <c r="F37" s="255">
        <f t="shared" si="0"/>
        <v>358914</v>
      </c>
      <c r="G37" s="56"/>
      <c r="I37" s="293"/>
    </row>
    <row r="38" spans="1:9" s="290" customFormat="1" ht="24" customHeight="1">
      <c r="A38" s="260">
        <v>2</v>
      </c>
      <c r="B38" s="260">
        <v>18</v>
      </c>
      <c r="C38" s="262" t="s">
        <v>172</v>
      </c>
      <c r="D38" s="255">
        <f>1800*3</f>
        <v>5400</v>
      </c>
      <c r="E38" s="256"/>
      <c r="F38" s="255">
        <f t="shared" si="0"/>
        <v>364314</v>
      </c>
      <c r="G38" s="262"/>
    </row>
    <row r="39" spans="1:9" s="290" customFormat="1" ht="24" customHeight="1">
      <c r="A39" s="4">
        <v>2</v>
      </c>
      <c r="B39" s="4">
        <v>20</v>
      </c>
      <c r="C39" s="262" t="s">
        <v>177</v>
      </c>
      <c r="D39" s="41">
        <f>1800*3</f>
        <v>5400</v>
      </c>
      <c r="E39" s="5"/>
      <c r="F39" s="255">
        <f t="shared" si="0"/>
        <v>369714</v>
      </c>
      <c r="G39" s="56"/>
    </row>
    <row r="40" spans="1:9" s="290" customFormat="1" ht="24" customHeight="1">
      <c r="A40" s="4">
        <v>2</v>
      </c>
      <c r="B40" s="4">
        <v>21</v>
      </c>
      <c r="C40" s="262" t="s">
        <v>173</v>
      </c>
      <c r="D40" s="41">
        <v>1800</v>
      </c>
      <c r="E40" s="5"/>
      <c r="F40" s="255">
        <f t="shared" si="0"/>
        <v>371514</v>
      </c>
      <c r="G40" s="106"/>
    </row>
    <row r="41" spans="1:9" s="290" customFormat="1" ht="24" customHeight="1">
      <c r="A41" s="4">
        <v>2</v>
      </c>
      <c r="B41" s="4">
        <v>22</v>
      </c>
      <c r="C41" s="262" t="s">
        <v>139</v>
      </c>
      <c r="D41" s="227">
        <v>1700</v>
      </c>
      <c r="E41" s="5"/>
      <c r="F41" s="255">
        <f t="shared" si="0"/>
        <v>373214</v>
      </c>
      <c r="G41" s="106"/>
    </row>
    <row r="42" spans="1:9" s="290" customFormat="1" ht="24" customHeight="1">
      <c r="A42" s="4">
        <v>2</v>
      </c>
      <c r="B42" s="4">
        <v>24</v>
      </c>
      <c r="C42" s="262" t="s">
        <v>174</v>
      </c>
      <c r="D42" s="41">
        <f>1800*4</f>
        <v>7200</v>
      </c>
      <c r="E42" s="5"/>
      <c r="F42" s="255">
        <f t="shared" si="0"/>
        <v>380414</v>
      </c>
      <c r="G42" s="106"/>
    </row>
    <row r="43" spans="1:9" s="290" customFormat="1" ht="24" customHeight="1">
      <c r="A43" s="4">
        <v>2</v>
      </c>
      <c r="B43" s="4">
        <v>25</v>
      </c>
      <c r="C43" s="59" t="s">
        <v>175</v>
      </c>
      <c r="D43" s="41">
        <v>1700</v>
      </c>
      <c r="E43" s="5"/>
      <c r="F43" s="255">
        <f t="shared" si="0"/>
        <v>382114</v>
      </c>
      <c r="G43" s="106"/>
    </row>
    <row r="44" spans="1:9" s="290" customFormat="1" ht="24" customHeight="1">
      <c r="A44" s="4">
        <v>2</v>
      </c>
      <c r="B44" s="4">
        <v>25</v>
      </c>
      <c r="C44" s="56" t="s">
        <v>178</v>
      </c>
      <c r="D44" s="41">
        <v>73600</v>
      </c>
      <c r="E44" s="5"/>
      <c r="F44" s="255">
        <f t="shared" si="0"/>
        <v>455714</v>
      </c>
      <c r="G44" s="106"/>
    </row>
    <row r="45" spans="1:9" s="290" customFormat="1" ht="24" customHeight="1">
      <c r="A45" s="242">
        <v>3</v>
      </c>
      <c r="B45" s="242">
        <v>2</v>
      </c>
      <c r="C45" s="248" t="s">
        <v>196</v>
      </c>
      <c r="D45" s="243"/>
      <c r="E45" s="244">
        <f>225007+35</f>
        <v>225042</v>
      </c>
      <c r="F45" s="255">
        <f t="shared" si="0"/>
        <v>230672</v>
      </c>
      <c r="G45" s="291"/>
    </row>
    <row r="46" spans="1:9" s="290" customFormat="1" ht="24" customHeight="1">
      <c r="A46" s="4">
        <v>3</v>
      </c>
      <c r="B46" s="4">
        <v>2</v>
      </c>
      <c r="C46" s="56" t="s">
        <v>191</v>
      </c>
      <c r="D46" s="41">
        <v>1800</v>
      </c>
      <c r="E46" s="5"/>
      <c r="F46" s="255">
        <f t="shared" si="0"/>
        <v>232472</v>
      </c>
      <c r="G46" s="106"/>
    </row>
    <row r="47" spans="1:9" s="290" customFormat="1" ht="24" customHeight="1">
      <c r="A47" s="4">
        <v>3</v>
      </c>
      <c r="B47" s="4">
        <v>2</v>
      </c>
      <c r="C47" s="59" t="s">
        <v>193</v>
      </c>
      <c r="D47" s="41">
        <v>1800</v>
      </c>
      <c r="E47" s="5"/>
      <c r="F47" s="255">
        <f t="shared" si="0"/>
        <v>234272</v>
      </c>
      <c r="G47" s="106"/>
    </row>
    <row r="48" spans="1:9" s="290" customFormat="1" ht="24" customHeight="1" thickBot="1">
      <c r="A48" s="261">
        <v>3</v>
      </c>
      <c r="B48" s="261">
        <v>2</v>
      </c>
      <c r="C48" s="257" t="s">
        <v>194</v>
      </c>
      <c r="D48" s="258">
        <v>600</v>
      </c>
      <c r="E48" s="259"/>
      <c r="F48" s="258">
        <f t="shared" si="0"/>
        <v>234872</v>
      </c>
      <c r="G48" s="292"/>
    </row>
    <row r="49" spans="1:7" s="290" customFormat="1" ht="24" customHeight="1" thickTop="1">
      <c r="A49" s="4">
        <v>3</v>
      </c>
      <c r="B49" s="4">
        <v>8</v>
      </c>
      <c r="C49" s="56" t="s">
        <v>199</v>
      </c>
      <c r="D49" s="227">
        <f>2500*2</f>
        <v>5000</v>
      </c>
      <c r="E49" s="5"/>
      <c r="F49" s="255">
        <f>F48+D49-E49</f>
        <v>239872</v>
      </c>
      <c r="G49" s="56"/>
    </row>
    <row r="50" spans="1:7" s="290" customFormat="1" ht="24" customHeight="1">
      <c r="A50" s="260">
        <v>3</v>
      </c>
      <c r="B50" s="260">
        <v>8</v>
      </c>
      <c r="C50" s="56" t="s">
        <v>161</v>
      </c>
      <c r="D50" s="281">
        <v>600</v>
      </c>
      <c r="E50" s="256"/>
      <c r="F50" s="255">
        <f>F49+D50-E50</f>
        <v>240472</v>
      </c>
      <c r="G50" s="248"/>
    </row>
    <row r="51" spans="1:7" s="290" customFormat="1" ht="24" customHeight="1">
      <c r="A51" s="260">
        <v>3</v>
      </c>
      <c r="B51" s="260">
        <v>9</v>
      </c>
      <c r="C51" s="254" t="s">
        <v>197</v>
      </c>
      <c r="D51" s="255">
        <v>3500</v>
      </c>
      <c r="E51" s="256"/>
      <c r="F51" s="255">
        <f t="shared" ref="F51:F115" si="1">F50+D51-E51</f>
        <v>243972</v>
      </c>
      <c r="G51" s="56"/>
    </row>
    <row r="52" spans="1:7" s="290" customFormat="1" ht="24" customHeight="1">
      <c r="A52" s="260">
        <v>3</v>
      </c>
      <c r="B52" s="260">
        <v>10</v>
      </c>
      <c r="C52" s="262" t="s">
        <v>200</v>
      </c>
      <c r="D52" s="281">
        <f>2400+2500+2500+2500</f>
        <v>9900</v>
      </c>
      <c r="E52" s="256"/>
      <c r="F52" s="255">
        <f t="shared" si="1"/>
        <v>253872</v>
      </c>
      <c r="G52" s="248"/>
    </row>
    <row r="53" spans="1:7" s="290" customFormat="1" ht="24" customHeight="1">
      <c r="A53" s="4">
        <v>3</v>
      </c>
      <c r="B53" s="4">
        <v>11</v>
      </c>
      <c r="C53" s="56" t="s">
        <v>198</v>
      </c>
      <c r="D53" s="227"/>
      <c r="E53" s="5">
        <v>20000</v>
      </c>
      <c r="F53" s="255">
        <f t="shared" si="1"/>
        <v>233872</v>
      </c>
      <c r="G53" s="56"/>
    </row>
    <row r="54" spans="1:7" s="290" customFormat="1" ht="24" customHeight="1">
      <c r="A54" s="260">
        <v>3</v>
      </c>
      <c r="B54" s="260">
        <v>13</v>
      </c>
      <c r="C54" s="262" t="s">
        <v>203</v>
      </c>
      <c r="D54" s="281">
        <f>2500+2500</f>
        <v>5000</v>
      </c>
      <c r="E54" s="256"/>
      <c r="F54" s="255">
        <f t="shared" si="1"/>
        <v>238872</v>
      </c>
      <c r="G54" s="248"/>
    </row>
    <row r="55" spans="1:7" s="290" customFormat="1" ht="24" customHeight="1">
      <c r="A55" s="260">
        <v>3</v>
      </c>
      <c r="B55" s="260">
        <v>15</v>
      </c>
      <c r="C55" s="262" t="s">
        <v>201</v>
      </c>
      <c r="D55" s="281">
        <v>2500</v>
      </c>
      <c r="E55" s="256"/>
      <c r="F55" s="255">
        <f t="shared" si="1"/>
        <v>241372</v>
      </c>
      <c r="G55" s="248"/>
    </row>
    <row r="56" spans="1:7" s="290" customFormat="1" ht="24" customHeight="1">
      <c r="A56" s="260">
        <v>3</v>
      </c>
      <c r="B56" s="260">
        <v>22</v>
      </c>
      <c r="C56" s="262" t="s">
        <v>204</v>
      </c>
      <c r="D56" s="281">
        <v>5000</v>
      </c>
      <c r="E56" s="256"/>
      <c r="F56" s="255">
        <f t="shared" si="1"/>
        <v>246372</v>
      </c>
      <c r="G56" s="248"/>
    </row>
    <row r="57" spans="1:7" s="290" customFormat="1" ht="24" customHeight="1">
      <c r="A57" s="260">
        <v>3</v>
      </c>
      <c r="B57" s="260">
        <v>25</v>
      </c>
      <c r="C57" s="262" t="s">
        <v>206</v>
      </c>
      <c r="D57" s="281"/>
      <c r="E57" s="256">
        <v>1400</v>
      </c>
      <c r="F57" s="255">
        <f t="shared" si="1"/>
        <v>244972</v>
      </c>
      <c r="G57" s="248"/>
    </row>
    <row r="58" spans="1:7" s="290" customFormat="1" ht="24" customHeight="1">
      <c r="A58" s="260">
        <v>3</v>
      </c>
      <c r="B58" s="260">
        <v>30</v>
      </c>
      <c r="C58" s="262" t="s">
        <v>202</v>
      </c>
      <c r="D58" s="281">
        <v>116100</v>
      </c>
      <c r="E58" s="256"/>
      <c r="F58" s="255">
        <f t="shared" si="1"/>
        <v>361072</v>
      </c>
      <c r="G58" s="248"/>
    </row>
    <row r="59" spans="1:7" s="290" customFormat="1" ht="24" customHeight="1">
      <c r="A59" s="260">
        <v>3</v>
      </c>
      <c r="B59" s="260">
        <v>30</v>
      </c>
      <c r="C59" s="262" t="s">
        <v>205</v>
      </c>
      <c r="D59" s="281">
        <v>6000</v>
      </c>
      <c r="E59" s="256"/>
      <c r="F59" s="255">
        <f t="shared" si="1"/>
        <v>367072</v>
      </c>
      <c r="G59" s="248"/>
    </row>
    <row r="60" spans="1:7" s="290" customFormat="1" ht="24" customHeight="1" thickBot="1">
      <c r="A60" s="261">
        <v>4</v>
      </c>
      <c r="B60" s="261">
        <v>3</v>
      </c>
      <c r="C60" s="257" t="s">
        <v>211</v>
      </c>
      <c r="D60" s="258"/>
      <c r="E60" s="259">
        <v>140280</v>
      </c>
      <c r="F60" s="258">
        <f t="shared" si="1"/>
        <v>226792</v>
      </c>
      <c r="G60" s="292"/>
    </row>
    <row r="61" spans="1:7" s="290" customFormat="1" ht="24" customHeight="1" thickTop="1">
      <c r="A61" s="4">
        <v>4</v>
      </c>
      <c r="B61" s="4">
        <v>6</v>
      </c>
      <c r="C61" s="59" t="s">
        <v>212</v>
      </c>
      <c r="D61" s="41">
        <v>600</v>
      </c>
      <c r="E61" s="5"/>
      <c r="F61" s="255">
        <f t="shared" si="1"/>
        <v>227392</v>
      </c>
      <c r="G61" s="56"/>
    </row>
    <row r="62" spans="1:7" s="290" customFormat="1" ht="24" customHeight="1">
      <c r="A62" s="4">
        <v>4</v>
      </c>
      <c r="B62" s="4">
        <v>13</v>
      </c>
      <c r="C62" s="56" t="s">
        <v>213</v>
      </c>
      <c r="D62" s="41">
        <v>2800</v>
      </c>
      <c r="E62" s="5"/>
      <c r="F62" s="255">
        <f>F61+D62-E62</f>
        <v>230192</v>
      </c>
      <c r="G62" s="294"/>
    </row>
    <row r="63" spans="1:7" s="290" customFormat="1" ht="24" customHeight="1">
      <c r="A63" s="4">
        <v>4</v>
      </c>
      <c r="B63" s="4">
        <v>17</v>
      </c>
      <c r="C63" s="59" t="s">
        <v>215</v>
      </c>
      <c r="D63" s="60">
        <f>2500*3</f>
        <v>7500</v>
      </c>
      <c r="E63" s="5"/>
      <c r="F63" s="255">
        <f t="shared" si="1"/>
        <v>237692</v>
      </c>
      <c r="G63" s="294"/>
    </row>
    <row r="64" spans="1:7" s="290" customFormat="1" ht="24" customHeight="1">
      <c r="A64" s="4">
        <v>4</v>
      </c>
      <c r="B64" s="4">
        <v>18</v>
      </c>
      <c r="C64" s="59" t="s">
        <v>216</v>
      </c>
      <c r="D64" s="41">
        <v>2500</v>
      </c>
      <c r="E64" s="5"/>
      <c r="F64" s="255">
        <f t="shared" si="1"/>
        <v>240192</v>
      </c>
      <c r="G64" s="56"/>
    </row>
    <row r="65" spans="1:9" s="290" customFormat="1" ht="24" customHeight="1">
      <c r="A65" s="4">
        <v>4</v>
      </c>
      <c r="B65" s="4">
        <v>19</v>
      </c>
      <c r="C65" s="59" t="s">
        <v>217</v>
      </c>
      <c r="D65" s="41">
        <f>2500*2</f>
        <v>5000</v>
      </c>
      <c r="E65" s="5"/>
      <c r="F65" s="255">
        <f t="shared" si="1"/>
        <v>245192</v>
      </c>
      <c r="G65" s="294"/>
    </row>
    <row r="66" spans="1:9" s="290" customFormat="1" ht="24" customHeight="1">
      <c r="A66" s="4">
        <v>4</v>
      </c>
      <c r="B66" s="4">
        <v>20</v>
      </c>
      <c r="C66" s="59" t="s">
        <v>218</v>
      </c>
      <c r="D66" s="227">
        <v>2500</v>
      </c>
      <c r="E66" s="5"/>
      <c r="F66" s="255">
        <f t="shared" si="1"/>
        <v>247692</v>
      </c>
      <c r="G66" s="56"/>
    </row>
    <row r="67" spans="1:9" s="290" customFormat="1" ht="24" customHeight="1">
      <c r="A67" s="4">
        <v>4</v>
      </c>
      <c r="B67" s="4">
        <v>21</v>
      </c>
      <c r="C67" s="59" t="s">
        <v>221</v>
      </c>
      <c r="D67" s="41">
        <f>2400+2500</f>
        <v>4900</v>
      </c>
      <c r="E67" s="5"/>
      <c r="F67" s="255">
        <f t="shared" si="1"/>
        <v>252592</v>
      </c>
      <c r="G67" s="56"/>
    </row>
    <row r="68" spans="1:9" s="290" customFormat="1" ht="24" customHeight="1">
      <c r="A68" s="242">
        <v>4</v>
      </c>
      <c r="B68" s="242">
        <v>22</v>
      </c>
      <c r="C68" s="253" t="s">
        <v>225</v>
      </c>
      <c r="D68" s="243"/>
      <c r="E68" s="244">
        <v>60</v>
      </c>
      <c r="F68" s="255">
        <f t="shared" si="1"/>
        <v>252532</v>
      </c>
      <c r="G68" s="248"/>
    </row>
    <row r="69" spans="1:9" s="290" customFormat="1" ht="24" customHeight="1">
      <c r="A69" s="242">
        <v>4</v>
      </c>
      <c r="B69" s="242">
        <v>22</v>
      </c>
      <c r="C69" s="253" t="s">
        <v>206</v>
      </c>
      <c r="D69" s="243"/>
      <c r="E69" s="244">
        <v>1400</v>
      </c>
      <c r="F69" s="255">
        <f t="shared" si="1"/>
        <v>251132</v>
      </c>
      <c r="G69" s="248"/>
    </row>
    <row r="70" spans="1:9" s="290" customFormat="1" ht="24" customHeight="1">
      <c r="A70" s="242">
        <v>4</v>
      </c>
      <c r="B70" s="242">
        <v>22</v>
      </c>
      <c r="C70" s="253" t="s">
        <v>226</v>
      </c>
      <c r="D70" s="243"/>
      <c r="E70" s="244">
        <v>1400</v>
      </c>
      <c r="F70" s="255">
        <f t="shared" si="1"/>
        <v>249732</v>
      </c>
      <c r="G70" s="248"/>
    </row>
    <row r="71" spans="1:9" s="290" customFormat="1" ht="24" customHeight="1">
      <c r="A71" s="4">
        <v>4</v>
      </c>
      <c r="B71" s="4">
        <v>24</v>
      </c>
      <c r="C71" s="59" t="s">
        <v>204</v>
      </c>
      <c r="D71" s="41">
        <v>5000</v>
      </c>
      <c r="E71" s="5"/>
      <c r="F71" s="255">
        <f t="shared" si="1"/>
        <v>254732</v>
      </c>
      <c r="G71" s="56"/>
    </row>
    <row r="72" spans="1:9" s="290" customFormat="1" ht="24" customHeight="1">
      <c r="A72" s="4">
        <v>4</v>
      </c>
      <c r="B72" s="4">
        <v>24</v>
      </c>
      <c r="C72" s="59" t="s">
        <v>220</v>
      </c>
      <c r="D72" s="41">
        <v>2500</v>
      </c>
      <c r="E72" s="5"/>
      <c r="F72" s="255">
        <f t="shared" si="1"/>
        <v>257232</v>
      </c>
      <c r="G72" s="294"/>
    </row>
    <row r="73" spans="1:9" s="290" customFormat="1" ht="24" customHeight="1">
      <c r="A73" s="4">
        <v>4</v>
      </c>
      <c r="B73" s="4">
        <v>26</v>
      </c>
      <c r="C73" s="56" t="s">
        <v>219</v>
      </c>
      <c r="D73" s="41">
        <v>5000</v>
      </c>
      <c r="E73" s="5"/>
      <c r="F73" s="255">
        <f t="shared" si="1"/>
        <v>262232</v>
      </c>
      <c r="G73" s="294"/>
    </row>
    <row r="74" spans="1:9" s="290" customFormat="1" ht="24" customHeight="1">
      <c r="A74" s="242">
        <v>4</v>
      </c>
      <c r="B74" s="242">
        <v>27</v>
      </c>
      <c r="C74" s="248" t="s">
        <v>227</v>
      </c>
      <c r="D74" s="243">
        <v>114100</v>
      </c>
      <c r="E74" s="244"/>
      <c r="F74" s="255">
        <f t="shared" si="1"/>
        <v>376332</v>
      </c>
      <c r="G74" s="295"/>
      <c r="I74" s="293"/>
    </row>
    <row r="75" spans="1:9" s="290" customFormat="1" ht="24" customHeight="1">
      <c r="A75" s="242">
        <v>4</v>
      </c>
      <c r="B75" s="242">
        <v>27</v>
      </c>
      <c r="C75" s="248" t="s">
        <v>229</v>
      </c>
      <c r="D75" s="243">
        <v>700</v>
      </c>
      <c r="E75" s="244"/>
      <c r="F75" s="255">
        <f t="shared" si="1"/>
        <v>377032</v>
      </c>
      <c r="G75" s="295"/>
      <c r="I75" s="293"/>
    </row>
    <row r="76" spans="1:9" s="290" customFormat="1" ht="24" customHeight="1">
      <c r="A76" s="4">
        <v>5</v>
      </c>
      <c r="B76" s="4">
        <v>1</v>
      </c>
      <c r="C76" s="56" t="s">
        <v>222</v>
      </c>
      <c r="D76" s="41">
        <v>2400</v>
      </c>
      <c r="E76" s="5"/>
      <c r="F76" s="255">
        <f t="shared" si="1"/>
        <v>379432</v>
      </c>
      <c r="G76" s="296"/>
    </row>
    <row r="77" spans="1:9" s="290" customFormat="1" ht="24" customHeight="1">
      <c r="A77" s="4">
        <v>5</v>
      </c>
      <c r="B77" s="4">
        <v>1</v>
      </c>
      <c r="C77" s="56" t="s">
        <v>228</v>
      </c>
      <c r="D77" s="41"/>
      <c r="E77" s="5">
        <f>118400+20</f>
        <v>118420</v>
      </c>
      <c r="F77" s="255">
        <f t="shared" si="1"/>
        <v>261012</v>
      </c>
      <c r="G77" s="296"/>
    </row>
    <row r="78" spans="1:9" s="290" customFormat="1" ht="24" customHeight="1" thickBot="1">
      <c r="A78" s="261">
        <v>5</v>
      </c>
      <c r="B78" s="261">
        <v>4</v>
      </c>
      <c r="C78" s="257" t="s">
        <v>230</v>
      </c>
      <c r="D78" s="258">
        <v>5000</v>
      </c>
      <c r="E78" s="259"/>
      <c r="F78" s="258">
        <f t="shared" si="1"/>
        <v>266012</v>
      </c>
      <c r="G78" s="292"/>
    </row>
    <row r="79" spans="1:9" s="290" customFormat="1" ht="24" customHeight="1" thickTop="1">
      <c r="A79" s="260">
        <v>5</v>
      </c>
      <c r="B79" s="260">
        <v>8</v>
      </c>
      <c r="C79" s="254" t="s">
        <v>231</v>
      </c>
      <c r="D79" s="255">
        <v>1200</v>
      </c>
      <c r="E79" s="256"/>
      <c r="F79" s="255">
        <f t="shared" si="1"/>
        <v>267212</v>
      </c>
      <c r="G79" s="297"/>
    </row>
    <row r="80" spans="1:9" s="290" customFormat="1" ht="24" customHeight="1">
      <c r="A80" s="4">
        <v>5</v>
      </c>
      <c r="B80" s="4">
        <v>8</v>
      </c>
      <c r="C80" s="59" t="s">
        <v>232</v>
      </c>
      <c r="D80" s="41">
        <v>1200</v>
      </c>
      <c r="E80" s="5"/>
      <c r="F80" s="255">
        <f t="shared" si="1"/>
        <v>268412</v>
      </c>
      <c r="G80" s="294"/>
    </row>
    <row r="81" spans="1:7" s="290" customFormat="1" ht="24" customHeight="1">
      <c r="A81" s="4">
        <v>5</v>
      </c>
      <c r="B81" s="4">
        <v>8</v>
      </c>
      <c r="C81" s="59" t="s">
        <v>233</v>
      </c>
      <c r="D81" s="41">
        <v>600</v>
      </c>
      <c r="E81" s="5"/>
      <c r="F81" s="255">
        <f t="shared" si="1"/>
        <v>269012</v>
      </c>
      <c r="G81" s="294"/>
    </row>
    <row r="82" spans="1:7" s="290" customFormat="1" ht="24" customHeight="1">
      <c r="A82" s="4">
        <v>5</v>
      </c>
      <c r="B82" s="4">
        <v>10</v>
      </c>
      <c r="C82" s="56" t="s">
        <v>244</v>
      </c>
      <c r="D82" s="41">
        <f>2500*3</f>
        <v>7500</v>
      </c>
      <c r="E82" s="5"/>
      <c r="F82" s="255">
        <f t="shared" si="1"/>
        <v>276512</v>
      </c>
      <c r="G82" s="294"/>
    </row>
    <row r="83" spans="1:7" s="290" customFormat="1" ht="24" customHeight="1">
      <c r="A83" s="4">
        <v>5</v>
      </c>
      <c r="B83" s="4">
        <v>11</v>
      </c>
      <c r="C83" s="59" t="s">
        <v>236</v>
      </c>
      <c r="D83" s="41"/>
      <c r="E83" s="5">
        <v>3500</v>
      </c>
      <c r="F83" s="255">
        <f t="shared" si="1"/>
        <v>273012</v>
      </c>
      <c r="G83" s="294"/>
    </row>
    <row r="84" spans="1:7" s="290" customFormat="1" ht="24" customHeight="1">
      <c r="A84" s="4">
        <v>5</v>
      </c>
      <c r="B84" s="4">
        <v>12</v>
      </c>
      <c r="C84" s="59" t="s">
        <v>241</v>
      </c>
      <c r="D84" s="227">
        <f>2500*2+2400</f>
        <v>7400</v>
      </c>
      <c r="E84" s="5"/>
      <c r="F84" s="255">
        <f t="shared" si="1"/>
        <v>280412</v>
      </c>
      <c r="G84" s="294"/>
    </row>
    <row r="85" spans="1:7" s="290" customFormat="1" ht="24" customHeight="1">
      <c r="A85" s="4">
        <v>5</v>
      </c>
      <c r="B85" s="4">
        <v>15</v>
      </c>
      <c r="C85" s="59" t="s">
        <v>242</v>
      </c>
      <c r="D85" s="41">
        <v>2500</v>
      </c>
      <c r="E85" s="5"/>
      <c r="F85" s="255">
        <f t="shared" si="1"/>
        <v>282912</v>
      </c>
      <c r="G85" s="56"/>
    </row>
    <row r="86" spans="1:7" s="290" customFormat="1" ht="24" customHeight="1">
      <c r="A86" s="4">
        <v>5</v>
      </c>
      <c r="B86" s="4">
        <v>16</v>
      </c>
      <c r="C86" s="59" t="s">
        <v>201</v>
      </c>
      <c r="D86" s="41">
        <v>2500</v>
      </c>
      <c r="E86" s="5"/>
      <c r="F86" s="255">
        <f t="shared" si="1"/>
        <v>285412</v>
      </c>
      <c r="G86" s="294"/>
    </row>
    <row r="87" spans="1:7" s="290" customFormat="1" ht="24" customHeight="1">
      <c r="A87" s="4">
        <v>5</v>
      </c>
      <c r="B87" s="4">
        <v>19</v>
      </c>
      <c r="C87" s="59" t="s">
        <v>243</v>
      </c>
      <c r="D87" s="41">
        <v>2500</v>
      </c>
      <c r="E87" s="5"/>
      <c r="F87" s="255">
        <f t="shared" si="1"/>
        <v>287912</v>
      </c>
      <c r="G87" s="294"/>
    </row>
    <row r="88" spans="1:7" s="290" customFormat="1" ht="24" customHeight="1">
      <c r="A88" s="242">
        <v>5</v>
      </c>
      <c r="B88" s="242">
        <v>20</v>
      </c>
      <c r="C88" s="253" t="s">
        <v>237</v>
      </c>
      <c r="D88" s="243">
        <v>2100</v>
      </c>
      <c r="E88" s="244"/>
      <c r="F88" s="255">
        <f t="shared" si="1"/>
        <v>290012</v>
      </c>
      <c r="G88" s="295"/>
    </row>
    <row r="89" spans="1:7" s="290" customFormat="1" ht="24" customHeight="1">
      <c r="A89" s="242">
        <v>5</v>
      </c>
      <c r="B89" s="242">
        <v>20</v>
      </c>
      <c r="C89" s="253" t="s">
        <v>238</v>
      </c>
      <c r="D89" s="243">
        <f>1800+1200</f>
        <v>3000</v>
      </c>
      <c r="E89" s="244"/>
      <c r="F89" s="255">
        <f t="shared" si="1"/>
        <v>293012</v>
      </c>
      <c r="G89" s="295"/>
    </row>
    <row r="90" spans="1:7" s="290" customFormat="1" ht="24" customHeight="1">
      <c r="A90" s="4">
        <v>5</v>
      </c>
      <c r="B90" s="4">
        <v>29</v>
      </c>
      <c r="C90" s="59" t="s">
        <v>245</v>
      </c>
      <c r="D90" s="41"/>
      <c r="E90" s="5">
        <v>352</v>
      </c>
      <c r="F90" s="255">
        <f t="shared" si="1"/>
        <v>292660</v>
      </c>
      <c r="G90" s="56"/>
    </row>
    <row r="91" spans="1:7" s="290" customFormat="1" ht="24" customHeight="1">
      <c r="A91" s="242">
        <v>5</v>
      </c>
      <c r="B91" s="242">
        <v>29</v>
      </c>
      <c r="C91" s="253" t="s">
        <v>165</v>
      </c>
      <c r="D91" s="243"/>
      <c r="E91" s="244">
        <v>1400</v>
      </c>
      <c r="F91" s="255">
        <f t="shared" si="1"/>
        <v>291260</v>
      </c>
      <c r="G91" s="248"/>
    </row>
    <row r="92" spans="1:7" s="290" customFormat="1" ht="24" customHeight="1">
      <c r="A92" s="4">
        <v>5</v>
      </c>
      <c r="B92" s="4">
        <v>30</v>
      </c>
      <c r="C92" s="56" t="s">
        <v>204</v>
      </c>
      <c r="D92" s="41">
        <v>5000</v>
      </c>
      <c r="E92" s="5"/>
      <c r="F92" s="255">
        <f t="shared" si="1"/>
        <v>296260</v>
      </c>
      <c r="G92" s="56"/>
    </row>
    <row r="93" spans="1:7" s="290" customFormat="1" ht="24" customHeight="1">
      <c r="A93" s="242">
        <v>5</v>
      </c>
      <c r="B93" s="242">
        <v>30</v>
      </c>
      <c r="C93" s="253" t="s">
        <v>239</v>
      </c>
      <c r="D93" s="243"/>
      <c r="E93" s="244">
        <v>500</v>
      </c>
      <c r="F93" s="255">
        <f t="shared" si="1"/>
        <v>295760</v>
      </c>
      <c r="G93" s="248"/>
    </row>
    <row r="94" spans="1:7" s="290" customFormat="1" ht="24" customHeight="1">
      <c r="A94" s="242">
        <v>5</v>
      </c>
      <c r="B94" s="242">
        <v>30</v>
      </c>
      <c r="C94" s="253" t="s">
        <v>246</v>
      </c>
      <c r="D94" s="243">
        <v>123900</v>
      </c>
      <c r="E94" s="244"/>
      <c r="F94" s="255">
        <f t="shared" si="1"/>
        <v>419660</v>
      </c>
      <c r="G94" s="248"/>
    </row>
    <row r="95" spans="1:7" s="290" customFormat="1" ht="24" customHeight="1">
      <c r="A95" s="4">
        <v>5</v>
      </c>
      <c r="B95" s="4">
        <v>31</v>
      </c>
      <c r="C95" s="59" t="s">
        <v>175</v>
      </c>
      <c r="D95" s="41">
        <v>2400</v>
      </c>
      <c r="E95" s="5"/>
      <c r="F95" s="255">
        <f t="shared" si="1"/>
        <v>422060</v>
      </c>
      <c r="G95" s="298"/>
    </row>
    <row r="96" spans="1:7" s="290" customFormat="1" ht="24" customHeight="1">
      <c r="A96" s="4">
        <v>6</v>
      </c>
      <c r="B96" s="4">
        <v>2</v>
      </c>
      <c r="C96" s="56" t="s">
        <v>248</v>
      </c>
      <c r="D96" s="227">
        <v>2500</v>
      </c>
      <c r="E96" s="5"/>
      <c r="F96" s="255">
        <f t="shared" si="1"/>
        <v>424560</v>
      </c>
      <c r="G96" s="298"/>
    </row>
    <row r="97" spans="1:9" s="290" customFormat="1" ht="24" customHeight="1">
      <c r="A97" s="4">
        <v>6</v>
      </c>
      <c r="B97" s="4">
        <v>2</v>
      </c>
      <c r="C97" s="59" t="s">
        <v>249</v>
      </c>
      <c r="D97" s="41"/>
      <c r="E97" s="5">
        <v>570</v>
      </c>
      <c r="F97" s="255">
        <f t="shared" si="1"/>
        <v>423990</v>
      </c>
      <c r="G97" s="298"/>
    </row>
    <row r="98" spans="1:9" s="290" customFormat="1" ht="24" customHeight="1">
      <c r="A98" s="4">
        <v>6</v>
      </c>
      <c r="B98" s="4">
        <v>2</v>
      </c>
      <c r="C98" s="56" t="s">
        <v>254</v>
      </c>
      <c r="D98" s="41"/>
      <c r="E98" s="5">
        <v>9146</v>
      </c>
      <c r="F98" s="255">
        <f t="shared" si="1"/>
        <v>414844</v>
      </c>
      <c r="G98" s="298"/>
    </row>
    <row r="99" spans="1:9" s="290" customFormat="1" ht="24" customHeight="1">
      <c r="A99" s="4">
        <v>6</v>
      </c>
      <c r="B99" s="4">
        <v>2</v>
      </c>
      <c r="C99" s="56" t="s">
        <v>255</v>
      </c>
      <c r="D99" s="41"/>
      <c r="E99" s="5">
        <f>80*13</f>
        <v>1040</v>
      </c>
      <c r="F99" s="255">
        <f t="shared" si="1"/>
        <v>413804</v>
      </c>
      <c r="G99" s="294"/>
    </row>
    <row r="100" spans="1:9" s="290" customFormat="1" ht="24" customHeight="1">
      <c r="A100" s="4">
        <v>6</v>
      </c>
      <c r="B100" s="4">
        <v>2</v>
      </c>
      <c r="C100" s="56" t="s">
        <v>256</v>
      </c>
      <c r="D100" s="41">
        <v>6750</v>
      </c>
      <c r="E100" s="5"/>
      <c r="F100" s="255">
        <f t="shared" si="1"/>
        <v>420554</v>
      </c>
      <c r="G100" s="294"/>
      <c r="H100" s="299"/>
    </row>
    <row r="101" spans="1:9" s="290" customFormat="1" ht="24" customHeight="1">
      <c r="A101" s="4">
        <v>6</v>
      </c>
      <c r="B101" s="4">
        <v>2</v>
      </c>
      <c r="C101" s="59" t="s">
        <v>257</v>
      </c>
      <c r="D101" s="41"/>
      <c r="E101" s="5">
        <v>138735</v>
      </c>
      <c r="F101" s="255">
        <f t="shared" si="1"/>
        <v>281819</v>
      </c>
      <c r="G101" s="294"/>
    </row>
    <row r="102" spans="1:9" s="290" customFormat="1" ht="24" customHeight="1">
      <c r="A102" s="4">
        <v>6</v>
      </c>
      <c r="B102" s="4">
        <v>2</v>
      </c>
      <c r="C102" s="59" t="s">
        <v>258</v>
      </c>
      <c r="D102" s="41"/>
      <c r="E102" s="5">
        <v>180</v>
      </c>
      <c r="F102" s="255">
        <f t="shared" si="1"/>
        <v>281639</v>
      </c>
      <c r="G102" s="294"/>
    </row>
    <row r="103" spans="1:9" s="290" customFormat="1" ht="24" customHeight="1" thickBot="1">
      <c r="A103" s="261">
        <v>6</v>
      </c>
      <c r="B103" s="261">
        <v>5</v>
      </c>
      <c r="C103" s="257" t="s">
        <v>259</v>
      </c>
      <c r="D103" s="258">
        <v>4800</v>
      </c>
      <c r="E103" s="259"/>
      <c r="F103" s="258">
        <f t="shared" si="1"/>
        <v>286439</v>
      </c>
      <c r="G103" s="292"/>
    </row>
    <row r="104" spans="1:9" s="290" customFormat="1" ht="24" customHeight="1" thickTop="1">
      <c r="A104" s="4">
        <v>6</v>
      </c>
      <c r="B104" s="4">
        <v>5</v>
      </c>
      <c r="C104" s="59" t="s">
        <v>265</v>
      </c>
      <c r="D104" s="41">
        <f>2500+2400+2500</f>
        <v>7400</v>
      </c>
      <c r="E104" s="5"/>
      <c r="F104" s="255">
        <f t="shared" si="1"/>
        <v>293839</v>
      </c>
      <c r="G104" s="294"/>
      <c r="I104" s="293"/>
    </row>
    <row r="105" spans="1:9" s="290" customFormat="1" ht="24" customHeight="1">
      <c r="A105" s="4">
        <v>6</v>
      </c>
      <c r="B105" s="4">
        <v>8</v>
      </c>
      <c r="C105" s="56" t="s">
        <v>264</v>
      </c>
      <c r="D105" s="41"/>
      <c r="E105" s="5">
        <v>2550</v>
      </c>
      <c r="F105" s="255">
        <f t="shared" si="1"/>
        <v>291289</v>
      </c>
      <c r="G105" s="294"/>
      <c r="H105" s="300"/>
    </row>
    <row r="106" spans="1:9" s="290" customFormat="1" ht="24" customHeight="1">
      <c r="A106" s="4">
        <v>6</v>
      </c>
      <c r="B106" s="4">
        <v>10</v>
      </c>
      <c r="C106" s="56" t="s">
        <v>260</v>
      </c>
      <c r="D106" s="41"/>
      <c r="E106" s="5">
        <v>10000</v>
      </c>
      <c r="F106" s="255">
        <f t="shared" si="1"/>
        <v>281289</v>
      </c>
      <c r="G106" s="294"/>
      <c r="H106" s="300"/>
    </row>
    <row r="107" spans="1:9" s="290" customFormat="1" ht="24" customHeight="1">
      <c r="A107" s="4">
        <v>6</v>
      </c>
      <c r="B107" s="4">
        <v>10</v>
      </c>
      <c r="C107" s="56" t="s">
        <v>261</v>
      </c>
      <c r="D107" s="41"/>
      <c r="E107" s="5">
        <v>5000</v>
      </c>
      <c r="F107" s="255">
        <f t="shared" si="1"/>
        <v>276289</v>
      </c>
      <c r="G107" s="294"/>
      <c r="H107" s="300"/>
    </row>
    <row r="108" spans="1:9" s="290" customFormat="1" ht="24" customHeight="1">
      <c r="A108" s="4">
        <v>6</v>
      </c>
      <c r="B108" s="4">
        <v>10</v>
      </c>
      <c r="C108" s="56" t="s">
        <v>194</v>
      </c>
      <c r="D108" s="41">
        <v>600</v>
      </c>
      <c r="E108" s="5"/>
      <c r="F108" s="255">
        <f t="shared" si="1"/>
        <v>276889</v>
      </c>
      <c r="G108" s="294"/>
      <c r="H108" s="300"/>
    </row>
    <row r="109" spans="1:9" s="290" customFormat="1" ht="24" customHeight="1">
      <c r="A109" s="4">
        <v>6</v>
      </c>
      <c r="B109" s="4">
        <v>10</v>
      </c>
      <c r="C109" s="56" t="s">
        <v>262</v>
      </c>
      <c r="D109" s="41">
        <v>1200</v>
      </c>
      <c r="E109" s="5"/>
      <c r="F109" s="255">
        <f t="shared" si="1"/>
        <v>278089</v>
      </c>
      <c r="G109" s="294"/>
      <c r="H109" s="300"/>
    </row>
    <row r="110" spans="1:9" s="290" customFormat="1" ht="24" customHeight="1">
      <c r="A110" s="4">
        <v>6</v>
      </c>
      <c r="B110" s="4">
        <v>10</v>
      </c>
      <c r="C110" s="56" t="s">
        <v>263</v>
      </c>
      <c r="D110" s="41">
        <v>900</v>
      </c>
      <c r="E110" s="5"/>
      <c r="F110" s="255">
        <f t="shared" si="1"/>
        <v>278989</v>
      </c>
      <c r="G110" s="294"/>
      <c r="H110" s="300"/>
    </row>
    <row r="111" spans="1:9" s="290" customFormat="1" ht="24" customHeight="1">
      <c r="A111" s="284">
        <v>6</v>
      </c>
      <c r="B111" s="284">
        <v>10</v>
      </c>
      <c r="C111" s="285" t="s">
        <v>279</v>
      </c>
      <c r="D111" s="41"/>
      <c r="E111" s="5">
        <v>25000</v>
      </c>
      <c r="F111" s="255">
        <f t="shared" si="1"/>
        <v>253989</v>
      </c>
      <c r="G111" s="294"/>
      <c r="H111" s="300"/>
    </row>
    <row r="112" spans="1:9" s="290" customFormat="1" ht="24" customHeight="1">
      <c r="A112" s="4">
        <v>6</v>
      </c>
      <c r="B112" s="4">
        <v>12</v>
      </c>
      <c r="C112" s="56" t="s">
        <v>268</v>
      </c>
      <c r="D112" s="227">
        <f>2500+2500+2500+900</f>
        <v>8400</v>
      </c>
      <c r="E112" s="5"/>
      <c r="F112" s="255">
        <f t="shared" si="1"/>
        <v>262389</v>
      </c>
      <c r="G112" s="294"/>
      <c r="H112" s="300"/>
    </row>
    <row r="113" spans="1:9" s="290" customFormat="1" ht="24" customHeight="1">
      <c r="A113" s="4">
        <v>6</v>
      </c>
      <c r="B113" s="4">
        <v>14</v>
      </c>
      <c r="C113" s="56" t="s">
        <v>269</v>
      </c>
      <c r="D113" s="41">
        <f>5000+2500</f>
        <v>7500</v>
      </c>
      <c r="E113" s="5"/>
      <c r="F113" s="255">
        <f t="shared" si="1"/>
        <v>269889</v>
      </c>
      <c r="G113" s="294"/>
    </row>
    <row r="114" spans="1:9" s="290" customFormat="1" ht="24" customHeight="1">
      <c r="A114" s="242">
        <v>6</v>
      </c>
      <c r="B114" s="242">
        <v>16</v>
      </c>
      <c r="C114" s="248" t="s">
        <v>273</v>
      </c>
      <c r="D114" s="243"/>
      <c r="E114" s="244">
        <v>8000</v>
      </c>
      <c r="F114" s="255">
        <f t="shared" si="1"/>
        <v>261889</v>
      </c>
      <c r="G114" s="295"/>
    </row>
    <row r="115" spans="1:9" s="290" customFormat="1" ht="24" customHeight="1">
      <c r="A115" s="242">
        <v>6</v>
      </c>
      <c r="B115" s="242">
        <v>18</v>
      </c>
      <c r="C115" s="248" t="s">
        <v>271</v>
      </c>
      <c r="D115" s="243"/>
      <c r="E115" s="244">
        <v>120</v>
      </c>
      <c r="F115" s="255">
        <f t="shared" si="1"/>
        <v>261769</v>
      </c>
      <c r="G115" s="295"/>
    </row>
    <row r="116" spans="1:9" s="290" customFormat="1" ht="24" customHeight="1">
      <c r="A116" s="242">
        <v>6</v>
      </c>
      <c r="B116" s="242">
        <v>20</v>
      </c>
      <c r="C116" s="248" t="s">
        <v>183</v>
      </c>
      <c r="D116" s="243"/>
      <c r="E116" s="244">
        <v>400</v>
      </c>
      <c r="F116" s="255">
        <f t="shared" ref="F116:F143" si="2">F115+D116-E116</f>
        <v>261369</v>
      </c>
      <c r="G116" s="295"/>
    </row>
    <row r="117" spans="1:9" s="290" customFormat="1" ht="24" customHeight="1">
      <c r="A117" s="242">
        <v>6</v>
      </c>
      <c r="B117" s="242">
        <v>21</v>
      </c>
      <c r="C117" s="248" t="s">
        <v>270</v>
      </c>
      <c r="D117" s="243">
        <v>665</v>
      </c>
      <c r="E117" s="244"/>
      <c r="F117" s="255">
        <f t="shared" si="2"/>
        <v>262034</v>
      </c>
      <c r="G117" s="295"/>
    </row>
    <row r="118" spans="1:9" s="290" customFormat="1" ht="24" customHeight="1">
      <c r="A118" s="242">
        <v>6</v>
      </c>
      <c r="B118" s="242">
        <v>21</v>
      </c>
      <c r="C118" s="248" t="s">
        <v>272</v>
      </c>
      <c r="D118" s="243"/>
      <c r="E118" s="244">
        <v>630</v>
      </c>
      <c r="F118" s="255">
        <f t="shared" si="2"/>
        <v>261404</v>
      </c>
      <c r="G118" s="295"/>
    </row>
    <row r="119" spans="1:9" s="290" customFormat="1" ht="24" customHeight="1">
      <c r="A119" s="242">
        <v>6</v>
      </c>
      <c r="B119" s="242">
        <v>27</v>
      </c>
      <c r="C119" s="248" t="s">
        <v>274</v>
      </c>
      <c r="D119" s="243"/>
      <c r="E119" s="244">
        <v>1400</v>
      </c>
      <c r="F119" s="255">
        <f t="shared" si="2"/>
        <v>260004</v>
      </c>
      <c r="G119" s="295"/>
    </row>
    <row r="120" spans="1:9" s="290" customFormat="1" ht="24" customHeight="1">
      <c r="A120" s="242">
        <v>7</v>
      </c>
      <c r="B120" s="242">
        <v>1</v>
      </c>
      <c r="C120" s="248" t="s">
        <v>283</v>
      </c>
      <c r="D120" s="243"/>
      <c r="E120" s="244">
        <f>135600+5*8</f>
        <v>135640</v>
      </c>
      <c r="F120" s="255">
        <f t="shared" si="2"/>
        <v>124364</v>
      </c>
      <c r="G120" s="295"/>
    </row>
    <row r="121" spans="1:9" s="290" customFormat="1" ht="24" customHeight="1">
      <c r="A121" s="242">
        <v>7</v>
      </c>
      <c r="B121" s="242">
        <v>1</v>
      </c>
      <c r="C121" s="248" t="s">
        <v>275</v>
      </c>
      <c r="D121" s="243">
        <v>104700</v>
      </c>
      <c r="E121" s="244"/>
      <c r="F121" s="255">
        <f t="shared" si="2"/>
        <v>229064</v>
      </c>
      <c r="G121" s="295"/>
      <c r="I121" s="293"/>
    </row>
    <row r="122" spans="1:9" s="290" customFormat="1" ht="24" customHeight="1">
      <c r="A122" s="242">
        <v>7</v>
      </c>
      <c r="B122" s="242">
        <v>1</v>
      </c>
      <c r="C122" s="248" t="s">
        <v>175</v>
      </c>
      <c r="D122" s="243">
        <v>2400</v>
      </c>
      <c r="E122" s="244"/>
      <c r="F122" s="255">
        <f t="shared" si="2"/>
        <v>231464</v>
      </c>
      <c r="G122" s="295"/>
    </row>
    <row r="123" spans="1:9" s="290" customFormat="1" ht="24" customHeight="1">
      <c r="A123" s="242">
        <v>7</v>
      </c>
      <c r="B123" s="242">
        <v>3</v>
      </c>
      <c r="C123" s="248" t="s">
        <v>278</v>
      </c>
      <c r="D123" s="243">
        <v>1200</v>
      </c>
      <c r="E123" s="244"/>
      <c r="F123" s="255">
        <f t="shared" si="2"/>
        <v>232664</v>
      </c>
      <c r="G123" s="295"/>
    </row>
    <row r="124" spans="1:9" s="290" customFormat="1" ht="24" customHeight="1" thickBot="1">
      <c r="A124" s="261">
        <v>7</v>
      </c>
      <c r="B124" s="261">
        <v>4</v>
      </c>
      <c r="C124" s="257" t="s">
        <v>280</v>
      </c>
      <c r="D124" s="258">
        <v>2400</v>
      </c>
      <c r="E124" s="259"/>
      <c r="F124" s="258">
        <f t="shared" si="2"/>
        <v>235064</v>
      </c>
      <c r="G124" s="292"/>
    </row>
    <row r="125" spans="1:9" s="290" customFormat="1" ht="24" customHeight="1" thickTop="1">
      <c r="A125" s="260">
        <v>7</v>
      </c>
      <c r="B125" s="260">
        <v>4</v>
      </c>
      <c r="C125" s="262" t="s">
        <v>285</v>
      </c>
      <c r="D125" s="255">
        <f>3500+5000+5000</f>
        <v>13500</v>
      </c>
      <c r="E125" s="256"/>
      <c r="F125" s="255">
        <f t="shared" si="2"/>
        <v>248564</v>
      </c>
      <c r="G125" s="301"/>
      <c r="I125" s="302"/>
    </row>
    <row r="126" spans="1:9" s="290" customFormat="1" ht="24" customHeight="1">
      <c r="A126" s="242">
        <v>7</v>
      </c>
      <c r="B126" s="242">
        <v>11</v>
      </c>
      <c r="C126" s="248" t="s">
        <v>286</v>
      </c>
      <c r="D126" s="243">
        <f>5000+5000</f>
        <v>10000</v>
      </c>
      <c r="E126" s="244"/>
      <c r="F126" s="255">
        <f t="shared" si="2"/>
        <v>258564</v>
      </c>
      <c r="G126" s="295"/>
      <c r="I126" s="302"/>
    </row>
    <row r="127" spans="1:9" s="290" customFormat="1" ht="24" customHeight="1">
      <c r="A127" s="242">
        <v>7</v>
      </c>
      <c r="B127" s="242">
        <v>12</v>
      </c>
      <c r="C127" s="248" t="s">
        <v>287</v>
      </c>
      <c r="D127" s="243">
        <f>5000+5000</f>
        <v>10000</v>
      </c>
      <c r="E127" s="244"/>
      <c r="F127" s="255">
        <f t="shared" si="2"/>
        <v>268564</v>
      </c>
      <c r="G127" s="295"/>
      <c r="I127" s="302"/>
    </row>
    <row r="128" spans="1:9" s="290" customFormat="1" ht="24" customHeight="1">
      <c r="A128" s="242">
        <v>7</v>
      </c>
      <c r="B128" s="242">
        <v>12</v>
      </c>
      <c r="C128" s="248" t="s">
        <v>288</v>
      </c>
      <c r="D128" s="243"/>
      <c r="E128" s="244">
        <v>846</v>
      </c>
      <c r="F128" s="255">
        <f t="shared" si="2"/>
        <v>267718</v>
      </c>
      <c r="G128" s="295"/>
      <c r="I128" s="302"/>
    </row>
    <row r="129" spans="1:9" s="290" customFormat="1" ht="24" customHeight="1">
      <c r="A129" s="242">
        <v>7</v>
      </c>
      <c r="B129" s="242">
        <v>14</v>
      </c>
      <c r="C129" s="248" t="s">
        <v>289</v>
      </c>
      <c r="D129" s="243">
        <v>5000</v>
      </c>
      <c r="E129" s="244"/>
      <c r="F129" s="255">
        <f t="shared" si="2"/>
        <v>272718</v>
      </c>
      <c r="G129" s="295"/>
      <c r="I129" s="302"/>
    </row>
    <row r="130" spans="1:9" s="290" customFormat="1" ht="24" customHeight="1">
      <c r="A130" s="242">
        <v>7</v>
      </c>
      <c r="B130" s="242">
        <v>14</v>
      </c>
      <c r="C130" s="248" t="s">
        <v>282</v>
      </c>
      <c r="D130" s="243">
        <v>600</v>
      </c>
      <c r="E130" s="244"/>
      <c r="F130" s="255">
        <f t="shared" si="2"/>
        <v>273318</v>
      </c>
      <c r="G130" s="295"/>
      <c r="I130" s="302"/>
    </row>
    <row r="131" spans="1:9" s="290" customFormat="1" ht="24" customHeight="1">
      <c r="A131" s="242">
        <v>7</v>
      </c>
      <c r="B131" s="242">
        <v>17</v>
      </c>
      <c r="C131" s="248" t="s">
        <v>290</v>
      </c>
      <c r="D131" s="243">
        <v>5000</v>
      </c>
      <c r="E131" s="244"/>
      <c r="F131" s="255">
        <f t="shared" si="2"/>
        <v>278318</v>
      </c>
      <c r="G131" s="295"/>
      <c r="I131" s="302"/>
    </row>
    <row r="132" spans="1:9" s="290" customFormat="1" ht="24" customHeight="1">
      <c r="A132" s="242">
        <v>7</v>
      </c>
      <c r="B132" s="242">
        <v>20</v>
      </c>
      <c r="C132" s="248" t="s">
        <v>291</v>
      </c>
      <c r="D132" s="243">
        <v>7000</v>
      </c>
      <c r="E132" s="244"/>
      <c r="F132" s="255">
        <f t="shared" si="2"/>
        <v>285318</v>
      </c>
      <c r="G132" s="295"/>
      <c r="I132" s="302"/>
    </row>
    <row r="133" spans="1:9" s="290" customFormat="1" ht="24" customHeight="1">
      <c r="A133" s="242">
        <v>7</v>
      </c>
      <c r="B133" s="242">
        <v>22</v>
      </c>
      <c r="C133" s="248" t="s">
        <v>206</v>
      </c>
      <c r="D133" s="243"/>
      <c r="E133" s="244">
        <v>1400</v>
      </c>
      <c r="F133" s="255">
        <f t="shared" si="2"/>
        <v>283918</v>
      </c>
      <c r="G133" s="295"/>
      <c r="I133" s="302"/>
    </row>
    <row r="134" spans="1:9" s="290" customFormat="1" ht="24" customHeight="1">
      <c r="A134" s="242">
        <v>7</v>
      </c>
      <c r="B134" s="242">
        <v>24</v>
      </c>
      <c r="C134" s="248" t="s">
        <v>292</v>
      </c>
      <c r="D134" s="243">
        <v>220700</v>
      </c>
      <c r="E134" s="244"/>
      <c r="F134" s="255">
        <f t="shared" si="2"/>
        <v>504618</v>
      </c>
      <c r="G134" s="295"/>
      <c r="I134" s="302"/>
    </row>
    <row r="135" spans="1:9" s="290" customFormat="1" ht="24" customHeight="1">
      <c r="A135" s="242">
        <v>7</v>
      </c>
      <c r="B135" s="242">
        <v>26</v>
      </c>
      <c r="C135" s="248" t="s">
        <v>293</v>
      </c>
      <c r="D135" s="243"/>
      <c r="E135" s="244">
        <v>4500</v>
      </c>
      <c r="F135" s="255">
        <f t="shared" si="2"/>
        <v>500118</v>
      </c>
      <c r="G135" s="295"/>
      <c r="I135" s="302"/>
    </row>
    <row r="136" spans="1:9" s="290" customFormat="1" ht="24" customHeight="1">
      <c r="A136" s="242">
        <v>8</v>
      </c>
      <c r="B136" s="242">
        <v>1</v>
      </c>
      <c r="C136" s="248" t="s">
        <v>161</v>
      </c>
      <c r="D136" s="243">
        <v>1200</v>
      </c>
      <c r="E136" s="244"/>
      <c r="F136" s="255">
        <f t="shared" si="2"/>
        <v>501318</v>
      </c>
      <c r="G136" s="295"/>
      <c r="I136" s="302"/>
    </row>
    <row r="137" spans="1:9" s="290" customFormat="1" ht="24" customHeight="1">
      <c r="A137" s="242">
        <v>8</v>
      </c>
      <c r="B137" s="242">
        <v>1</v>
      </c>
      <c r="C137" s="248" t="s">
        <v>283</v>
      </c>
      <c r="D137" s="243"/>
      <c r="E137" s="244">
        <v>216190</v>
      </c>
      <c r="F137" s="255">
        <f t="shared" si="2"/>
        <v>285128</v>
      </c>
      <c r="G137" s="295"/>
      <c r="I137" s="302"/>
    </row>
    <row r="138" spans="1:9" s="290" customFormat="1" ht="24" customHeight="1" thickBot="1">
      <c r="A138" s="261">
        <v>8</v>
      </c>
      <c r="B138" s="261">
        <v>1</v>
      </c>
      <c r="C138" s="287" t="s">
        <v>284</v>
      </c>
      <c r="D138" s="258">
        <v>25000</v>
      </c>
      <c r="E138" s="259"/>
      <c r="F138" s="258">
        <f t="shared" si="2"/>
        <v>310128</v>
      </c>
      <c r="G138" s="292"/>
    </row>
    <row r="139" spans="1:9" s="290" customFormat="1" ht="24" customHeight="1" thickTop="1">
      <c r="A139" s="242">
        <v>8</v>
      </c>
      <c r="B139" s="242">
        <v>1</v>
      </c>
      <c r="C139" s="248" t="s">
        <v>289</v>
      </c>
      <c r="D139" s="243">
        <v>5000</v>
      </c>
      <c r="E139" s="244"/>
      <c r="F139" s="255">
        <f t="shared" si="2"/>
        <v>315128</v>
      </c>
      <c r="G139" s="295"/>
      <c r="I139" s="302"/>
    </row>
    <row r="140" spans="1:9" s="290" customFormat="1" ht="24" customHeight="1">
      <c r="A140" s="242">
        <v>8</v>
      </c>
      <c r="B140" s="242">
        <v>11</v>
      </c>
      <c r="C140" s="248" t="s">
        <v>312</v>
      </c>
      <c r="D140" s="243">
        <v>1200</v>
      </c>
      <c r="E140" s="244"/>
      <c r="F140" s="255">
        <f t="shared" si="2"/>
        <v>316328</v>
      </c>
      <c r="G140" s="295"/>
      <c r="I140" s="302"/>
    </row>
    <row r="141" spans="1:9" s="290" customFormat="1" ht="24" customHeight="1">
      <c r="A141" s="242">
        <v>8</v>
      </c>
      <c r="B141" s="242">
        <v>11</v>
      </c>
      <c r="C141" s="248" t="s">
        <v>495</v>
      </c>
      <c r="D141" s="243"/>
      <c r="E141" s="244">
        <v>25410</v>
      </c>
      <c r="F141" s="288">
        <f t="shared" si="2"/>
        <v>290918</v>
      </c>
      <c r="G141" s="295"/>
      <c r="I141" s="302"/>
    </row>
    <row r="142" spans="1:9" s="290" customFormat="1" ht="24" customHeight="1">
      <c r="A142" s="242">
        <v>8</v>
      </c>
      <c r="B142" s="242">
        <v>11</v>
      </c>
      <c r="C142" s="248" t="s">
        <v>316</v>
      </c>
      <c r="D142" s="243">
        <f>5000+5000+7000</f>
        <v>17000</v>
      </c>
      <c r="E142" s="244"/>
      <c r="F142" s="255">
        <f t="shared" si="2"/>
        <v>307918</v>
      </c>
      <c r="G142" s="295"/>
      <c r="I142" s="302"/>
    </row>
    <row r="143" spans="1:9" ht="24" customHeight="1">
      <c r="A143" s="242">
        <v>8</v>
      </c>
      <c r="B143" s="242">
        <v>14</v>
      </c>
      <c r="C143" s="248" t="s">
        <v>396</v>
      </c>
      <c r="D143" s="243">
        <v>10000</v>
      </c>
      <c r="E143" s="303"/>
      <c r="F143" s="309">
        <f t="shared" si="2"/>
        <v>317918</v>
      </c>
      <c r="G143" s="296"/>
    </row>
    <row r="144" spans="1:9" ht="24" customHeight="1">
      <c r="A144" s="242">
        <v>8</v>
      </c>
      <c r="B144" s="242">
        <v>14</v>
      </c>
      <c r="C144" s="296" t="s">
        <v>175</v>
      </c>
      <c r="D144" s="243">
        <v>5000</v>
      </c>
      <c r="E144" s="303"/>
      <c r="F144" s="288">
        <f>F143+D144-E144</f>
        <v>322918</v>
      </c>
      <c r="G144" s="296"/>
    </row>
    <row r="145" spans="1:7" ht="24" customHeight="1">
      <c r="A145" s="242">
        <v>8</v>
      </c>
      <c r="B145" s="242">
        <v>15</v>
      </c>
      <c r="C145" s="296" t="s">
        <v>398</v>
      </c>
      <c r="D145" s="243">
        <v>7000</v>
      </c>
      <c r="E145" s="303"/>
      <c r="F145" s="288">
        <f>F144+D145-E145</f>
        <v>329918</v>
      </c>
      <c r="G145" s="296"/>
    </row>
    <row r="146" spans="1:7" ht="24" customHeight="1">
      <c r="A146" s="242">
        <v>8</v>
      </c>
      <c r="B146" s="242">
        <v>23</v>
      </c>
      <c r="C146" s="296" t="s">
        <v>397</v>
      </c>
      <c r="D146" s="243">
        <v>5000</v>
      </c>
      <c r="E146" s="303"/>
      <c r="F146" s="288">
        <f t="shared" ref="F146:F152" si="3">F145+D146-E146</f>
        <v>334918</v>
      </c>
      <c r="G146" s="296" t="s">
        <v>395</v>
      </c>
    </row>
    <row r="147" spans="1:7" ht="24" customHeight="1">
      <c r="A147" s="242">
        <v>8</v>
      </c>
      <c r="B147" s="242">
        <v>16</v>
      </c>
      <c r="C147" s="305" t="s">
        <v>510</v>
      </c>
      <c r="D147" s="305"/>
      <c r="E147" s="306">
        <v>1400</v>
      </c>
      <c r="F147" s="288">
        <f t="shared" si="3"/>
        <v>333518</v>
      </c>
      <c r="G147" s="296"/>
    </row>
    <row r="148" spans="1:7" ht="24" customHeight="1">
      <c r="A148" s="242">
        <v>8</v>
      </c>
      <c r="B148" s="242">
        <v>16</v>
      </c>
      <c r="C148" s="305" t="s">
        <v>494</v>
      </c>
      <c r="D148" s="305"/>
      <c r="E148" s="306">
        <v>600</v>
      </c>
      <c r="F148" s="288">
        <f t="shared" si="3"/>
        <v>332918</v>
      </c>
      <c r="G148" s="296"/>
    </row>
    <row r="149" spans="1:7" ht="24" customHeight="1">
      <c r="A149" s="242">
        <v>8</v>
      </c>
      <c r="B149" s="242">
        <v>16</v>
      </c>
      <c r="C149" s="305" t="s">
        <v>493</v>
      </c>
      <c r="D149" s="305"/>
      <c r="E149" s="306">
        <v>100</v>
      </c>
      <c r="F149" s="288">
        <f t="shared" si="3"/>
        <v>332818</v>
      </c>
      <c r="G149" s="296"/>
    </row>
    <row r="150" spans="1:7" ht="24" customHeight="1">
      <c r="A150" s="242">
        <v>8</v>
      </c>
      <c r="B150" s="242">
        <v>31</v>
      </c>
      <c r="C150" s="305" t="s">
        <v>492</v>
      </c>
      <c r="D150" s="305"/>
      <c r="E150" s="306">
        <v>815</v>
      </c>
      <c r="F150" s="288">
        <f t="shared" si="3"/>
        <v>332003</v>
      </c>
      <c r="G150" s="296"/>
    </row>
    <row r="151" spans="1:7" ht="24" customHeight="1">
      <c r="A151" s="242">
        <v>8</v>
      </c>
      <c r="B151" s="242">
        <v>29</v>
      </c>
      <c r="C151" s="305" t="s">
        <v>499</v>
      </c>
      <c r="D151" s="305">
        <v>186200</v>
      </c>
      <c r="E151" s="306"/>
      <c r="F151" s="288">
        <f t="shared" si="3"/>
        <v>518203</v>
      </c>
      <c r="G151" s="296"/>
    </row>
    <row r="152" spans="1:7" ht="24" customHeight="1">
      <c r="A152" s="242">
        <v>8</v>
      </c>
      <c r="B152" s="242">
        <v>31</v>
      </c>
      <c r="C152" s="305" t="s">
        <v>399</v>
      </c>
      <c r="D152" s="305">
        <v>2400</v>
      </c>
      <c r="E152" s="306"/>
      <c r="F152" s="288">
        <f t="shared" si="3"/>
        <v>520603</v>
      </c>
      <c r="G152" s="305"/>
    </row>
    <row r="153" spans="1:7" ht="25.5" customHeight="1" thickBot="1">
      <c r="A153" s="326">
        <v>8</v>
      </c>
      <c r="B153" s="326">
        <v>31</v>
      </c>
      <c r="C153" s="327" t="s">
        <v>496</v>
      </c>
      <c r="D153" s="327"/>
      <c r="E153" s="328">
        <v>265125</v>
      </c>
      <c r="F153" s="398">
        <f>F152+D153-E153</f>
        <v>255478</v>
      </c>
      <c r="G153" s="327"/>
    </row>
    <row r="154" spans="1:7" ht="23.25" customHeight="1">
      <c r="A154" s="393">
        <v>9</v>
      </c>
      <c r="B154" s="393">
        <v>6</v>
      </c>
      <c r="C154" s="394" t="s">
        <v>482</v>
      </c>
      <c r="D154" s="394"/>
      <c r="E154" s="396">
        <v>1400</v>
      </c>
      <c r="F154" s="409">
        <v>254078</v>
      </c>
      <c r="G154" s="394"/>
    </row>
    <row r="155" spans="1:7" ht="24" customHeight="1">
      <c r="A155" s="242">
        <v>9</v>
      </c>
      <c r="B155" s="242">
        <v>12</v>
      </c>
      <c r="C155" s="305" t="s">
        <v>400</v>
      </c>
      <c r="D155" s="305">
        <v>2800</v>
      </c>
      <c r="E155" s="306"/>
      <c r="F155" s="288">
        <v>256878</v>
      </c>
      <c r="G155" s="305"/>
    </row>
    <row r="156" spans="1:7" ht="24" customHeight="1">
      <c r="A156" s="242">
        <v>9</v>
      </c>
      <c r="B156" s="242">
        <v>14</v>
      </c>
      <c r="C156" s="305" t="s">
        <v>173</v>
      </c>
      <c r="D156" s="305">
        <v>2800</v>
      </c>
      <c r="E156" s="306"/>
      <c r="F156" s="288">
        <v>259678</v>
      </c>
      <c r="G156" s="288"/>
    </row>
    <row r="157" spans="1:7" ht="24" customHeight="1">
      <c r="A157" s="340">
        <v>9</v>
      </c>
      <c r="B157" s="340">
        <v>9</v>
      </c>
      <c r="C157" s="341" t="s">
        <v>491</v>
      </c>
      <c r="D157" s="341"/>
      <c r="E157" s="354">
        <v>1000</v>
      </c>
      <c r="F157" s="336">
        <v>258678</v>
      </c>
      <c r="G157" s="336"/>
    </row>
    <row r="158" spans="1:7" ht="24" customHeight="1">
      <c r="A158" s="242">
        <v>9</v>
      </c>
      <c r="B158" s="242">
        <v>9</v>
      </c>
      <c r="C158" s="305" t="s">
        <v>490</v>
      </c>
      <c r="D158" s="305"/>
      <c r="E158" s="306">
        <v>7415</v>
      </c>
      <c r="F158" s="288">
        <v>251263</v>
      </c>
      <c r="G158" s="305"/>
    </row>
    <row r="159" spans="1:7" ht="24" customHeight="1">
      <c r="A159" s="242">
        <v>9</v>
      </c>
      <c r="B159" s="242">
        <v>15</v>
      </c>
      <c r="C159" s="305" t="s">
        <v>489</v>
      </c>
      <c r="D159" s="305"/>
      <c r="E159" s="306">
        <v>2000</v>
      </c>
      <c r="F159" s="288">
        <v>249263</v>
      </c>
      <c r="G159" s="305"/>
    </row>
    <row r="160" spans="1:7" ht="24" customHeight="1">
      <c r="A160" s="242">
        <v>9</v>
      </c>
      <c r="B160" s="242">
        <v>15</v>
      </c>
      <c r="C160" s="305" t="s">
        <v>175</v>
      </c>
      <c r="D160" s="305">
        <v>2700</v>
      </c>
      <c r="E160" s="306"/>
      <c r="F160" s="288">
        <v>251963</v>
      </c>
      <c r="G160" s="305"/>
    </row>
    <row r="161" spans="1:7" ht="24" customHeight="1">
      <c r="A161" s="242">
        <v>9</v>
      </c>
      <c r="B161" s="242">
        <v>16</v>
      </c>
      <c r="C161" s="305" t="s">
        <v>243</v>
      </c>
      <c r="D161" s="305">
        <v>2800</v>
      </c>
      <c r="E161" s="306"/>
      <c r="F161" s="288">
        <v>254763</v>
      </c>
      <c r="G161" s="305"/>
    </row>
    <row r="162" spans="1:7" ht="24" customHeight="1">
      <c r="A162" s="242">
        <v>9</v>
      </c>
      <c r="B162" s="242">
        <v>18</v>
      </c>
      <c r="C162" s="305" t="s">
        <v>401</v>
      </c>
      <c r="D162" s="305">
        <v>4600</v>
      </c>
      <c r="E162" s="306"/>
      <c r="F162" s="288">
        <v>259363</v>
      </c>
      <c r="G162" s="305"/>
    </row>
    <row r="163" spans="1:7" ht="24" customHeight="1">
      <c r="A163" s="242">
        <v>9</v>
      </c>
      <c r="B163" s="242">
        <v>18</v>
      </c>
      <c r="C163" s="305" t="s">
        <v>201</v>
      </c>
      <c r="D163" s="305">
        <v>2800</v>
      </c>
      <c r="E163" s="306"/>
      <c r="F163" s="288">
        <v>262163</v>
      </c>
      <c r="G163" s="305"/>
    </row>
    <row r="164" spans="1:7" ht="24" customHeight="1">
      <c r="A164" s="242">
        <v>9</v>
      </c>
      <c r="B164" s="242">
        <v>18</v>
      </c>
      <c r="C164" s="305" t="s">
        <v>488</v>
      </c>
      <c r="D164" s="305"/>
      <c r="E164" s="306">
        <v>1200</v>
      </c>
      <c r="F164" s="288">
        <v>260963</v>
      </c>
      <c r="G164" s="305"/>
    </row>
    <row r="165" spans="1:7" ht="24" customHeight="1">
      <c r="A165" s="242">
        <v>9</v>
      </c>
      <c r="B165" s="242">
        <v>19</v>
      </c>
      <c r="C165" s="305" t="s">
        <v>403</v>
      </c>
      <c r="D165" s="305">
        <v>2800</v>
      </c>
      <c r="E165" s="306"/>
      <c r="F165" s="288">
        <v>263763</v>
      </c>
      <c r="G165" s="305"/>
    </row>
    <row r="166" spans="1:7" ht="24" customHeight="1">
      <c r="A166" s="242">
        <v>9</v>
      </c>
      <c r="B166" s="242">
        <v>21</v>
      </c>
      <c r="C166" s="305" t="s">
        <v>511</v>
      </c>
      <c r="D166" s="305"/>
      <c r="E166" s="306">
        <v>8000</v>
      </c>
      <c r="F166" s="288">
        <v>255763</v>
      </c>
      <c r="G166" s="305"/>
    </row>
    <row r="167" spans="1:7" ht="24" customHeight="1">
      <c r="A167" s="242">
        <v>9</v>
      </c>
      <c r="B167" s="242">
        <v>25</v>
      </c>
      <c r="C167" s="305" t="s">
        <v>509</v>
      </c>
      <c r="D167" s="305">
        <v>126700</v>
      </c>
      <c r="E167" s="306"/>
      <c r="F167" s="288">
        <v>382463</v>
      </c>
      <c r="G167" s="305"/>
    </row>
    <row r="168" spans="1:7" ht="24" customHeight="1">
      <c r="A168" s="242">
        <v>9</v>
      </c>
      <c r="B168" s="242">
        <v>26</v>
      </c>
      <c r="C168" s="305" t="s">
        <v>405</v>
      </c>
      <c r="D168" s="305">
        <v>5600</v>
      </c>
      <c r="E168" s="306"/>
      <c r="F168" s="288">
        <v>388063</v>
      </c>
      <c r="G168" s="305"/>
    </row>
    <row r="169" spans="1:7" ht="24" customHeight="1">
      <c r="A169" s="242">
        <v>9</v>
      </c>
      <c r="B169" s="242">
        <v>23</v>
      </c>
      <c r="C169" s="305" t="s">
        <v>406</v>
      </c>
      <c r="D169" s="305">
        <v>351</v>
      </c>
      <c r="E169" s="306"/>
      <c r="F169" s="288">
        <v>388414</v>
      </c>
      <c r="G169" s="305"/>
    </row>
    <row r="170" spans="1:7" ht="24" customHeight="1">
      <c r="A170" s="242">
        <v>9</v>
      </c>
      <c r="B170" s="242">
        <v>18</v>
      </c>
      <c r="C170" s="305" t="s">
        <v>487</v>
      </c>
      <c r="D170" s="305"/>
      <c r="E170" s="306">
        <v>3600</v>
      </c>
      <c r="F170" s="288">
        <v>384814</v>
      </c>
      <c r="G170" s="305"/>
    </row>
    <row r="171" spans="1:7" ht="24" customHeight="1">
      <c r="A171" s="326">
        <v>9</v>
      </c>
      <c r="B171" s="326">
        <v>23</v>
      </c>
      <c r="C171" s="327" t="s">
        <v>486</v>
      </c>
      <c r="D171" s="327"/>
      <c r="E171" s="328">
        <v>10562</v>
      </c>
      <c r="F171" s="329">
        <v>374252</v>
      </c>
      <c r="G171" s="327"/>
    </row>
    <row r="172" spans="1:7" ht="24" customHeight="1">
      <c r="A172" s="340">
        <v>9</v>
      </c>
      <c r="B172" s="340">
        <v>18</v>
      </c>
      <c r="C172" s="341" t="s">
        <v>438</v>
      </c>
      <c r="D172" s="341"/>
      <c r="E172" s="338">
        <v>351</v>
      </c>
      <c r="F172" s="342">
        <v>373901</v>
      </c>
      <c r="G172" s="341" t="s">
        <v>437</v>
      </c>
    </row>
    <row r="173" spans="1:7" ht="24" customHeight="1" thickBot="1">
      <c r="A173" s="326">
        <v>9</v>
      </c>
      <c r="B173" s="326">
        <v>31</v>
      </c>
      <c r="C173" s="403" t="s">
        <v>497</v>
      </c>
      <c r="D173" s="327"/>
      <c r="E173" s="402">
        <v>162575</v>
      </c>
      <c r="F173" s="398">
        <v>211326</v>
      </c>
      <c r="G173" s="327"/>
    </row>
    <row r="174" spans="1:7" ht="24" customHeight="1">
      <c r="A174" s="404">
        <v>10</v>
      </c>
      <c r="B174" s="405">
        <v>3</v>
      </c>
      <c r="C174" s="397" t="s">
        <v>485</v>
      </c>
      <c r="D174" s="406"/>
      <c r="E174" s="407">
        <v>640</v>
      </c>
      <c r="F174" s="408">
        <v>210686</v>
      </c>
      <c r="G174" s="406"/>
    </row>
    <row r="175" spans="1:7" ht="24" customHeight="1">
      <c r="A175" s="260">
        <v>10</v>
      </c>
      <c r="B175" s="340">
        <v>3</v>
      </c>
      <c r="C175" s="341" t="s">
        <v>435</v>
      </c>
      <c r="D175" s="337">
        <v>2800</v>
      </c>
      <c r="E175" s="330"/>
      <c r="F175" s="288">
        <v>213486</v>
      </c>
      <c r="G175" s="325"/>
    </row>
    <row r="176" spans="1:7" ht="24" customHeight="1">
      <c r="A176" s="242">
        <v>10</v>
      </c>
      <c r="B176" s="333">
        <v>6</v>
      </c>
      <c r="C176" s="334" t="s">
        <v>498</v>
      </c>
      <c r="D176" s="334">
        <v>1500</v>
      </c>
      <c r="E176" s="335"/>
      <c r="F176" s="336">
        <v>214986</v>
      </c>
      <c r="G176" s="334"/>
    </row>
    <row r="177" spans="1:7" ht="24" customHeight="1">
      <c r="A177" s="242">
        <v>10</v>
      </c>
      <c r="B177" s="344">
        <v>11</v>
      </c>
      <c r="C177" s="339" t="s">
        <v>456</v>
      </c>
      <c r="D177" s="331">
        <v>600</v>
      </c>
      <c r="E177" s="306"/>
      <c r="F177" s="288">
        <v>215586</v>
      </c>
      <c r="G177" s="305"/>
    </row>
    <row r="178" spans="1:7" ht="24" customHeight="1">
      <c r="A178" s="242">
        <v>10</v>
      </c>
      <c r="B178" s="242">
        <v>11</v>
      </c>
      <c r="C178" s="305" t="s">
        <v>457</v>
      </c>
      <c r="D178" s="332">
        <v>600</v>
      </c>
      <c r="E178" s="306"/>
      <c r="F178" s="288">
        <v>216186</v>
      </c>
      <c r="G178" s="305"/>
    </row>
    <row r="179" spans="1:7" ht="24" customHeight="1">
      <c r="A179" s="242">
        <v>10</v>
      </c>
      <c r="B179" s="242">
        <v>12</v>
      </c>
      <c r="C179" s="305" t="s">
        <v>422</v>
      </c>
      <c r="D179" s="305">
        <v>5600</v>
      </c>
      <c r="E179" s="306"/>
      <c r="F179" s="288">
        <v>221786</v>
      </c>
      <c r="G179" s="305"/>
    </row>
    <row r="180" spans="1:7" ht="24" customHeight="1">
      <c r="A180" s="242">
        <v>10</v>
      </c>
      <c r="B180" s="242">
        <v>12</v>
      </c>
      <c r="C180" s="305" t="s">
        <v>175</v>
      </c>
      <c r="D180" s="305">
        <v>2400</v>
      </c>
      <c r="E180" s="306"/>
      <c r="F180" s="288">
        <v>224186</v>
      </c>
      <c r="G180" s="305"/>
    </row>
    <row r="181" spans="1:7" ht="24" customHeight="1">
      <c r="A181" s="242">
        <v>10</v>
      </c>
      <c r="B181" s="242">
        <v>13</v>
      </c>
      <c r="C181" s="305" t="s">
        <v>400</v>
      </c>
      <c r="D181" s="305">
        <v>2500</v>
      </c>
      <c r="E181" s="306"/>
      <c r="F181" s="288">
        <v>226686</v>
      </c>
      <c r="G181" s="305"/>
    </row>
    <row r="182" spans="1:7" ht="24" customHeight="1">
      <c r="A182" s="242">
        <v>10</v>
      </c>
      <c r="B182" s="242">
        <v>14</v>
      </c>
      <c r="C182" s="305" t="s">
        <v>426</v>
      </c>
      <c r="D182" s="305">
        <v>2500</v>
      </c>
      <c r="E182" s="306"/>
      <c r="F182" s="324">
        <v>229186</v>
      </c>
      <c r="G182" s="305"/>
    </row>
    <row r="183" spans="1:7" ht="24" customHeight="1">
      <c r="A183" s="242">
        <v>10</v>
      </c>
      <c r="B183" s="242">
        <v>15</v>
      </c>
      <c r="C183" s="305" t="s">
        <v>428</v>
      </c>
      <c r="D183" s="305">
        <v>10000</v>
      </c>
      <c r="E183" s="306"/>
      <c r="F183" s="324">
        <v>239186</v>
      </c>
      <c r="G183" s="305"/>
    </row>
    <row r="184" spans="1:7" ht="24" customHeight="1">
      <c r="A184" s="242">
        <v>10</v>
      </c>
      <c r="B184" s="242">
        <v>18</v>
      </c>
      <c r="C184" s="305" t="s">
        <v>201</v>
      </c>
      <c r="D184" s="305">
        <v>2500</v>
      </c>
      <c r="E184" s="306"/>
      <c r="F184" s="324">
        <v>241686</v>
      </c>
      <c r="G184" s="305"/>
    </row>
    <row r="185" spans="1:7" ht="24" customHeight="1">
      <c r="A185" s="242">
        <v>10</v>
      </c>
      <c r="B185" s="242">
        <v>19</v>
      </c>
      <c r="C185" s="305" t="s">
        <v>429</v>
      </c>
      <c r="D185" s="305">
        <v>7500</v>
      </c>
      <c r="E185" s="306"/>
      <c r="F185" s="410">
        <v>249186</v>
      </c>
      <c r="G185" s="305"/>
    </row>
    <row r="186" spans="1:7" ht="24" customHeight="1">
      <c r="A186" s="242">
        <v>10</v>
      </c>
      <c r="B186" s="242">
        <v>21</v>
      </c>
      <c r="C186" s="305" t="s">
        <v>430</v>
      </c>
      <c r="D186" s="305">
        <v>3600</v>
      </c>
      <c r="E186" s="306"/>
      <c r="F186" s="410">
        <v>252786</v>
      </c>
      <c r="G186" s="305"/>
    </row>
    <row r="187" spans="1:7" ht="24" customHeight="1">
      <c r="A187" s="242">
        <v>10</v>
      </c>
      <c r="B187" s="242">
        <v>23</v>
      </c>
      <c r="C187" s="305" t="s">
        <v>263</v>
      </c>
      <c r="D187" s="305">
        <v>300</v>
      </c>
      <c r="E187" s="306"/>
      <c r="F187" s="410">
        <v>253086</v>
      </c>
      <c r="G187" s="305"/>
    </row>
    <row r="188" spans="1:7" ht="24" customHeight="1">
      <c r="A188" s="242">
        <v>10</v>
      </c>
      <c r="B188" s="242">
        <v>23</v>
      </c>
      <c r="C188" s="305" t="s">
        <v>433</v>
      </c>
      <c r="D188" s="305">
        <v>1200</v>
      </c>
      <c r="E188" s="306"/>
      <c r="F188" s="410">
        <v>254286</v>
      </c>
      <c r="G188" s="305"/>
    </row>
    <row r="189" spans="1:7" ht="24" customHeight="1">
      <c r="A189" s="242">
        <v>10</v>
      </c>
      <c r="B189" s="242">
        <v>24</v>
      </c>
      <c r="C189" s="305" t="s">
        <v>484</v>
      </c>
      <c r="D189" s="305"/>
      <c r="E189" s="306">
        <v>4400</v>
      </c>
      <c r="F189" s="410">
        <v>249886</v>
      </c>
      <c r="G189" s="305"/>
    </row>
    <row r="190" spans="1:7" ht="24" customHeight="1">
      <c r="A190" s="242">
        <v>10</v>
      </c>
      <c r="B190" s="242">
        <v>25</v>
      </c>
      <c r="C190" s="305" t="s">
        <v>165</v>
      </c>
      <c r="D190" s="305"/>
      <c r="E190" s="306">
        <v>1400</v>
      </c>
      <c r="F190" s="410">
        <v>248486</v>
      </c>
      <c r="G190" s="305"/>
    </row>
    <row r="191" spans="1:7" ht="24" customHeight="1">
      <c r="A191" s="242">
        <v>10</v>
      </c>
      <c r="B191" s="242">
        <v>26</v>
      </c>
      <c r="C191" s="305" t="s">
        <v>500</v>
      </c>
      <c r="D191" s="305"/>
      <c r="E191" s="306">
        <v>200</v>
      </c>
      <c r="F191" s="410">
        <v>248286</v>
      </c>
      <c r="G191" s="305"/>
    </row>
    <row r="192" spans="1:7" ht="24" customHeight="1">
      <c r="A192" s="242">
        <v>10</v>
      </c>
      <c r="B192" s="242">
        <v>26</v>
      </c>
      <c r="C192" s="305" t="s">
        <v>436</v>
      </c>
      <c r="D192" s="305">
        <v>2500</v>
      </c>
      <c r="E192" s="306"/>
      <c r="F192" s="410">
        <v>250786</v>
      </c>
      <c r="G192" s="305"/>
    </row>
    <row r="193" spans="1:10" ht="24" customHeight="1">
      <c r="A193" s="242">
        <v>10</v>
      </c>
      <c r="B193" s="242">
        <v>15</v>
      </c>
      <c r="C193" s="345" t="s">
        <v>439</v>
      </c>
      <c r="D193" s="305">
        <v>200</v>
      </c>
      <c r="E193" s="306">
        <v>200</v>
      </c>
      <c r="F193" s="410">
        <v>250786</v>
      </c>
      <c r="G193" s="305" t="s">
        <v>440</v>
      </c>
    </row>
    <row r="194" spans="1:10" ht="24" customHeight="1">
      <c r="A194" s="242">
        <v>10</v>
      </c>
      <c r="B194" s="242">
        <v>27</v>
      </c>
      <c r="C194" s="305" t="s">
        <v>501</v>
      </c>
      <c r="D194" s="305">
        <v>123500</v>
      </c>
      <c r="E194" s="306"/>
      <c r="F194" s="410">
        <v>374286</v>
      </c>
      <c r="G194" s="305"/>
    </row>
    <row r="195" spans="1:10" ht="24" customHeight="1" thickBot="1">
      <c r="A195" s="326">
        <v>10</v>
      </c>
      <c r="B195" s="326">
        <v>31</v>
      </c>
      <c r="C195" s="327" t="s">
        <v>502</v>
      </c>
      <c r="D195" s="327"/>
      <c r="E195" s="402">
        <v>146175</v>
      </c>
      <c r="F195" s="411">
        <v>228111</v>
      </c>
      <c r="G195" s="403"/>
    </row>
    <row r="196" spans="1:10" ht="24" customHeight="1">
      <c r="A196" s="393">
        <v>11</v>
      </c>
      <c r="B196" s="393">
        <v>1</v>
      </c>
      <c r="C196" s="394" t="s">
        <v>173</v>
      </c>
      <c r="D196" s="394">
        <v>2500</v>
      </c>
      <c r="E196" s="335"/>
      <c r="F196" s="412">
        <v>230611</v>
      </c>
      <c r="G196" s="334"/>
    </row>
    <row r="197" spans="1:10" ht="24" customHeight="1">
      <c r="A197" s="242">
        <v>11</v>
      </c>
      <c r="B197" s="242">
        <v>2</v>
      </c>
      <c r="C197" s="305" t="s">
        <v>444</v>
      </c>
      <c r="D197" s="305">
        <v>2500</v>
      </c>
      <c r="E197" s="354"/>
      <c r="F197" s="410">
        <v>233111</v>
      </c>
      <c r="G197" s="305"/>
    </row>
    <row r="198" spans="1:10" ht="24" customHeight="1">
      <c r="A198" s="242">
        <v>11</v>
      </c>
      <c r="B198" s="242">
        <v>2</v>
      </c>
      <c r="C198" s="305" t="s">
        <v>451</v>
      </c>
      <c r="D198" s="305">
        <v>2500</v>
      </c>
      <c r="E198" s="306"/>
      <c r="F198" s="410">
        <v>235611</v>
      </c>
      <c r="G198" s="305"/>
    </row>
    <row r="199" spans="1:10" ht="24" customHeight="1">
      <c r="A199" s="242">
        <v>11</v>
      </c>
      <c r="B199" s="242">
        <v>6</v>
      </c>
      <c r="C199" s="305" t="s">
        <v>445</v>
      </c>
      <c r="D199" s="305">
        <v>4900</v>
      </c>
      <c r="E199" s="306"/>
      <c r="F199" s="410">
        <v>240511</v>
      </c>
      <c r="G199" s="305"/>
    </row>
    <row r="200" spans="1:10" ht="24" customHeight="1">
      <c r="A200" s="242">
        <v>11</v>
      </c>
      <c r="B200" s="242">
        <v>8</v>
      </c>
      <c r="C200" s="305" t="s">
        <v>405</v>
      </c>
      <c r="D200" s="305">
        <v>5000</v>
      </c>
      <c r="E200" s="328"/>
      <c r="F200" s="411">
        <v>245511</v>
      </c>
      <c r="G200" s="327"/>
      <c r="J200" s="353"/>
    </row>
    <row r="201" spans="1:10" ht="24" customHeight="1" thickBot="1">
      <c r="A201" s="326">
        <v>11</v>
      </c>
      <c r="B201" s="382">
        <v>8</v>
      </c>
      <c r="C201" s="358" t="s">
        <v>401</v>
      </c>
      <c r="D201" s="357">
        <v>5000</v>
      </c>
      <c r="E201" s="356"/>
      <c r="F201" s="413">
        <v>250511</v>
      </c>
      <c r="G201" s="389"/>
      <c r="H201" s="362"/>
    </row>
    <row r="202" spans="1:10" ht="24" customHeight="1">
      <c r="A202" s="384">
        <v>11</v>
      </c>
      <c r="B202" s="385">
        <v>9</v>
      </c>
      <c r="C202" s="386" t="s">
        <v>446</v>
      </c>
      <c r="D202" s="387">
        <v>5000</v>
      </c>
      <c r="E202" s="388"/>
      <c r="F202" s="414">
        <v>255511</v>
      </c>
      <c r="G202" s="381"/>
      <c r="H202" s="362"/>
      <c r="I202" s="353"/>
    </row>
    <row r="203" spans="1:10" ht="24" customHeight="1">
      <c r="A203" s="379">
        <v>11</v>
      </c>
      <c r="B203" s="377">
        <v>10</v>
      </c>
      <c r="C203" s="378" t="s">
        <v>453</v>
      </c>
      <c r="D203" s="380">
        <v>800</v>
      </c>
      <c r="E203" s="363"/>
      <c r="F203" s="415">
        <v>256311</v>
      </c>
      <c r="G203" s="380"/>
    </row>
    <row r="204" spans="1:10" ht="24" customHeight="1">
      <c r="A204" s="364">
        <v>11</v>
      </c>
      <c r="B204" s="333">
        <v>10</v>
      </c>
      <c r="C204" s="361" t="s">
        <v>454</v>
      </c>
      <c r="D204" s="383">
        <v>1200</v>
      </c>
      <c r="E204" s="360"/>
      <c r="F204" s="416">
        <v>257511</v>
      </c>
      <c r="G204" s="334"/>
    </row>
    <row r="205" spans="1:10" ht="24" customHeight="1">
      <c r="A205" s="242">
        <v>11</v>
      </c>
      <c r="B205" s="242">
        <v>10</v>
      </c>
      <c r="C205" s="334" t="s">
        <v>403</v>
      </c>
      <c r="D205" s="334">
        <v>2500</v>
      </c>
      <c r="E205" s="359"/>
      <c r="F205" s="410">
        <v>260011</v>
      </c>
      <c r="G205" s="305"/>
    </row>
    <row r="206" spans="1:10" ht="24" customHeight="1">
      <c r="A206" s="242">
        <v>11</v>
      </c>
      <c r="B206" s="242">
        <v>11</v>
      </c>
      <c r="C206" s="305" t="s">
        <v>448</v>
      </c>
      <c r="D206" s="305">
        <v>5000</v>
      </c>
      <c r="E206" s="335"/>
      <c r="F206" s="410">
        <v>265011</v>
      </c>
      <c r="G206" s="305"/>
    </row>
    <row r="207" spans="1:10" ht="24" customHeight="1">
      <c r="A207" s="242">
        <v>11</v>
      </c>
      <c r="B207" s="242">
        <v>11</v>
      </c>
      <c r="C207" s="305" t="s">
        <v>472</v>
      </c>
      <c r="D207" s="305">
        <v>1600</v>
      </c>
      <c r="E207" s="306"/>
      <c r="F207" s="410">
        <v>266611</v>
      </c>
      <c r="G207" s="305"/>
    </row>
    <row r="208" spans="1:10" ht="24" customHeight="1">
      <c r="A208" s="242">
        <v>11</v>
      </c>
      <c r="B208" s="242">
        <v>11</v>
      </c>
      <c r="C208" s="305" t="s">
        <v>471</v>
      </c>
      <c r="D208" s="305">
        <v>800</v>
      </c>
      <c r="E208" s="306"/>
      <c r="F208" s="410">
        <v>267411</v>
      </c>
      <c r="G208" s="305"/>
    </row>
    <row r="209" spans="1:7" ht="24" customHeight="1">
      <c r="A209" s="340">
        <v>11</v>
      </c>
      <c r="B209" s="340">
        <v>11</v>
      </c>
      <c r="C209" s="341" t="s">
        <v>470</v>
      </c>
      <c r="D209" s="341">
        <v>400</v>
      </c>
      <c r="E209" s="354"/>
      <c r="F209" s="419">
        <v>267811</v>
      </c>
      <c r="G209" s="341"/>
    </row>
    <row r="210" spans="1:7" ht="24" customHeight="1">
      <c r="A210" s="242">
        <v>11</v>
      </c>
      <c r="B210" s="242">
        <v>14</v>
      </c>
      <c r="C210" s="305" t="s">
        <v>455</v>
      </c>
      <c r="D210" s="305">
        <v>1600</v>
      </c>
      <c r="E210" s="306"/>
      <c r="F210" s="410">
        <v>269411</v>
      </c>
      <c r="G210" s="305"/>
    </row>
    <row r="211" spans="1:7" ht="24" customHeight="1">
      <c r="A211" s="242">
        <v>11</v>
      </c>
      <c r="B211" s="242">
        <v>15</v>
      </c>
      <c r="C211" s="305" t="s">
        <v>201</v>
      </c>
      <c r="D211" s="305">
        <v>2500</v>
      </c>
      <c r="E211" s="306"/>
      <c r="F211" s="410">
        <v>271911</v>
      </c>
      <c r="G211" s="305"/>
    </row>
    <row r="212" spans="1:7" ht="24" customHeight="1">
      <c r="A212" s="242">
        <v>11</v>
      </c>
      <c r="B212" s="242">
        <v>18</v>
      </c>
      <c r="C212" s="305" t="s">
        <v>452</v>
      </c>
      <c r="D212" s="305">
        <v>5000</v>
      </c>
      <c r="E212" s="306"/>
      <c r="F212" s="410">
        <v>276911</v>
      </c>
      <c r="G212" s="305"/>
    </row>
    <row r="213" spans="1:7" ht="24" customHeight="1">
      <c r="A213" s="242">
        <v>11</v>
      </c>
      <c r="B213" s="242">
        <v>23</v>
      </c>
      <c r="C213" s="305" t="s">
        <v>512</v>
      </c>
      <c r="D213" s="305"/>
      <c r="E213" s="306">
        <v>945</v>
      </c>
      <c r="F213" s="410">
        <v>275966</v>
      </c>
      <c r="G213" s="305"/>
    </row>
    <row r="214" spans="1:7" ht="24" customHeight="1">
      <c r="A214" s="242">
        <v>11</v>
      </c>
      <c r="B214" s="242">
        <v>24</v>
      </c>
      <c r="C214" s="305" t="s">
        <v>165</v>
      </c>
      <c r="D214" s="305"/>
      <c r="E214" s="306">
        <v>1400</v>
      </c>
      <c r="F214" s="410">
        <v>274566</v>
      </c>
      <c r="G214" s="305"/>
    </row>
    <row r="215" spans="1:7" ht="24" customHeight="1">
      <c r="A215" s="242">
        <v>11</v>
      </c>
      <c r="B215" s="242">
        <v>24</v>
      </c>
      <c r="C215" s="305" t="s">
        <v>458</v>
      </c>
      <c r="D215" s="305">
        <v>1600</v>
      </c>
      <c r="E215" s="306"/>
      <c r="F215" s="410">
        <v>276166</v>
      </c>
      <c r="G215" s="305"/>
    </row>
    <row r="216" spans="1:7" ht="24" customHeight="1">
      <c r="A216" s="242">
        <v>11</v>
      </c>
      <c r="B216" s="242">
        <v>23</v>
      </c>
      <c r="C216" s="305" t="s">
        <v>481</v>
      </c>
      <c r="D216" s="305"/>
      <c r="E216" s="306">
        <v>800</v>
      </c>
      <c r="F216" s="410">
        <v>275366</v>
      </c>
      <c r="G216" s="305"/>
    </row>
    <row r="217" spans="1:7" ht="24" customHeight="1">
      <c r="A217" s="242">
        <v>11</v>
      </c>
      <c r="B217" s="242">
        <v>25</v>
      </c>
      <c r="C217" s="305" t="s">
        <v>462</v>
      </c>
      <c r="D217" s="305">
        <v>1600</v>
      </c>
      <c r="E217" s="306"/>
      <c r="F217" s="410">
        <v>276966</v>
      </c>
      <c r="G217" s="305"/>
    </row>
    <row r="218" spans="1:7" ht="24" customHeight="1">
      <c r="A218" s="242">
        <v>11</v>
      </c>
      <c r="B218" s="242">
        <v>25</v>
      </c>
      <c r="C218" s="305" t="s">
        <v>463</v>
      </c>
      <c r="D218" s="305">
        <v>1200</v>
      </c>
      <c r="E218" s="306"/>
      <c r="F218" s="410">
        <v>278166</v>
      </c>
      <c r="G218" s="305"/>
    </row>
    <row r="219" spans="1:7" ht="24" customHeight="1">
      <c r="A219" s="242">
        <v>11</v>
      </c>
      <c r="B219" s="242">
        <v>27</v>
      </c>
      <c r="C219" s="305" t="s">
        <v>524</v>
      </c>
      <c r="D219" s="305">
        <v>122100</v>
      </c>
      <c r="E219" s="306"/>
      <c r="F219" s="410">
        <v>400266</v>
      </c>
      <c r="G219" s="305"/>
    </row>
    <row r="220" spans="1:7" ht="24" customHeight="1">
      <c r="A220" s="242">
        <v>11</v>
      </c>
      <c r="B220" s="242">
        <v>28</v>
      </c>
      <c r="C220" s="345" t="s">
        <v>483</v>
      </c>
      <c r="D220" s="305"/>
      <c r="E220" s="306">
        <v>1800</v>
      </c>
      <c r="F220" s="410">
        <v>398466</v>
      </c>
      <c r="G220" s="305"/>
    </row>
    <row r="221" spans="1:7" ht="24" customHeight="1">
      <c r="A221" s="242">
        <v>11</v>
      </c>
      <c r="B221" s="242">
        <v>28</v>
      </c>
      <c r="C221" s="305" t="s">
        <v>480</v>
      </c>
      <c r="D221" s="305"/>
      <c r="E221" s="306">
        <v>3980</v>
      </c>
      <c r="F221" s="410">
        <v>394486</v>
      </c>
      <c r="G221" s="305"/>
    </row>
    <row r="222" spans="1:7" ht="24" customHeight="1">
      <c r="A222" s="242">
        <v>11</v>
      </c>
      <c r="B222" s="242">
        <v>29</v>
      </c>
      <c r="C222" s="305" t="s">
        <v>467</v>
      </c>
      <c r="D222" s="305">
        <v>2500</v>
      </c>
      <c r="E222" s="306"/>
      <c r="F222" s="410">
        <v>396986</v>
      </c>
      <c r="G222" s="305"/>
    </row>
    <row r="223" spans="1:7" ht="24" customHeight="1">
      <c r="A223" s="326">
        <v>11</v>
      </c>
      <c r="B223" s="326">
        <v>29</v>
      </c>
      <c r="C223" s="390" t="s">
        <v>503</v>
      </c>
      <c r="D223" s="390">
        <v>600</v>
      </c>
      <c r="E223" s="391"/>
      <c r="F223" s="417">
        <v>397586</v>
      </c>
      <c r="G223" s="327"/>
    </row>
    <row r="224" spans="1:7" ht="24" customHeight="1" thickBot="1">
      <c r="A224" s="392">
        <v>12</v>
      </c>
      <c r="B224" s="392">
        <v>3</v>
      </c>
      <c r="C224" s="343" t="s">
        <v>504</v>
      </c>
      <c r="D224" s="395"/>
      <c r="E224" s="400">
        <v>125645</v>
      </c>
      <c r="F224" s="418">
        <v>271941</v>
      </c>
      <c r="G224" s="401"/>
    </row>
    <row r="225" spans="1:7" ht="24" customHeight="1">
      <c r="A225" s="393">
        <v>12</v>
      </c>
      <c r="B225" s="393">
        <v>5</v>
      </c>
      <c r="C225" s="394" t="s">
        <v>505</v>
      </c>
      <c r="D225" s="399"/>
      <c r="E225" s="335">
        <v>8400</v>
      </c>
      <c r="F225" s="394">
        <v>263541</v>
      </c>
      <c r="G225" s="334"/>
    </row>
    <row r="226" spans="1:7" ht="24" customHeight="1">
      <c r="A226" s="242">
        <v>12</v>
      </c>
      <c r="B226" s="242">
        <v>12</v>
      </c>
      <c r="C226" s="305" t="s">
        <v>506</v>
      </c>
      <c r="D226" s="375">
        <v>900</v>
      </c>
      <c r="E226" s="306"/>
      <c r="F226" s="421">
        <v>264441</v>
      </c>
      <c r="G226" s="305"/>
    </row>
    <row r="227" spans="1:7" ht="24" customHeight="1">
      <c r="A227" s="242">
        <v>12</v>
      </c>
      <c r="B227" s="242">
        <v>12</v>
      </c>
      <c r="C227" s="305" t="s">
        <v>476</v>
      </c>
      <c r="D227" s="305">
        <v>7500</v>
      </c>
      <c r="E227" s="306"/>
      <c r="F227" s="305">
        <v>271941</v>
      </c>
      <c r="G227" s="305"/>
    </row>
    <row r="228" spans="1:7" ht="24" customHeight="1">
      <c r="A228" s="242">
        <v>12</v>
      </c>
      <c r="B228" s="242">
        <v>14</v>
      </c>
      <c r="C228" s="305" t="s">
        <v>507</v>
      </c>
      <c r="D228" s="374"/>
      <c r="E228" s="306">
        <v>1520</v>
      </c>
      <c r="F228" s="305">
        <v>270421</v>
      </c>
      <c r="G228" s="305"/>
    </row>
    <row r="229" spans="1:7" ht="24" customHeight="1">
      <c r="A229" s="242">
        <v>12</v>
      </c>
      <c r="B229" s="242">
        <v>14</v>
      </c>
      <c r="C229" s="305" t="s">
        <v>477</v>
      </c>
      <c r="D229" s="327">
        <v>800</v>
      </c>
      <c r="E229" s="306"/>
      <c r="F229" s="305">
        <v>271221</v>
      </c>
      <c r="G229" s="305"/>
    </row>
    <row r="230" spans="1:7" ht="24" customHeight="1">
      <c r="A230" s="242">
        <v>12</v>
      </c>
      <c r="B230" s="242">
        <v>14</v>
      </c>
      <c r="C230" s="305" t="s">
        <v>478</v>
      </c>
      <c r="D230" s="375">
        <v>1200</v>
      </c>
      <c r="E230" s="306"/>
      <c r="F230" s="305">
        <v>272421</v>
      </c>
      <c r="G230" s="305"/>
    </row>
    <row r="231" spans="1:7" ht="24" customHeight="1">
      <c r="A231" s="242">
        <v>12</v>
      </c>
      <c r="B231" s="242">
        <v>14</v>
      </c>
      <c r="C231" s="305" t="s">
        <v>452</v>
      </c>
      <c r="D231" s="305">
        <v>5000</v>
      </c>
      <c r="E231" s="306"/>
      <c r="F231" s="305">
        <v>277421</v>
      </c>
      <c r="G231" s="305"/>
    </row>
    <row r="232" spans="1:7" ht="24" customHeight="1">
      <c r="A232" s="242">
        <v>12</v>
      </c>
      <c r="B232" s="242">
        <v>16</v>
      </c>
      <c r="C232" s="305" t="s">
        <v>262</v>
      </c>
      <c r="D232" s="376">
        <v>1200</v>
      </c>
      <c r="E232" s="306"/>
      <c r="F232" s="305">
        <v>278621</v>
      </c>
      <c r="G232" s="305"/>
    </row>
    <row r="233" spans="1:7" ht="24" customHeight="1">
      <c r="A233" s="242">
        <v>12</v>
      </c>
      <c r="B233" s="242">
        <v>17</v>
      </c>
      <c r="C233" s="305" t="s">
        <v>175</v>
      </c>
      <c r="D233" s="334">
        <v>2400</v>
      </c>
      <c r="E233" s="306"/>
      <c r="F233" s="305">
        <v>281021</v>
      </c>
      <c r="G233" s="305"/>
    </row>
    <row r="234" spans="1:7" ht="24" customHeight="1">
      <c r="A234" s="242">
        <v>12</v>
      </c>
      <c r="B234" s="242">
        <v>18</v>
      </c>
      <c r="C234" s="305" t="s">
        <v>243</v>
      </c>
      <c r="D234" s="305">
        <v>2500</v>
      </c>
      <c r="E234" s="306"/>
      <c r="F234" s="305">
        <v>283521</v>
      </c>
      <c r="G234" s="305"/>
    </row>
    <row r="235" spans="1:7" ht="24" customHeight="1">
      <c r="A235" s="242">
        <v>12</v>
      </c>
      <c r="B235" s="242">
        <v>19</v>
      </c>
      <c r="C235" s="305" t="s">
        <v>479</v>
      </c>
      <c r="D235" s="305">
        <v>5000</v>
      </c>
      <c r="E235" s="306"/>
      <c r="F235" s="305">
        <v>288521</v>
      </c>
      <c r="G235" s="305"/>
    </row>
    <row r="236" spans="1:7" ht="24" customHeight="1">
      <c r="A236" s="242">
        <v>12</v>
      </c>
      <c r="B236" s="242">
        <v>20</v>
      </c>
      <c r="C236" s="305" t="s">
        <v>508</v>
      </c>
      <c r="D236" s="305"/>
      <c r="E236" s="306">
        <v>3200</v>
      </c>
      <c r="F236" s="305">
        <v>285321</v>
      </c>
      <c r="G236" s="305"/>
    </row>
    <row r="237" spans="1:7" ht="24" customHeight="1">
      <c r="A237" s="242">
        <v>12</v>
      </c>
      <c r="B237" s="242">
        <v>22</v>
      </c>
      <c r="C237" s="305" t="s">
        <v>513</v>
      </c>
      <c r="D237" s="305"/>
      <c r="E237" s="306">
        <v>420</v>
      </c>
      <c r="F237" s="305">
        <v>284901</v>
      </c>
      <c r="G237" s="305"/>
    </row>
    <row r="238" spans="1:7" ht="24" customHeight="1">
      <c r="A238" s="242">
        <v>12</v>
      </c>
      <c r="B238" s="242">
        <v>22</v>
      </c>
      <c r="C238" s="305" t="s">
        <v>514</v>
      </c>
      <c r="D238" s="305">
        <v>580</v>
      </c>
      <c r="E238" s="306"/>
      <c r="F238" s="305">
        <v>285481</v>
      </c>
      <c r="G238" s="305"/>
    </row>
    <row r="239" spans="1:7" ht="24" customHeight="1">
      <c r="A239" s="242">
        <v>12</v>
      </c>
      <c r="B239" s="242">
        <v>22</v>
      </c>
      <c r="C239" s="305" t="s">
        <v>518</v>
      </c>
      <c r="D239" s="305"/>
      <c r="E239" s="306">
        <v>250</v>
      </c>
      <c r="F239" s="305">
        <v>285231</v>
      </c>
      <c r="G239" s="305"/>
    </row>
    <row r="240" spans="1:7" ht="24" customHeight="1">
      <c r="A240" s="242">
        <v>12</v>
      </c>
      <c r="B240" s="242">
        <v>23</v>
      </c>
      <c r="C240" s="305" t="s">
        <v>515</v>
      </c>
      <c r="D240" s="305"/>
      <c r="E240" s="306">
        <v>1800</v>
      </c>
      <c r="F240" s="305">
        <v>283431</v>
      </c>
      <c r="G240" s="305"/>
    </row>
    <row r="241" spans="1:7" ht="24" customHeight="1">
      <c r="A241" s="242">
        <v>12</v>
      </c>
      <c r="B241" s="242">
        <v>23</v>
      </c>
      <c r="C241" s="305" t="s">
        <v>516</v>
      </c>
      <c r="D241" s="305"/>
      <c r="E241" s="306">
        <v>4000</v>
      </c>
      <c r="F241" s="305">
        <v>279431</v>
      </c>
      <c r="G241" s="305"/>
    </row>
    <row r="242" spans="1:7" ht="24" customHeight="1">
      <c r="A242" s="242">
        <v>12</v>
      </c>
      <c r="B242" s="242">
        <v>23</v>
      </c>
      <c r="C242" s="305" t="s">
        <v>517</v>
      </c>
      <c r="D242" s="305"/>
      <c r="E242" s="306">
        <v>4000</v>
      </c>
      <c r="F242" s="305">
        <v>275431</v>
      </c>
      <c r="G242" s="305"/>
    </row>
    <row r="243" spans="1:7" ht="24" customHeight="1">
      <c r="A243" s="242">
        <v>12</v>
      </c>
      <c r="B243" s="242">
        <v>24</v>
      </c>
      <c r="C243" s="305" t="s">
        <v>520</v>
      </c>
      <c r="D243" s="305">
        <v>5000</v>
      </c>
      <c r="E243" s="306"/>
      <c r="F243" s="305">
        <v>280431</v>
      </c>
      <c r="G243" s="305"/>
    </row>
    <row r="244" spans="1:7" ht="24" customHeight="1">
      <c r="A244" s="242">
        <v>12</v>
      </c>
      <c r="B244" s="242">
        <v>24</v>
      </c>
      <c r="C244" s="305" t="s">
        <v>206</v>
      </c>
      <c r="D244" s="305"/>
      <c r="E244" s="306">
        <v>1400</v>
      </c>
      <c r="F244" s="305">
        <v>279031</v>
      </c>
      <c r="G244" s="305"/>
    </row>
    <row r="245" spans="1:7" ht="24" customHeight="1">
      <c r="A245" s="242">
        <v>12</v>
      </c>
      <c r="B245" s="242">
        <v>26</v>
      </c>
      <c r="C245" s="305" t="s">
        <v>519</v>
      </c>
      <c r="D245" s="305">
        <v>1200</v>
      </c>
      <c r="E245" s="306"/>
      <c r="F245" s="305">
        <v>280231</v>
      </c>
      <c r="G245" s="305"/>
    </row>
    <row r="246" spans="1:7" ht="24" customHeight="1">
      <c r="A246" s="242">
        <v>12</v>
      </c>
      <c r="B246" s="242">
        <v>27</v>
      </c>
      <c r="C246" s="305" t="s">
        <v>521</v>
      </c>
      <c r="D246" s="305"/>
      <c r="E246" s="306">
        <v>130</v>
      </c>
      <c r="F246" s="305">
        <v>280101</v>
      </c>
      <c r="G246" s="305"/>
    </row>
    <row r="247" spans="1:7" ht="24" customHeight="1">
      <c r="A247" s="242">
        <v>12</v>
      </c>
      <c r="B247" s="242">
        <v>27</v>
      </c>
      <c r="C247" s="305" t="s">
        <v>525</v>
      </c>
      <c r="D247" s="305">
        <v>127100</v>
      </c>
      <c r="E247" s="306"/>
      <c r="F247" s="305">
        <v>407201</v>
      </c>
      <c r="G247" s="305"/>
    </row>
    <row r="248" spans="1:7" ht="24" customHeight="1">
      <c r="A248" s="242">
        <v>12</v>
      </c>
      <c r="B248" s="242">
        <v>29</v>
      </c>
      <c r="C248" s="305" t="s">
        <v>522</v>
      </c>
      <c r="D248" s="305"/>
      <c r="E248" s="306">
        <v>4448</v>
      </c>
      <c r="F248" s="305">
        <v>402753</v>
      </c>
      <c r="G248" s="305"/>
    </row>
    <row r="249" spans="1:7" ht="24" customHeight="1">
      <c r="A249" s="242">
        <v>12</v>
      </c>
      <c r="B249" s="242">
        <v>30</v>
      </c>
      <c r="C249" s="305" t="s">
        <v>523</v>
      </c>
      <c r="D249" s="305">
        <v>800</v>
      </c>
      <c r="E249" s="306"/>
      <c r="F249" s="305">
        <v>403553</v>
      </c>
      <c r="G249" s="305"/>
    </row>
    <row r="250" spans="1:7" ht="24" customHeight="1">
      <c r="A250" s="242">
        <v>1</v>
      </c>
      <c r="B250" s="242">
        <v>1</v>
      </c>
      <c r="C250" s="305" t="s">
        <v>526</v>
      </c>
      <c r="D250" s="305"/>
      <c r="E250" s="306">
        <v>131870</v>
      </c>
      <c r="F250" s="305">
        <v>271683</v>
      </c>
      <c r="G250" s="305"/>
    </row>
    <row r="251" spans="1:7" ht="24" customHeight="1" thickBot="1">
      <c r="A251" s="422">
        <v>1</v>
      </c>
      <c r="B251" s="326">
        <v>3</v>
      </c>
      <c r="C251" s="327" t="s">
        <v>527</v>
      </c>
      <c r="D251" s="425">
        <v>2500</v>
      </c>
      <c r="E251" s="426"/>
      <c r="F251" s="425">
        <v>274183</v>
      </c>
      <c r="G251" s="425"/>
    </row>
    <row r="252" spans="1:7" ht="24" customHeight="1">
      <c r="A252" s="333"/>
      <c r="B252" s="423"/>
      <c r="C252" s="424"/>
      <c r="D252" s="334"/>
      <c r="E252" s="335"/>
      <c r="F252" s="334"/>
      <c r="G252" s="334"/>
    </row>
    <row r="253" spans="1:7" ht="24" customHeight="1">
      <c r="A253" s="242"/>
      <c r="B253" s="242"/>
      <c r="C253" s="305"/>
      <c r="D253" s="305"/>
      <c r="E253" s="306"/>
      <c r="F253" s="305"/>
      <c r="G253" s="305"/>
    </row>
    <row r="254" spans="1:7" ht="24" customHeight="1">
      <c r="A254" s="242"/>
      <c r="B254" s="242"/>
      <c r="C254" s="305"/>
      <c r="D254" s="305"/>
      <c r="E254" s="306"/>
      <c r="F254" s="305"/>
      <c r="G254" s="305"/>
    </row>
    <row r="255" spans="1:7" ht="24" customHeight="1">
      <c r="A255" s="242"/>
      <c r="B255" s="242"/>
      <c r="C255" s="305"/>
      <c r="D255" s="305"/>
      <c r="E255" s="306"/>
      <c r="F255" s="305"/>
      <c r="G255" s="305"/>
    </row>
    <row r="256" spans="1:7" ht="24" customHeight="1">
      <c r="A256" s="242"/>
      <c r="B256" s="242"/>
      <c r="C256" s="305"/>
      <c r="D256" s="305"/>
      <c r="E256" s="306"/>
      <c r="F256" s="305"/>
      <c r="G256" s="305"/>
    </row>
    <row r="257" spans="1:7" ht="24" customHeight="1">
      <c r="A257" s="242"/>
      <c r="B257" s="242"/>
      <c r="C257" s="305"/>
      <c r="D257" s="305"/>
      <c r="E257" s="306"/>
      <c r="F257" s="305"/>
      <c r="G257" s="305"/>
    </row>
    <row r="258" spans="1:7" ht="24" customHeight="1">
      <c r="A258" s="242"/>
      <c r="B258" s="242"/>
      <c r="C258" s="305"/>
      <c r="D258" s="305"/>
      <c r="E258" s="306"/>
      <c r="F258" s="305"/>
      <c r="G258" s="305"/>
    </row>
    <row r="259" spans="1:7" ht="24" customHeight="1">
      <c r="A259" s="242"/>
      <c r="B259" s="242"/>
      <c r="C259" s="305"/>
      <c r="D259" s="305"/>
      <c r="E259" s="306"/>
      <c r="F259" s="305"/>
      <c r="G259" s="305"/>
    </row>
    <row r="260" spans="1:7" ht="24" customHeight="1">
      <c r="A260" s="242"/>
      <c r="B260" s="242"/>
      <c r="C260" s="305"/>
      <c r="D260" s="305"/>
      <c r="E260" s="306"/>
      <c r="F260" s="305"/>
      <c r="G260" s="305"/>
    </row>
    <row r="261" spans="1:7" ht="24" customHeight="1">
      <c r="A261" s="242"/>
      <c r="B261" s="242"/>
      <c r="C261" s="305"/>
      <c r="D261" s="305"/>
      <c r="E261" s="306"/>
      <c r="F261" s="305"/>
      <c r="G261" s="305"/>
    </row>
    <row r="262" spans="1:7" ht="24" customHeight="1">
      <c r="A262" s="242"/>
      <c r="B262" s="242"/>
      <c r="C262" s="305"/>
      <c r="D262" s="305"/>
      <c r="E262" s="306"/>
      <c r="F262" s="305"/>
      <c r="G262" s="305"/>
    </row>
    <row r="263" spans="1:7" ht="24" customHeight="1">
      <c r="A263" s="242"/>
      <c r="B263" s="242"/>
      <c r="C263" s="305"/>
      <c r="D263" s="305"/>
      <c r="E263" s="306"/>
      <c r="F263" s="305"/>
      <c r="G263" s="305"/>
    </row>
    <row r="264" spans="1:7" ht="24" customHeight="1">
      <c r="A264" s="242"/>
      <c r="B264" s="242"/>
      <c r="C264" s="305"/>
      <c r="D264" s="305"/>
      <c r="E264" s="306"/>
      <c r="F264" s="305"/>
      <c r="G264" s="305"/>
    </row>
    <row r="265" spans="1:7" ht="24" customHeight="1">
      <c r="A265" s="242"/>
      <c r="B265" s="242"/>
      <c r="C265" s="305"/>
      <c r="D265" s="305"/>
      <c r="E265" s="306"/>
      <c r="F265" s="305"/>
      <c r="G265" s="305"/>
    </row>
    <row r="266" spans="1:7" ht="24" customHeight="1">
      <c r="A266" s="242"/>
      <c r="B266" s="242"/>
      <c r="C266" s="305"/>
      <c r="D266" s="305"/>
      <c r="E266" s="306"/>
      <c r="F266" s="305"/>
      <c r="G266" s="305"/>
    </row>
    <row r="267" spans="1:7" ht="24" customHeight="1">
      <c r="A267" s="242"/>
      <c r="B267" s="242"/>
      <c r="C267" s="305"/>
      <c r="D267" s="305"/>
      <c r="E267" s="306"/>
      <c r="F267" s="305"/>
      <c r="G267" s="305"/>
    </row>
    <row r="268" spans="1:7" ht="24" customHeight="1">
      <c r="A268" s="242"/>
      <c r="B268" s="242"/>
      <c r="C268" s="305"/>
      <c r="D268" s="305"/>
      <c r="E268" s="306"/>
      <c r="F268" s="305"/>
      <c r="G268" s="305"/>
    </row>
    <row r="269" spans="1:7" ht="24" customHeight="1">
      <c r="A269" s="242"/>
      <c r="B269" s="242"/>
      <c r="C269" s="305"/>
      <c r="D269" s="305"/>
      <c r="E269" s="306"/>
      <c r="F269" s="305"/>
      <c r="G269" s="305"/>
    </row>
    <row r="270" spans="1:7" ht="24" customHeight="1">
      <c r="A270" s="242"/>
      <c r="B270" s="242"/>
      <c r="C270" s="305"/>
      <c r="D270" s="305"/>
      <c r="E270" s="306"/>
      <c r="F270" s="305"/>
      <c r="G270" s="305"/>
    </row>
    <row r="271" spans="1:7" ht="24" customHeight="1">
      <c r="A271" s="242"/>
      <c r="B271" s="242"/>
      <c r="C271" s="305"/>
      <c r="D271" s="305"/>
      <c r="E271" s="306"/>
      <c r="F271" s="305"/>
      <c r="G271" s="305"/>
    </row>
    <row r="272" spans="1:7" ht="24" customHeight="1">
      <c r="A272" s="242"/>
      <c r="B272" s="242"/>
      <c r="C272" s="305"/>
      <c r="D272" s="305"/>
      <c r="E272" s="306"/>
      <c r="F272" s="305"/>
      <c r="G272" s="305"/>
    </row>
    <row r="273" spans="1:7" ht="24" customHeight="1">
      <c r="A273" s="242"/>
      <c r="B273" s="242"/>
      <c r="C273" s="305"/>
      <c r="D273" s="305"/>
      <c r="E273" s="306"/>
      <c r="F273" s="305"/>
      <c r="G273" s="305"/>
    </row>
    <row r="274" spans="1:7" ht="24" customHeight="1">
      <c r="A274" s="242"/>
      <c r="B274" s="242"/>
      <c r="C274" s="305"/>
      <c r="D274" s="305"/>
      <c r="E274" s="306"/>
      <c r="F274" s="305"/>
      <c r="G274" s="305"/>
    </row>
    <row r="275" spans="1:7" ht="24" customHeight="1">
      <c r="A275" s="242"/>
      <c r="B275" s="242"/>
      <c r="C275" s="305"/>
      <c r="D275" s="305"/>
      <c r="E275" s="306"/>
      <c r="F275" s="305"/>
      <c r="G275" s="305"/>
    </row>
    <row r="276" spans="1:7" ht="24" customHeight="1">
      <c r="A276" s="242"/>
      <c r="B276" s="242"/>
      <c r="C276" s="305"/>
      <c r="D276" s="305"/>
      <c r="E276" s="306"/>
      <c r="F276" s="305"/>
      <c r="G276" s="305"/>
    </row>
    <row r="277" spans="1:7" ht="24" customHeight="1">
      <c r="A277" s="242"/>
      <c r="B277" s="242"/>
      <c r="C277" s="305"/>
      <c r="D277" s="305"/>
      <c r="E277" s="306"/>
      <c r="F277" s="305"/>
      <c r="G277" s="305"/>
    </row>
    <row r="278" spans="1:7" ht="24" customHeight="1">
      <c r="A278" s="242"/>
      <c r="B278" s="242"/>
      <c r="C278" s="305"/>
      <c r="D278" s="305"/>
      <c r="E278" s="306"/>
      <c r="F278" s="305"/>
      <c r="G278" s="305"/>
    </row>
    <row r="279" spans="1:7" ht="24" customHeight="1">
      <c r="A279" s="242"/>
      <c r="B279" s="242"/>
      <c r="C279" s="305"/>
      <c r="D279" s="305"/>
      <c r="E279" s="306"/>
      <c r="F279" s="305"/>
      <c r="G279" s="305"/>
    </row>
    <row r="280" spans="1:7" ht="24" customHeight="1">
      <c r="A280" s="242"/>
      <c r="B280" s="242"/>
      <c r="C280" s="305"/>
      <c r="D280" s="305"/>
      <c r="E280" s="306"/>
      <c r="F280" s="305"/>
      <c r="G280" s="305"/>
    </row>
    <row r="281" spans="1:7" ht="24" customHeight="1">
      <c r="A281" s="242"/>
      <c r="B281" s="242"/>
      <c r="C281" s="305"/>
      <c r="D281" s="305"/>
      <c r="E281" s="306"/>
      <c r="F281" s="305"/>
      <c r="G281" s="305"/>
    </row>
    <row r="282" spans="1:7" ht="24" customHeight="1">
      <c r="A282" s="242"/>
      <c r="B282" s="242"/>
      <c r="C282" s="305"/>
      <c r="D282" s="305"/>
      <c r="E282" s="306"/>
      <c r="F282" s="305"/>
      <c r="G282" s="305"/>
    </row>
    <row r="283" spans="1:7" ht="24" customHeight="1">
      <c r="A283" s="242"/>
      <c r="B283" s="242"/>
      <c r="C283" s="305"/>
      <c r="D283" s="305"/>
      <c r="E283" s="306"/>
      <c r="F283" s="305"/>
      <c r="G283" s="305"/>
    </row>
    <row r="284" spans="1:7" ht="24" customHeight="1">
      <c r="A284" s="242"/>
      <c r="B284" s="242"/>
      <c r="C284" s="305"/>
      <c r="D284" s="305"/>
      <c r="E284" s="306"/>
      <c r="F284" s="305"/>
      <c r="G284" s="305"/>
    </row>
    <row r="285" spans="1:7" ht="24" customHeight="1">
      <c r="A285" s="242"/>
      <c r="B285" s="242"/>
      <c r="C285" s="305"/>
      <c r="D285" s="305"/>
      <c r="E285" s="306"/>
      <c r="F285" s="305"/>
      <c r="G285" s="305"/>
    </row>
    <row r="286" spans="1:7" ht="24" customHeight="1">
      <c r="A286" s="242"/>
      <c r="B286" s="242"/>
      <c r="C286" s="305"/>
      <c r="D286" s="305"/>
      <c r="E286" s="306"/>
      <c r="F286" s="305"/>
      <c r="G286" s="305"/>
    </row>
    <row r="287" spans="1:7" ht="24" customHeight="1">
      <c r="A287" s="242"/>
      <c r="B287" s="242"/>
      <c r="C287" s="305"/>
      <c r="D287" s="305"/>
      <c r="E287" s="306"/>
      <c r="F287" s="305"/>
      <c r="G287" s="305"/>
    </row>
    <row r="288" spans="1:7" ht="24" customHeight="1">
      <c r="A288" s="242"/>
      <c r="B288" s="242"/>
      <c r="C288" s="305"/>
      <c r="D288" s="305"/>
      <c r="E288" s="306"/>
      <c r="F288" s="305"/>
      <c r="G288" s="305"/>
    </row>
    <row r="289" spans="1:7" ht="24" customHeight="1">
      <c r="A289" s="242"/>
      <c r="B289" s="242"/>
      <c r="C289" s="305"/>
      <c r="D289" s="305"/>
      <c r="E289" s="306"/>
      <c r="F289" s="305"/>
      <c r="G289" s="305"/>
    </row>
    <row r="290" spans="1:7" ht="24" customHeight="1">
      <c r="A290" s="242"/>
      <c r="B290" s="242"/>
      <c r="C290" s="305"/>
      <c r="D290" s="305"/>
      <c r="E290" s="306"/>
      <c r="F290" s="305"/>
      <c r="G290" s="305"/>
    </row>
    <row r="291" spans="1:7" ht="24" customHeight="1">
      <c r="A291" s="242"/>
      <c r="B291" s="242"/>
      <c r="C291" s="305"/>
      <c r="D291" s="305"/>
      <c r="E291" s="306"/>
      <c r="F291" s="305"/>
      <c r="G291" s="305"/>
    </row>
    <row r="292" spans="1:7" ht="24" customHeight="1">
      <c r="A292" s="242"/>
      <c r="B292" s="242"/>
      <c r="C292" s="305"/>
      <c r="D292" s="305"/>
      <c r="E292" s="306"/>
      <c r="F292" s="305"/>
      <c r="G292" s="305"/>
    </row>
    <row r="293" spans="1:7" ht="24" customHeight="1">
      <c r="A293" s="242"/>
      <c r="B293" s="242"/>
      <c r="C293" s="305"/>
      <c r="D293" s="305"/>
      <c r="E293" s="306"/>
      <c r="F293" s="305"/>
      <c r="G293" s="305"/>
    </row>
    <row r="294" spans="1:7" ht="24" customHeight="1">
      <c r="A294" s="242"/>
      <c r="B294" s="242"/>
      <c r="C294" s="305"/>
      <c r="D294" s="305"/>
      <c r="E294" s="306"/>
      <c r="F294" s="305"/>
      <c r="G294" s="305"/>
    </row>
    <row r="295" spans="1:7" ht="24" customHeight="1">
      <c r="A295" s="242"/>
      <c r="B295" s="242"/>
      <c r="C295" s="305"/>
      <c r="D295" s="305"/>
      <c r="E295" s="306"/>
      <c r="F295" s="305"/>
      <c r="G295" s="305"/>
    </row>
    <row r="296" spans="1:7" ht="24" customHeight="1">
      <c r="A296" s="242"/>
      <c r="B296" s="242"/>
      <c r="C296" s="305"/>
      <c r="D296" s="305"/>
      <c r="E296" s="306"/>
      <c r="F296" s="305"/>
      <c r="G296" s="305"/>
    </row>
    <row r="297" spans="1:7" ht="24" customHeight="1">
      <c r="A297" s="242"/>
      <c r="B297" s="242"/>
      <c r="C297" s="305"/>
      <c r="D297" s="305"/>
      <c r="E297" s="306"/>
      <c r="F297" s="305"/>
      <c r="G297" s="305"/>
    </row>
    <row r="298" spans="1:7" ht="24" customHeight="1">
      <c r="A298" s="242"/>
      <c r="B298" s="242"/>
      <c r="C298" s="305"/>
      <c r="D298" s="305"/>
      <c r="E298" s="306"/>
      <c r="F298" s="305"/>
      <c r="G298" s="305"/>
    </row>
    <row r="299" spans="1:7" ht="24" customHeight="1">
      <c r="A299" s="242"/>
      <c r="B299" s="242"/>
      <c r="C299" s="305"/>
      <c r="D299" s="305"/>
      <c r="E299" s="306"/>
      <c r="F299" s="305"/>
      <c r="G299" s="305"/>
    </row>
    <row r="300" spans="1:7" ht="24" customHeight="1">
      <c r="A300" s="242"/>
      <c r="B300" s="242"/>
      <c r="C300" s="305"/>
      <c r="D300" s="305"/>
      <c r="E300" s="306"/>
      <c r="F300" s="305"/>
      <c r="G300" s="305"/>
    </row>
    <row r="301" spans="1:7" ht="24" customHeight="1">
      <c r="A301" s="242"/>
      <c r="B301" s="242"/>
      <c r="C301" s="305"/>
      <c r="D301" s="305"/>
      <c r="E301" s="306"/>
      <c r="F301" s="305"/>
      <c r="G301" s="305"/>
    </row>
    <row r="302" spans="1:7" ht="24" customHeight="1">
      <c r="A302" s="242"/>
      <c r="B302" s="242"/>
      <c r="C302" s="305"/>
      <c r="D302" s="305"/>
      <c r="E302" s="306"/>
      <c r="F302" s="305"/>
      <c r="G302" s="305"/>
    </row>
    <row r="303" spans="1:7" ht="24" customHeight="1">
      <c r="A303" s="242"/>
      <c r="B303" s="242"/>
      <c r="C303" s="305"/>
      <c r="D303" s="305"/>
      <c r="E303" s="306"/>
      <c r="F303" s="305"/>
      <c r="G303" s="305"/>
    </row>
  </sheetData>
  <mergeCells count="1">
    <mergeCell ref="A1:G1"/>
  </mergeCells>
  <phoneticPr fontId="2" type="noConversion"/>
  <conditionalFormatting sqref="D3:D148 F3:F184 G156:G157">
    <cfRule type="cellIs" dxfId="5" priority="4" stopIfTrue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44" fitToHeight="0" orientation="portrait" horizontalDpi="4294967294" r:id="rId1"/>
  <headerFooter>
    <oddFooter>&amp;C&amp;"Helvetica Neue,Regular"&amp;12&amp;K000000&amp;P</oddFooter>
  </headerFooter>
  <rowBreaks count="1" manualBreakCount="1">
    <brk id="134" max="8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IV21"/>
  <sheetViews>
    <sheetView showGridLines="0" showRuler="0" zoomScale="90" zoomScaleNormal="90" workbookViewId="0">
      <pane ySplit="2" topLeftCell="A15" activePane="bottomLeft" state="frozen"/>
      <selection pane="bottomLeft" activeCell="A20" sqref="A20"/>
    </sheetView>
  </sheetViews>
  <sheetFormatPr defaultColWidth="8.81640625" defaultRowHeight="37.5" customHeight="1"/>
  <cols>
    <col min="1" max="1" width="15.453125" style="6" customWidth="1"/>
    <col min="2" max="3" width="10.90625" style="17" customWidth="1"/>
    <col min="4" max="4" width="11.08984375" style="17" customWidth="1"/>
    <col min="5" max="5" width="10.90625" style="17" customWidth="1"/>
    <col min="6" max="6" width="11.1796875" style="17" customWidth="1"/>
    <col min="7" max="7" width="11" style="17" customWidth="1"/>
    <col min="8" max="8" width="11.1796875" style="17" customWidth="1"/>
    <col min="9" max="9" width="11.08984375" style="17" customWidth="1"/>
    <col min="10" max="10" width="11" style="17" customWidth="1"/>
    <col min="11" max="11" width="10.90625" style="17" customWidth="1"/>
    <col min="12" max="12" width="11" style="17" customWidth="1"/>
    <col min="13" max="13" width="12" style="17" customWidth="1"/>
    <col min="14" max="14" width="15" style="17" customWidth="1"/>
    <col min="15" max="15" width="10.453125" style="17" customWidth="1"/>
    <col min="16" max="256" width="8.81640625" style="6" customWidth="1"/>
    <col min="257" max="16384" width="8.81640625" style="18"/>
  </cols>
  <sheetData>
    <row r="1" spans="1:15" s="6" customFormat="1" ht="37.5" customHeight="1">
      <c r="A1" s="438" t="s">
        <v>147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</row>
    <row r="2" spans="1:15" s="6" customFormat="1" ht="37.5" customHeight="1">
      <c r="A2" s="7" t="s">
        <v>151</v>
      </c>
      <c r="B2" s="8" t="s">
        <v>6</v>
      </c>
      <c r="C2" s="8" t="s">
        <v>195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</row>
    <row r="3" spans="1:15" s="6" customFormat="1" ht="37.5" customHeight="1">
      <c r="A3" s="9" t="s">
        <v>19</v>
      </c>
      <c r="B3" s="40">
        <v>90100</v>
      </c>
      <c r="C3" s="40">
        <f>繳費名單!G110+繳費名單!F110</f>
        <v>299000</v>
      </c>
      <c r="D3" s="40">
        <f>繳費名單!H110</f>
        <v>147600</v>
      </c>
      <c r="E3" s="40">
        <f>繳費名單!I110</f>
        <v>159800</v>
      </c>
      <c r="F3" s="40">
        <f>繳費名單!J110</f>
        <v>162200</v>
      </c>
      <c r="G3" s="40">
        <f>繳費名單!K110</f>
        <v>136700</v>
      </c>
      <c r="H3" s="40">
        <f>繳費名單!L110</f>
        <v>273000</v>
      </c>
      <c r="I3" s="40">
        <f>繳費名單!M110</f>
        <v>238800</v>
      </c>
      <c r="J3" s="40">
        <v>153600</v>
      </c>
      <c r="K3" s="40">
        <f>繳費名單!O110</f>
        <v>168100</v>
      </c>
      <c r="L3" s="40">
        <f>繳費名單!P110</f>
        <v>177800</v>
      </c>
      <c r="M3" s="40">
        <v>162200</v>
      </c>
      <c r="N3" s="40">
        <f t="shared" ref="N3:N18" si="0">SUM(B3:M3)</f>
        <v>2168900</v>
      </c>
      <c r="O3" s="10">
        <f>N3/$N$5</f>
        <v>0.97941065570254171</v>
      </c>
    </row>
    <row r="4" spans="1:15" s="6" customFormat="1" ht="37.5" customHeight="1">
      <c r="A4" s="9" t="s">
        <v>20</v>
      </c>
      <c r="B4" s="40">
        <v>0</v>
      </c>
      <c r="C4" s="40">
        <v>21000</v>
      </c>
      <c r="D4" s="40">
        <v>6000</v>
      </c>
      <c r="E4" s="40">
        <v>700</v>
      </c>
      <c r="F4" s="40">
        <f>2100+6750+4800</f>
        <v>13650</v>
      </c>
      <c r="G4" s="40">
        <v>665</v>
      </c>
      <c r="H4" s="40"/>
      <c r="I4" s="40"/>
      <c r="J4" s="40"/>
      <c r="K4" s="40">
        <v>1500</v>
      </c>
      <c r="L4" s="40">
        <v>600</v>
      </c>
      <c r="M4" s="40">
        <v>1480</v>
      </c>
      <c r="N4" s="40">
        <f t="shared" si="0"/>
        <v>45595</v>
      </c>
      <c r="O4" s="10">
        <f>N4/$N$5</f>
        <v>2.0589344297458338E-2</v>
      </c>
    </row>
    <row r="5" spans="1:15" s="6" customFormat="1" ht="37.5" customHeight="1">
      <c r="A5" s="9" t="s">
        <v>21</v>
      </c>
      <c r="B5" s="40">
        <f t="shared" ref="B5:H5" si="1">B3+B4</f>
        <v>90100</v>
      </c>
      <c r="C5" s="40">
        <f t="shared" si="1"/>
        <v>320000</v>
      </c>
      <c r="D5" s="40">
        <f t="shared" si="1"/>
        <v>153600</v>
      </c>
      <c r="E5" s="40">
        <f t="shared" si="1"/>
        <v>160500</v>
      </c>
      <c r="F5" s="40">
        <f t="shared" si="1"/>
        <v>175850</v>
      </c>
      <c r="G5" s="40">
        <f t="shared" si="1"/>
        <v>137365</v>
      </c>
      <c r="H5" s="40">
        <f t="shared" si="1"/>
        <v>273000</v>
      </c>
      <c r="I5" s="40">
        <v>238800</v>
      </c>
      <c r="J5" s="40">
        <v>153600</v>
      </c>
      <c r="K5" s="40">
        <v>169600</v>
      </c>
      <c r="L5" s="40">
        <v>178400</v>
      </c>
      <c r="M5" s="40">
        <v>163680</v>
      </c>
      <c r="N5" s="40">
        <f t="shared" si="0"/>
        <v>2214495</v>
      </c>
      <c r="O5" s="10">
        <v>1</v>
      </c>
    </row>
    <row r="6" spans="1:15" s="6" customFormat="1" ht="37.5" customHeight="1">
      <c r="A6" s="34" t="s">
        <v>22</v>
      </c>
      <c r="B6" s="37">
        <v>92687</v>
      </c>
      <c r="C6" s="37">
        <f>教練薪資!D17</f>
        <v>225042</v>
      </c>
      <c r="D6" s="37">
        <f>教練薪資!E17</f>
        <v>140280</v>
      </c>
      <c r="E6" s="37">
        <f>教練薪資!F17</f>
        <v>118420</v>
      </c>
      <c r="F6" s="37">
        <f>教練薪資!G17</f>
        <v>138735</v>
      </c>
      <c r="G6" s="37">
        <f>教練薪資!H17</f>
        <v>135640</v>
      </c>
      <c r="H6" s="37">
        <f>教練薪資!I17</f>
        <v>216190</v>
      </c>
      <c r="I6" s="37">
        <v>265125</v>
      </c>
      <c r="J6" s="37">
        <f>教練薪資!K17</f>
        <v>162575</v>
      </c>
      <c r="K6" s="37">
        <f>教練薪資!L17</f>
        <v>146175</v>
      </c>
      <c r="L6" s="37">
        <v>125645</v>
      </c>
      <c r="M6" s="37">
        <v>131870</v>
      </c>
      <c r="N6" s="37">
        <f t="shared" si="0"/>
        <v>1898384</v>
      </c>
      <c r="O6" s="11">
        <f t="shared" ref="O6:O19" si="2">N6/$N$5</f>
        <v>0.85725368537747881</v>
      </c>
    </row>
    <row r="7" spans="1:15" s="6" customFormat="1" ht="37.5" customHeight="1">
      <c r="A7" s="34" t="s">
        <v>23</v>
      </c>
      <c r="B7" s="37"/>
      <c r="C7" s="37"/>
      <c r="D7" s="37"/>
      <c r="E7" s="37"/>
      <c r="F7" s="37"/>
      <c r="G7" s="37">
        <v>120</v>
      </c>
      <c r="H7" s="37"/>
      <c r="I7" s="37"/>
      <c r="J7" s="37"/>
      <c r="K7" s="37"/>
      <c r="L7" s="37"/>
      <c r="M7" s="37"/>
      <c r="N7" s="37">
        <f t="shared" si="0"/>
        <v>120</v>
      </c>
      <c r="O7" s="11">
        <f t="shared" si="2"/>
        <v>5.4188426706766103E-5</v>
      </c>
    </row>
    <row r="8" spans="1:15" s="6" customFormat="1" ht="37.5" customHeight="1">
      <c r="A8" s="34" t="s">
        <v>24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>
        <f t="shared" si="0"/>
        <v>0</v>
      </c>
      <c r="O8" s="11">
        <f t="shared" si="2"/>
        <v>0</v>
      </c>
    </row>
    <row r="9" spans="1:15" s="6" customFormat="1" ht="37.5" customHeight="1">
      <c r="A9" s="34" t="s">
        <v>25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>
        <f t="shared" si="0"/>
        <v>0</v>
      </c>
      <c r="O9" s="11">
        <f t="shared" si="2"/>
        <v>0</v>
      </c>
    </row>
    <row r="10" spans="1:15" s="6" customFormat="1" ht="37.5" customHeight="1">
      <c r="A10" s="34" t="s">
        <v>26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>
        <f t="shared" si="0"/>
        <v>0</v>
      </c>
      <c r="O10" s="11">
        <f t="shared" si="2"/>
        <v>0</v>
      </c>
    </row>
    <row r="11" spans="1:15" s="6" customFormat="1" ht="37.5" customHeight="1">
      <c r="A11" s="34" t="s">
        <v>78</v>
      </c>
      <c r="B11" s="37"/>
      <c r="C11" s="37"/>
      <c r="D11" s="37"/>
      <c r="E11" s="37"/>
      <c r="F11" s="37">
        <f>352+570</f>
        <v>922</v>
      </c>
      <c r="G11" s="37"/>
      <c r="H11" s="37">
        <v>846</v>
      </c>
      <c r="I11" s="37"/>
      <c r="J11" s="37"/>
      <c r="K11" s="37"/>
      <c r="L11" s="37"/>
      <c r="M11" s="37">
        <v>4448</v>
      </c>
      <c r="N11" s="37">
        <f t="shared" si="0"/>
        <v>6216</v>
      </c>
      <c r="O11" s="11">
        <f t="shared" si="2"/>
        <v>2.8069605034104841E-3</v>
      </c>
    </row>
    <row r="12" spans="1:15" s="6" customFormat="1" ht="37.5" customHeight="1">
      <c r="A12" s="286" t="s">
        <v>281</v>
      </c>
      <c r="B12" s="37"/>
      <c r="C12" s="37"/>
      <c r="D12" s="37"/>
      <c r="E12" s="37"/>
      <c r="F12" s="37"/>
      <c r="G12" s="37">
        <v>25000</v>
      </c>
      <c r="H12" s="37">
        <v>-25000</v>
      </c>
      <c r="I12" s="37"/>
      <c r="J12" s="37"/>
      <c r="K12" s="37"/>
      <c r="L12" s="37"/>
      <c r="M12" s="37"/>
      <c r="N12" s="37">
        <f t="shared" si="0"/>
        <v>0</v>
      </c>
      <c r="O12" s="11">
        <f t="shared" si="2"/>
        <v>0</v>
      </c>
    </row>
    <row r="13" spans="1:15" s="6" customFormat="1" ht="37.5" customHeight="1">
      <c r="A13" s="238" t="s">
        <v>77</v>
      </c>
      <c r="B13" s="37"/>
      <c r="C13" s="37">
        <v>3236</v>
      </c>
      <c r="D13" s="37"/>
      <c r="E13" s="37"/>
      <c r="F13" s="37">
        <v>6446</v>
      </c>
      <c r="G13" s="37"/>
      <c r="H13" s="37"/>
      <c r="I13" s="37">
        <v>11550</v>
      </c>
      <c r="J13" s="37">
        <v>9515</v>
      </c>
      <c r="K13" s="37"/>
      <c r="L13" s="37">
        <v>2920</v>
      </c>
      <c r="M13" s="37">
        <v>8400</v>
      </c>
      <c r="N13" s="37">
        <f t="shared" si="0"/>
        <v>42067</v>
      </c>
      <c r="O13" s="11">
        <f t="shared" si="2"/>
        <v>1.8996204552279412E-2</v>
      </c>
    </row>
    <row r="14" spans="1:15" s="6" customFormat="1" ht="37.5" customHeight="1">
      <c r="A14" s="34" t="s">
        <v>27</v>
      </c>
      <c r="B14" s="37"/>
      <c r="C14" s="37">
        <v>2522</v>
      </c>
      <c r="D14" s="37"/>
      <c r="E14" s="37"/>
      <c r="F14" s="37">
        <f>2700+1040</f>
        <v>3740</v>
      </c>
      <c r="G14" s="37"/>
      <c r="H14" s="37"/>
      <c r="I14" s="37">
        <v>13860</v>
      </c>
      <c r="J14" s="37">
        <v>12062</v>
      </c>
      <c r="K14" s="37"/>
      <c r="L14" s="37">
        <v>3660</v>
      </c>
      <c r="M14" s="37"/>
      <c r="N14" s="37">
        <f t="shared" si="0"/>
        <v>35844</v>
      </c>
      <c r="O14" s="11">
        <f t="shared" si="2"/>
        <v>1.6186083057311035E-2</v>
      </c>
    </row>
    <row r="15" spans="1:15" s="6" customFormat="1" ht="37.5" customHeight="1">
      <c r="A15" s="34" t="s">
        <v>28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>
        <f t="shared" si="0"/>
        <v>0</v>
      </c>
      <c r="O15" s="11">
        <f t="shared" si="2"/>
        <v>0</v>
      </c>
    </row>
    <row r="16" spans="1:15" s="6" customFormat="1" ht="37.5" customHeight="1">
      <c r="A16" s="34" t="s">
        <v>29</v>
      </c>
      <c r="B16" s="37">
        <v>11575</v>
      </c>
      <c r="C16" s="37">
        <v>1400</v>
      </c>
      <c r="D16" s="37">
        <v>20000</v>
      </c>
      <c r="E16" s="37">
        <v>1400</v>
      </c>
      <c r="F16" s="37">
        <v>500</v>
      </c>
      <c r="G16" s="37">
        <f>10000+5000+8000</f>
        <v>23000</v>
      </c>
      <c r="H16" s="237"/>
      <c r="I16" s="37"/>
      <c r="J16" s="37"/>
      <c r="K16" s="37"/>
      <c r="L16" s="37"/>
      <c r="M16" s="37">
        <v>9800</v>
      </c>
      <c r="N16" s="37">
        <f t="shared" si="0"/>
        <v>67675</v>
      </c>
      <c r="O16" s="11">
        <f t="shared" si="2"/>
        <v>3.0560014811503299E-2</v>
      </c>
    </row>
    <row r="17" spans="1:15" s="6" customFormat="1" ht="37.5" customHeight="1">
      <c r="A17" s="34" t="s">
        <v>30</v>
      </c>
      <c r="B17" s="37">
        <v>1470</v>
      </c>
      <c r="C17" s="37">
        <f>1000+1400</f>
        <v>2400</v>
      </c>
      <c r="D17" s="37">
        <v>1400</v>
      </c>
      <c r="E17" s="37">
        <f>1400+60</f>
        <v>1460</v>
      </c>
      <c r="F17" s="37">
        <f>'112日記帳'!E91+'112日記帳'!E83+'112日記帳'!E102</f>
        <v>5080</v>
      </c>
      <c r="G17" s="37">
        <f>1400+630+400+2550</f>
        <v>4980</v>
      </c>
      <c r="H17" s="37">
        <f>1400+4500</f>
        <v>5900</v>
      </c>
      <c r="I17" s="37">
        <v>2915</v>
      </c>
      <c r="J17" s="37">
        <v>13600</v>
      </c>
      <c r="K17" s="37">
        <v>6640</v>
      </c>
      <c r="L17" s="37">
        <v>2345</v>
      </c>
      <c r="M17" s="37">
        <v>6920</v>
      </c>
      <c r="N17" s="37">
        <f t="shared" si="0"/>
        <v>55110</v>
      </c>
      <c r="O17" s="11">
        <f t="shared" si="2"/>
        <v>2.4886034965082331E-2</v>
      </c>
    </row>
    <row r="18" spans="1:15" s="6" customFormat="1" ht="37.5" customHeight="1">
      <c r="A18" s="35" t="s">
        <v>31</v>
      </c>
      <c r="B18" s="36">
        <f>SUM(B6:B17)</f>
        <v>105732</v>
      </c>
      <c r="C18" s="36">
        <f>SUM(C6:C17)</f>
        <v>234600</v>
      </c>
      <c r="D18" s="36">
        <f>SUM(D6:D17)</f>
        <v>161680</v>
      </c>
      <c r="E18" s="36">
        <f t="shared" ref="E18:M18" si="3">SUM(E6:E17)</f>
        <v>121280</v>
      </c>
      <c r="F18" s="36">
        <f t="shared" si="3"/>
        <v>155423</v>
      </c>
      <c r="G18" s="36">
        <f t="shared" si="3"/>
        <v>188740</v>
      </c>
      <c r="H18" s="36">
        <f t="shared" si="3"/>
        <v>197936</v>
      </c>
      <c r="I18" s="36">
        <v>293450</v>
      </c>
      <c r="J18" s="36">
        <f t="shared" si="3"/>
        <v>197752</v>
      </c>
      <c r="K18" s="36">
        <f t="shared" si="3"/>
        <v>152815</v>
      </c>
      <c r="L18" s="36">
        <f t="shared" si="3"/>
        <v>134570</v>
      </c>
      <c r="M18" s="36">
        <f t="shared" si="3"/>
        <v>161438</v>
      </c>
      <c r="N18" s="36">
        <f t="shared" si="0"/>
        <v>2105416</v>
      </c>
      <c r="O18" s="12">
        <f t="shared" si="2"/>
        <v>0.9507431716937722</v>
      </c>
    </row>
    <row r="19" spans="1:15" s="6" customFormat="1" ht="37.5" customHeight="1">
      <c r="A19" s="7" t="s">
        <v>32</v>
      </c>
      <c r="B19" s="38">
        <f>B5-B18</f>
        <v>-15632</v>
      </c>
      <c r="C19" s="235">
        <f t="shared" ref="C19:N19" si="4">C5-C18</f>
        <v>85400</v>
      </c>
      <c r="D19" s="235">
        <f t="shared" si="4"/>
        <v>-8080</v>
      </c>
      <c r="E19" s="235">
        <f t="shared" si="4"/>
        <v>39220</v>
      </c>
      <c r="F19" s="235">
        <f t="shared" si="4"/>
        <v>20427</v>
      </c>
      <c r="G19" s="235">
        <f t="shared" si="4"/>
        <v>-51375</v>
      </c>
      <c r="H19" s="235">
        <f t="shared" si="4"/>
        <v>75064</v>
      </c>
      <c r="I19" s="235">
        <v>-54650</v>
      </c>
      <c r="J19" s="235">
        <f t="shared" si="4"/>
        <v>-44152</v>
      </c>
      <c r="K19" s="235">
        <f t="shared" si="4"/>
        <v>16785</v>
      </c>
      <c r="L19" s="235">
        <f t="shared" si="4"/>
        <v>43830</v>
      </c>
      <c r="M19" s="235">
        <f t="shared" si="4"/>
        <v>2242</v>
      </c>
      <c r="N19" s="235">
        <f t="shared" si="4"/>
        <v>109079</v>
      </c>
      <c r="O19" s="236">
        <f t="shared" si="2"/>
        <v>4.925682830622783E-2</v>
      </c>
    </row>
    <row r="20" spans="1:15" s="6" customFormat="1" ht="37.5" customHeight="1">
      <c r="A20" s="19" t="s">
        <v>155</v>
      </c>
      <c r="B20" s="39">
        <f>165104+B19</f>
        <v>149472</v>
      </c>
      <c r="C20" s="39">
        <f t="shared" ref="C20:H20" si="5">B20+C19</f>
        <v>234872</v>
      </c>
      <c r="D20" s="39">
        <f t="shared" si="5"/>
        <v>226792</v>
      </c>
      <c r="E20" s="39">
        <f t="shared" si="5"/>
        <v>266012</v>
      </c>
      <c r="F20" s="39">
        <f t="shared" si="5"/>
        <v>286439</v>
      </c>
      <c r="G20" s="39">
        <f t="shared" si="5"/>
        <v>235064</v>
      </c>
      <c r="H20" s="39">
        <f t="shared" si="5"/>
        <v>310128</v>
      </c>
      <c r="I20" s="39">
        <f>I19+H20</f>
        <v>255478</v>
      </c>
      <c r="J20" s="39">
        <f>J19+I20</f>
        <v>211326</v>
      </c>
      <c r="K20" s="39">
        <v>228111</v>
      </c>
      <c r="L20" s="39">
        <f>L19+K20</f>
        <v>271941</v>
      </c>
      <c r="M20" s="39">
        <v>274183</v>
      </c>
      <c r="N20" s="39"/>
      <c r="O20" s="13"/>
    </row>
    <row r="21" spans="1:15" s="6" customFormat="1" ht="37.5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5"/>
      <c r="M21" s="15"/>
      <c r="N21" s="15"/>
      <c r="O21" s="15"/>
    </row>
  </sheetData>
  <mergeCells count="1">
    <mergeCell ref="A1:O1"/>
  </mergeCells>
  <phoneticPr fontId="2" type="noConversion"/>
  <conditionalFormatting sqref="B19:N19">
    <cfRule type="cellIs" dxfId="4" priority="1" stopIfTrue="1" operator="lessThan">
      <formula>0</formula>
    </cfRule>
  </conditionalFormatting>
  <pageMargins left="0.23622047244094491" right="0.23622047244094491" top="0.55118110236220474" bottom="0.55118110236220474" header="0.31496062992125984" footer="0.31496062992125984"/>
  <pageSetup scale="65" orientation="landscape" horizontalDpi="4294967293" r:id="rId1"/>
  <headerFooter>
    <oddFooter>&amp;LJ&amp;C 第 &amp;P 頁 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IV73"/>
  <sheetViews>
    <sheetView showRuler="0" topLeftCell="A16" zoomScale="71" zoomScaleNormal="71" workbookViewId="0">
      <selection activeCell="G31" sqref="G31"/>
    </sheetView>
  </sheetViews>
  <sheetFormatPr defaultColWidth="8.81640625" defaultRowHeight="18.75" customHeight="1"/>
  <cols>
    <col min="1" max="2" width="4.1796875" style="1" customWidth="1"/>
    <col min="3" max="3" width="48.81640625" style="1" customWidth="1"/>
    <col min="4" max="4" width="12.453125" style="131" customWidth="1"/>
    <col min="5" max="5" width="14.1796875" style="145" customWidth="1"/>
    <col min="6" max="6" width="14.36328125" style="3" customWidth="1"/>
    <col min="7" max="7" width="87" style="1" bestFit="1" customWidth="1"/>
    <col min="8" max="256" width="8.81640625" style="1" customWidth="1"/>
    <col min="257" max="16384" width="8.81640625" style="2"/>
  </cols>
  <sheetData>
    <row r="1" spans="1:9" s="1" customFormat="1" ht="25.95" customHeight="1" thickTop="1">
      <c r="A1" s="123" t="s">
        <v>0</v>
      </c>
      <c r="B1" s="117" t="s">
        <v>1</v>
      </c>
      <c r="C1" s="117" t="s">
        <v>2</v>
      </c>
      <c r="D1" s="118" t="s">
        <v>3</v>
      </c>
      <c r="E1" s="132" t="s">
        <v>4</v>
      </c>
      <c r="F1" s="132" t="s">
        <v>17</v>
      </c>
      <c r="G1" s="119" t="s">
        <v>5</v>
      </c>
    </row>
    <row r="2" spans="1:9" s="1" customFormat="1" ht="25.5" customHeight="1">
      <c r="A2" s="124">
        <v>2</v>
      </c>
      <c r="B2" s="120"/>
      <c r="C2" s="59" t="s">
        <v>185</v>
      </c>
      <c r="D2" s="270">
        <f>30000/2</f>
        <v>15000</v>
      </c>
      <c r="E2" s="133"/>
      <c r="F2" s="163"/>
      <c r="G2" s="122"/>
    </row>
    <row r="3" spans="1:9" s="1" customFormat="1" ht="25.5" customHeight="1">
      <c r="A3" s="124"/>
      <c r="B3" s="120"/>
      <c r="C3" s="59" t="s">
        <v>186</v>
      </c>
      <c r="D3" s="270">
        <f>12000/2</f>
        <v>6000</v>
      </c>
      <c r="E3" s="133"/>
      <c r="F3" s="163"/>
      <c r="G3" s="122"/>
      <c r="I3" s="1" t="s">
        <v>86</v>
      </c>
    </row>
    <row r="4" spans="1:9" s="1" customFormat="1" ht="25.5" customHeight="1">
      <c r="A4" s="126"/>
      <c r="B4" s="127"/>
      <c r="C4" s="59" t="s">
        <v>187</v>
      </c>
      <c r="D4" s="148"/>
      <c r="E4" s="271">
        <f>1530+96+96</f>
        <v>1722</v>
      </c>
      <c r="F4" s="164"/>
      <c r="G4" s="128"/>
    </row>
    <row r="5" spans="1:9" s="1" customFormat="1" ht="25.5" customHeight="1">
      <c r="A5" s="124"/>
      <c r="B5" s="120"/>
      <c r="C5" s="59" t="s">
        <v>188</v>
      </c>
      <c r="D5" s="146"/>
      <c r="E5" s="271">
        <f>706*2+1000</f>
        <v>2412</v>
      </c>
      <c r="F5" s="121"/>
      <c r="G5" s="122"/>
    </row>
    <row r="6" spans="1:9" s="1" customFormat="1" ht="22.2">
      <c r="A6" s="124"/>
      <c r="B6" s="120"/>
      <c r="C6" s="59" t="s">
        <v>189</v>
      </c>
      <c r="D6" s="146"/>
      <c r="E6" s="271">
        <v>800</v>
      </c>
      <c r="F6" s="121"/>
      <c r="G6" s="239"/>
    </row>
    <row r="7" spans="1:9" s="1" customFormat="1" ht="25.5" customHeight="1">
      <c r="A7" s="124"/>
      <c r="B7" s="120"/>
      <c r="C7" s="59" t="s">
        <v>190</v>
      </c>
      <c r="D7" s="146"/>
      <c r="E7" s="271">
        <v>824</v>
      </c>
      <c r="F7" s="121"/>
      <c r="G7" s="204"/>
    </row>
    <row r="8" spans="1:9" s="1" customFormat="1" ht="25.5" customHeight="1" thickBot="1">
      <c r="A8" s="129"/>
      <c r="B8" s="130"/>
      <c r="C8" s="229"/>
      <c r="D8" s="147"/>
      <c r="E8" s="134"/>
      <c r="F8" s="272">
        <f>D2+D3-SUM(E4:E8)</f>
        <v>15242</v>
      </c>
      <c r="G8" s="177"/>
    </row>
    <row r="9" spans="1:9" s="1" customFormat="1" ht="25.5" customHeight="1" thickTop="1">
      <c r="A9" s="126">
        <v>5</v>
      </c>
      <c r="B9" s="127">
        <v>11</v>
      </c>
      <c r="C9" s="59" t="s">
        <v>250</v>
      </c>
      <c r="D9" s="148"/>
      <c r="E9" s="271">
        <v>3500</v>
      </c>
      <c r="F9" s="164"/>
      <c r="G9" s="128"/>
    </row>
    <row r="10" spans="1:9" s="1" customFormat="1" ht="25.5" customHeight="1">
      <c r="A10" s="126"/>
      <c r="B10" s="127"/>
      <c r="C10" s="59" t="s">
        <v>251</v>
      </c>
      <c r="D10" s="148"/>
      <c r="E10" s="271">
        <f>80*13</f>
        <v>1040</v>
      </c>
      <c r="F10" s="164"/>
      <c r="G10" s="128"/>
    </row>
    <row r="11" spans="1:9" s="1" customFormat="1" ht="25.5" customHeight="1">
      <c r="A11" s="126"/>
      <c r="B11" s="127"/>
      <c r="C11" s="59" t="s">
        <v>252</v>
      </c>
      <c r="D11" s="148"/>
      <c r="E11" s="271">
        <v>6446</v>
      </c>
      <c r="F11" s="164"/>
      <c r="G11" s="128"/>
    </row>
    <row r="12" spans="1:9" s="1" customFormat="1" ht="25.5" customHeight="1">
      <c r="A12" s="126"/>
      <c r="B12" s="127"/>
      <c r="C12" s="59" t="s">
        <v>253</v>
      </c>
      <c r="D12" s="148"/>
      <c r="E12" s="271">
        <v>2700</v>
      </c>
      <c r="F12" s="164"/>
      <c r="G12" s="128"/>
    </row>
    <row r="13" spans="1:9" s="1" customFormat="1" ht="25.5" customHeight="1" thickBot="1">
      <c r="A13" s="129"/>
      <c r="B13" s="130"/>
      <c r="C13" s="229"/>
      <c r="D13" s="147"/>
      <c r="E13" s="134"/>
      <c r="F13" s="283">
        <f>SUM(E9:E13)</f>
        <v>13686</v>
      </c>
      <c r="G13" s="177"/>
    </row>
    <row r="14" spans="1:9" s="1" customFormat="1" ht="25.5" customHeight="1" thickTop="1">
      <c r="A14" s="126">
        <v>8</v>
      </c>
      <c r="B14" s="127"/>
      <c r="C14" s="59" t="s">
        <v>314</v>
      </c>
      <c r="D14" s="148"/>
      <c r="E14" s="271">
        <v>11550</v>
      </c>
      <c r="F14" s="164"/>
      <c r="G14" s="128" t="s">
        <v>313</v>
      </c>
    </row>
    <row r="15" spans="1:9" s="1" customFormat="1" ht="25.5" customHeight="1">
      <c r="A15" s="126"/>
      <c r="B15" s="127"/>
      <c r="C15" s="59" t="s">
        <v>315</v>
      </c>
      <c r="D15" s="148"/>
      <c r="E15" s="271">
        <f>4510+4080+2720+2550</f>
        <v>13860</v>
      </c>
      <c r="F15" s="164"/>
      <c r="G15" s="128" t="s">
        <v>313</v>
      </c>
    </row>
    <row r="16" spans="1:9" s="1" customFormat="1" ht="25.5" customHeight="1">
      <c r="A16" s="126"/>
      <c r="B16" s="127"/>
      <c r="C16" s="59"/>
      <c r="D16" s="148"/>
      <c r="E16" s="271"/>
      <c r="F16" s="164"/>
      <c r="G16" s="128"/>
    </row>
    <row r="17" spans="1:7" s="1" customFormat="1" ht="25.5" customHeight="1" thickBot="1">
      <c r="A17" s="129"/>
      <c r="B17" s="130"/>
      <c r="C17" s="229"/>
      <c r="D17" s="147"/>
      <c r="E17" s="134"/>
      <c r="F17" s="283">
        <f>E14+E15+E16</f>
        <v>25410</v>
      </c>
      <c r="G17" s="177"/>
    </row>
    <row r="18" spans="1:7" s="1" customFormat="1" ht="25.2" customHeight="1" thickTop="1">
      <c r="A18" s="125">
        <v>9</v>
      </c>
      <c r="B18" s="64">
        <v>9</v>
      </c>
      <c r="C18" s="420" t="s">
        <v>474</v>
      </c>
      <c r="D18" s="150"/>
      <c r="E18" s="136">
        <v>3675</v>
      </c>
      <c r="F18" s="165"/>
      <c r="G18" s="63"/>
    </row>
    <row r="19" spans="1:7" s="1" customFormat="1" ht="25.2" customHeight="1">
      <c r="A19" s="125">
        <v>9</v>
      </c>
      <c r="B19" s="64">
        <v>9</v>
      </c>
      <c r="C19" s="185" t="s">
        <v>402</v>
      </c>
      <c r="D19" s="150"/>
      <c r="E19" s="136">
        <v>3740</v>
      </c>
      <c r="F19" s="165"/>
      <c r="G19" s="209"/>
    </row>
    <row r="20" spans="1:7" s="1" customFormat="1" ht="25.2" customHeight="1">
      <c r="A20" s="311">
        <v>9</v>
      </c>
      <c r="B20" s="312">
        <v>18</v>
      </c>
      <c r="C20" s="313" t="s">
        <v>408</v>
      </c>
      <c r="D20" s="314"/>
      <c r="E20" s="315">
        <v>1200</v>
      </c>
      <c r="F20" s="316"/>
      <c r="G20" s="219" t="s">
        <v>410</v>
      </c>
    </row>
    <row r="21" spans="1:7" s="1" customFormat="1" ht="25.2" customHeight="1">
      <c r="A21" s="319">
        <v>9</v>
      </c>
      <c r="B21" s="320">
        <v>19</v>
      </c>
      <c r="C21" s="248" t="s">
        <v>409</v>
      </c>
      <c r="D21" s="321"/>
      <c r="E21" s="322">
        <v>3600</v>
      </c>
      <c r="F21" s="323"/>
      <c r="G21" s="320" t="s">
        <v>410</v>
      </c>
    </row>
    <row r="22" spans="1:7" s="1" customFormat="1" ht="25.5" customHeight="1">
      <c r="A22" s="213">
        <v>9</v>
      </c>
      <c r="B22" s="214">
        <v>19</v>
      </c>
      <c r="C22" s="317" t="s">
        <v>407</v>
      </c>
      <c r="D22" s="149"/>
      <c r="E22" s="135">
        <v>10562</v>
      </c>
      <c r="F22" s="193"/>
      <c r="G22" s="318" t="s">
        <v>410</v>
      </c>
    </row>
    <row r="23" spans="1:7" s="1" customFormat="1" ht="25.5" customHeight="1">
      <c r="A23" s="213"/>
      <c r="B23" s="214"/>
      <c r="C23" s="226"/>
      <c r="D23" s="200"/>
      <c r="E23" s="201"/>
      <c r="F23" s="216"/>
      <c r="G23" s="203"/>
    </row>
    <row r="24" spans="1:7" s="1" customFormat="1" ht="25.5" customHeight="1" thickBot="1">
      <c r="A24" s="217"/>
      <c r="B24" s="218"/>
      <c r="C24" s="211"/>
      <c r="D24" s="197"/>
      <c r="E24" s="198"/>
      <c r="F24" s="212">
        <v>22777</v>
      </c>
      <c r="G24" s="199"/>
    </row>
    <row r="25" spans="1:7" s="1" customFormat="1" ht="25.5" customHeight="1">
      <c r="A25" s="207">
        <v>11</v>
      </c>
      <c r="B25" s="208">
        <v>23</v>
      </c>
      <c r="C25" s="317" t="s">
        <v>464</v>
      </c>
      <c r="D25" s="149"/>
      <c r="E25" s="135">
        <v>800</v>
      </c>
      <c r="F25" s="193"/>
      <c r="G25" s="209"/>
    </row>
    <row r="26" spans="1:7" s="1" customFormat="1" ht="25.5" customHeight="1">
      <c r="A26" s="220">
        <v>11</v>
      </c>
      <c r="B26" s="221">
        <v>28</v>
      </c>
      <c r="C26" s="215" t="s">
        <v>465</v>
      </c>
      <c r="D26" s="200"/>
      <c r="E26" s="201">
        <v>1800</v>
      </c>
      <c r="F26" s="202"/>
      <c r="G26" s="222"/>
    </row>
    <row r="27" spans="1:7" s="1" customFormat="1" ht="25.5" customHeight="1">
      <c r="A27" s="220">
        <v>11</v>
      </c>
      <c r="B27" s="221">
        <v>28</v>
      </c>
      <c r="C27" s="224" t="s">
        <v>466</v>
      </c>
      <c r="D27" s="205"/>
      <c r="E27" s="206">
        <v>3980</v>
      </c>
      <c r="F27" s="223"/>
      <c r="G27" s="225"/>
    </row>
    <row r="28" spans="1:7" s="1" customFormat="1" ht="25.5" customHeight="1" thickBot="1">
      <c r="A28" s="220"/>
      <c r="B28" s="221"/>
      <c r="C28" s="210"/>
      <c r="D28" s="194"/>
      <c r="E28" s="195"/>
      <c r="F28" s="196">
        <v>6580</v>
      </c>
      <c r="G28" s="219"/>
    </row>
    <row r="29" spans="1:7" s="1" customFormat="1" ht="25.95" customHeight="1" thickTop="1">
      <c r="A29" s="68">
        <v>12</v>
      </c>
      <c r="B29" s="69">
        <v>1</v>
      </c>
      <c r="C29" s="70" t="s">
        <v>473</v>
      </c>
      <c r="D29" s="151"/>
      <c r="E29" s="137">
        <v>8400</v>
      </c>
      <c r="F29" s="166"/>
      <c r="G29" s="66" t="s">
        <v>475</v>
      </c>
    </row>
    <row r="30" spans="1:7" s="1" customFormat="1" ht="25.2" customHeight="1">
      <c r="A30" s="71">
        <v>12</v>
      </c>
      <c r="B30" s="72">
        <v>23</v>
      </c>
      <c r="C30" s="427" t="s">
        <v>528</v>
      </c>
      <c r="D30" s="152"/>
      <c r="E30" s="138">
        <v>4000</v>
      </c>
      <c r="F30" s="167"/>
      <c r="G30" s="434" t="s">
        <v>532</v>
      </c>
    </row>
    <row r="31" spans="1:7" s="1" customFormat="1" ht="29.25" customHeight="1">
      <c r="A31" s="71">
        <v>12</v>
      </c>
      <c r="B31" s="72">
        <v>23</v>
      </c>
      <c r="C31" s="429" t="s">
        <v>529</v>
      </c>
      <c r="D31" s="152"/>
      <c r="E31" s="138">
        <v>4000</v>
      </c>
      <c r="F31" s="168"/>
      <c r="G31" s="431" t="s">
        <v>531</v>
      </c>
    </row>
    <row r="32" spans="1:7" s="1" customFormat="1" ht="25.2" customHeight="1" thickBot="1">
      <c r="A32" s="428">
        <v>12</v>
      </c>
      <c r="B32" s="77">
        <v>23</v>
      </c>
      <c r="C32" s="430" t="s">
        <v>530</v>
      </c>
      <c r="D32" s="153"/>
      <c r="E32" s="139">
        <v>1800</v>
      </c>
      <c r="F32" s="169">
        <v>18200</v>
      </c>
      <c r="G32" s="432" t="s">
        <v>531</v>
      </c>
    </row>
    <row r="33" spans="1:7" s="1" customFormat="1" ht="25.2" customHeight="1" thickTop="1">
      <c r="A33" s="68"/>
      <c r="B33" s="69"/>
      <c r="C33" s="70"/>
      <c r="D33" s="151"/>
      <c r="E33" s="137"/>
      <c r="F33" s="166"/>
      <c r="G33" s="433"/>
    </row>
    <row r="34" spans="1:7" s="1" customFormat="1" ht="25.2" customHeight="1">
      <c r="A34" s="71"/>
      <c r="B34" s="72"/>
      <c r="C34" s="73"/>
      <c r="D34" s="152"/>
      <c r="E34" s="138"/>
      <c r="F34" s="167"/>
      <c r="G34" s="74"/>
    </row>
    <row r="35" spans="1:7" s="1" customFormat="1" ht="25.2" customHeight="1">
      <c r="A35" s="71"/>
      <c r="B35" s="72"/>
      <c r="C35" s="73"/>
      <c r="D35" s="152"/>
      <c r="E35" s="138"/>
      <c r="F35" s="167"/>
      <c r="G35" s="76"/>
    </row>
    <row r="36" spans="1:7" s="1" customFormat="1" ht="25.2" customHeight="1">
      <c r="A36" s="71"/>
      <c r="B36" s="72"/>
      <c r="C36" s="73"/>
      <c r="D36" s="152"/>
      <c r="E36" s="138"/>
      <c r="F36" s="168"/>
      <c r="G36" s="76"/>
    </row>
    <row r="37" spans="1:7" s="1" customFormat="1" ht="25.2" customHeight="1" thickBot="1">
      <c r="A37" s="79"/>
      <c r="B37" s="77"/>
      <c r="C37" s="80"/>
      <c r="D37" s="153"/>
      <c r="E37" s="139"/>
      <c r="F37" s="169"/>
      <c r="G37" s="78"/>
    </row>
    <row r="38" spans="1:7" s="1" customFormat="1" ht="25.95" customHeight="1" thickTop="1">
      <c r="A38" s="68"/>
      <c r="B38" s="81"/>
      <c r="C38" s="65"/>
      <c r="D38" s="154"/>
      <c r="E38" s="137"/>
      <c r="F38" s="166"/>
      <c r="G38" s="82"/>
    </row>
    <row r="39" spans="1:7" s="1" customFormat="1" ht="25.2" customHeight="1">
      <c r="A39" s="71"/>
      <c r="B39" s="83"/>
      <c r="C39" s="62"/>
      <c r="D39" s="155"/>
      <c r="E39" s="138"/>
      <c r="F39" s="167"/>
      <c r="G39" s="84"/>
    </row>
    <row r="40" spans="1:7" s="1" customFormat="1" ht="25.2" customHeight="1">
      <c r="A40" s="71"/>
      <c r="B40" s="83"/>
      <c r="C40" s="62"/>
      <c r="D40" s="155"/>
      <c r="E40" s="138"/>
      <c r="F40" s="167"/>
      <c r="G40" s="84"/>
    </row>
    <row r="41" spans="1:7" s="1" customFormat="1" ht="25.2" customHeight="1">
      <c r="A41" s="71"/>
      <c r="B41" s="83"/>
      <c r="C41" s="62"/>
      <c r="D41" s="155"/>
      <c r="E41" s="138"/>
      <c r="F41" s="167"/>
      <c r="G41" s="84"/>
    </row>
    <row r="42" spans="1:7" s="1" customFormat="1" ht="25.2" customHeight="1">
      <c r="A42" s="71"/>
      <c r="B42" s="83"/>
      <c r="C42" s="62"/>
      <c r="D42" s="155"/>
      <c r="E42" s="138"/>
      <c r="F42" s="167"/>
      <c r="G42" s="84"/>
    </row>
    <row r="43" spans="1:7" s="1" customFormat="1" ht="25.2" customHeight="1">
      <c r="A43" s="71"/>
      <c r="B43" s="72"/>
      <c r="C43" s="85"/>
      <c r="D43" s="152"/>
      <c r="E43" s="138"/>
      <c r="F43" s="167"/>
      <c r="G43" s="74"/>
    </row>
    <row r="44" spans="1:7" s="1" customFormat="1" ht="25.2" customHeight="1">
      <c r="A44" s="71"/>
      <c r="B44" s="72"/>
      <c r="C44" s="73"/>
      <c r="D44" s="152"/>
      <c r="E44" s="138"/>
      <c r="F44" s="168"/>
      <c r="G44" s="76"/>
    </row>
    <row r="45" spans="1:7" s="1" customFormat="1" ht="25.95" customHeight="1" thickBot="1">
      <c r="A45" s="79"/>
      <c r="B45" s="77"/>
      <c r="C45" s="80"/>
      <c r="D45" s="153"/>
      <c r="E45" s="139"/>
      <c r="F45" s="169"/>
      <c r="G45" s="78"/>
    </row>
    <row r="46" spans="1:7" s="1" customFormat="1" ht="25.95" customHeight="1" thickTop="1">
      <c r="A46" s="86"/>
      <c r="B46" s="87"/>
      <c r="C46" s="88"/>
      <c r="D46" s="151"/>
      <c r="E46" s="137"/>
      <c r="F46" s="166"/>
      <c r="G46" s="82"/>
    </row>
    <row r="47" spans="1:7" s="1" customFormat="1" ht="25.2" customHeight="1">
      <c r="A47" s="71"/>
      <c r="B47" s="72"/>
      <c r="C47" s="89"/>
      <c r="D47" s="152"/>
      <c r="E47" s="138"/>
      <c r="F47" s="167"/>
      <c r="G47" s="74"/>
    </row>
    <row r="48" spans="1:7" s="1" customFormat="1" ht="25.2" customHeight="1">
      <c r="A48" s="71"/>
      <c r="B48" s="83"/>
      <c r="C48" s="67"/>
      <c r="D48" s="155"/>
      <c r="E48" s="138"/>
      <c r="F48" s="167"/>
      <c r="G48" s="76"/>
    </row>
    <row r="49" spans="1:7" s="1" customFormat="1" ht="25.2" customHeight="1">
      <c r="A49" s="71"/>
      <c r="B49" s="83"/>
      <c r="C49" s="67"/>
      <c r="D49" s="155"/>
      <c r="E49" s="138"/>
      <c r="F49" s="167"/>
      <c r="G49" s="76"/>
    </row>
    <row r="50" spans="1:7" s="1" customFormat="1" ht="25.2" customHeight="1">
      <c r="A50" s="71"/>
      <c r="B50" s="83"/>
      <c r="C50" s="67"/>
      <c r="D50" s="155"/>
      <c r="E50" s="138"/>
      <c r="F50" s="167"/>
      <c r="G50" s="76"/>
    </row>
    <row r="51" spans="1:7" s="1" customFormat="1" ht="25.2" customHeight="1">
      <c r="A51" s="71"/>
      <c r="B51" s="83"/>
      <c r="C51" s="67"/>
      <c r="D51" s="155"/>
      <c r="E51" s="138"/>
      <c r="F51" s="167"/>
      <c r="G51" s="76"/>
    </row>
    <row r="52" spans="1:7" ht="25.2" customHeight="1">
      <c r="A52" s="71"/>
      <c r="B52" s="83"/>
      <c r="C52" s="67"/>
      <c r="D52" s="155"/>
      <c r="E52" s="138"/>
      <c r="F52" s="168"/>
      <c r="G52" s="76"/>
    </row>
    <row r="53" spans="1:7" ht="25.2" customHeight="1" thickBot="1">
      <c r="A53" s="79"/>
      <c r="B53" s="77"/>
      <c r="C53" s="90"/>
      <c r="D53" s="153"/>
      <c r="E53" s="139"/>
      <c r="F53" s="170"/>
      <c r="G53" s="78"/>
    </row>
    <row r="54" spans="1:7" ht="25.2" customHeight="1" thickTop="1">
      <c r="A54" s="86"/>
      <c r="B54" s="87"/>
      <c r="C54" s="91"/>
      <c r="D54" s="151"/>
      <c r="E54" s="137"/>
      <c r="F54" s="171"/>
      <c r="G54" s="92"/>
    </row>
    <row r="55" spans="1:7" ht="25.2" customHeight="1">
      <c r="A55" s="71"/>
      <c r="B55" s="72"/>
      <c r="C55" s="93"/>
      <c r="D55" s="152"/>
      <c r="E55" s="138"/>
      <c r="F55" s="168"/>
      <c r="G55" s="76"/>
    </row>
    <row r="56" spans="1:7" ht="25.2" customHeight="1">
      <c r="A56" s="71"/>
      <c r="B56" s="72"/>
      <c r="C56" s="93"/>
      <c r="D56" s="152"/>
      <c r="E56" s="138"/>
      <c r="F56" s="168"/>
      <c r="G56" s="76"/>
    </row>
    <row r="57" spans="1:7" ht="25.2" customHeight="1">
      <c r="A57" s="71"/>
      <c r="B57" s="72"/>
      <c r="C57" s="94"/>
      <c r="D57" s="152"/>
      <c r="E57" s="138"/>
      <c r="F57" s="168"/>
      <c r="G57" s="76"/>
    </row>
    <row r="58" spans="1:7" ht="25.2" customHeight="1">
      <c r="A58" s="71"/>
      <c r="B58" s="72"/>
      <c r="C58" s="93"/>
      <c r="D58" s="152"/>
      <c r="E58" s="138"/>
      <c r="F58" s="168"/>
      <c r="G58" s="76"/>
    </row>
    <row r="59" spans="1:7" ht="25.2" customHeight="1">
      <c r="A59" s="71"/>
      <c r="B59" s="72"/>
      <c r="C59" s="94"/>
      <c r="D59" s="152"/>
      <c r="E59" s="138"/>
      <c r="F59" s="168"/>
      <c r="G59" s="76"/>
    </row>
    <row r="60" spans="1:7" ht="25.2" customHeight="1">
      <c r="A60" s="71"/>
      <c r="B60" s="72"/>
      <c r="C60" s="75"/>
      <c r="D60" s="152"/>
      <c r="E60" s="138"/>
      <c r="F60" s="168"/>
      <c r="G60" s="76"/>
    </row>
    <row r="61" spans="1:7" ht="25.2" customHeight="1">
      <c r="A61" s="71"/>
      <c r="B61" s="72"/>
      <c r="C61" s="75"/>
      <c r="D61" s="152"/>
      <c r="E61" s="138"/>
      <c r="F61" s="168"/>
      <c r="G61" s="76"/>
    </row>
    <row r="62" spans="1:7" ht="25.95" customHeight="1" thickBot="1">
      <c r="A62" s="79"/>
      <c r="B62" s="77"/>
      <c r="C62" s="80"/>
      <c r="D62" s="153"/>
      <c r="E62" s="139"/>
      <c r="F62" s="169"/>
      <c r="G62" s="78"/>
    </row>
    <row r="63" spans="1:7" ht="25.95" customHeight="1" thickTop="1">
      <c r="A63" s="95"/>
      <c r="B63" s="96"/>
      <c r="C63" s="88"/>
      <c r="D63" s="156"/>
      <c r="E63" s="140"/>
      <c r="F63" s="172"/>
      <c r="G63" s="92"/>
    </row>
    <row r="64" spans="1:7" ht="25.95" customHeight="1">
      <c r="A64" s="97"/>
      <c r="B64" s="98"/>
      <c r="C64" s="99"/>
      <c r="D64" s="157"/>
      <c r="E64" s="141"/>
      <c r="F64" s="173"/>
      <c r="G64" s="100"/>
    </row>
    <row r="65" spans="1:7" ht="25.95" customHeight="1">
      <c r="A65" s="97"/>
      <c r="B65" s="98"/>
      <c r="C65" s="99"/>
      <c r="D65" s="157"/>
      <c r="E65" s="141"/>
      <c r="F65" s="173"/>
      <c r="G65" s="100"/>
    </row>
    <row r="66" spans="1:7" ht="25.95" customHeight="1">
      <c r="A66" s="97"/>
      <c r="B66" s="101"/>
      <c r="C66" s="99"/>
      <c r="D66" s="158"/>
      <c r="E66" s="141"/>
      <c r="F66" s="173"/>
      <c r="G66" s="100"/>
    </row>
    <row r="67" spans="1:7" ht="25.95" customHeight="1">
      <c r="A67" s="97"/>
      <c r="B67" s="102"/>
      <c r="C67" s="103"/>
      <c r="D67" s="159"/>
      <c r="E67" s="141"/>
      <c r="F67" s="173"/>
      <c r="G67" s="100"/>
    </row>
    <row r="68" spans="1:7" ht="25.95" customHeight="1">
      <c r="A68" s="97"/>
      <c r="B68" s="102"/>
      <c r="C68" s="103"/>
      <c r="D68" s="159"/>
      <c r="E68" s="141"/>
      <c r="F68" s="173"/>
      <c r="G68" s="100"/>
    </row>
    <row r="69" spans="1:7" ht="25.95" customHeight="1">
      <c r="A69" s="104"/>
      <c r="B69" s="105"/>
      <c r="C69" s="106"/>
      <c r="D69" s="159"/>
      <c r="E69" s="141"/>
      <c r="F69" s="173"/>
      <c r="G69" s="100"/>
    </row>
    <row r="70" spans="1:7" ht="25.95" customHeight="1">
      <c r="A70" s="105"/>
      <c r="B70" s="105"/>
      <c r="C70" s="99"/>
      <c r="D70" s="158"/>
      <c r="E70" s="141"/>
      <c r="F70" s="173"/>
      <c r="G70" s="100"/>
    </row>
    <row r="71" spans="1:7" ht="25.95" customHeight="1" thickBot="1">
      <c r="A71" s="107"/>
      <c r="B71" s="108"/>
      <c r="C71" s="109"/>
      <c r="D71" s="160"/>
      <c r="E71" s="142"/>
      <c r="F71" s="174"/>
      <c r="G71" s="110"/>
    </row>
    <row r="72" spans="1:7" ht="25.95" customHeight="1" thickTop="1">
      <c r="A72" s="111"/>
      <c r="B72" s="111"/>
      <c r="C72" s="112"/>
      <c r="D72" s="161"/>
      <c r="E72" s="143"/>
      <c r="F72" s="175"/>
      <c r="G72" s="113"/>
    </row>
    <row r="73" spans="1:7" ht="25.2" customHeight="1">
      <c r="A73" s="114"/>
      <c r="B73" s="114"/>
      <c r="C73" s="115"/>
      <c r="D73" s="162"/>
      <c r="E73" s="144"/>
      <c r="F73" s="176"/>
      <c r="G73" s="116"/>
    </row>
  </sheetData>
  <phoneticPr fontId="2" type="noConversion"/>
  <pageMargins left="0.75" right="0.75" top="1" bottom="1" header="0.5" footer="0.5"/>
  <pageSetup scale="34" orientation="portrait" r:id="rId1"/>
  <headerFooter>
    <oddHeader>&amp;C&amp;"Helvetica Neue,Regular"&amp;12&amp;K000000108年 比賽費用支出表</oddHead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pageSetUpPr fitToPage="1"/>
  </sheetPr>
  <dimension ref="A1:IV146"/>
  <sheetViews>
    <sheetView showGridLines="0" showRuler="0" topLeftCell="C1" zoomScale="90" zoomScaleNormal="90" workbookViewId="0">
      <pane ySplit="1" topLeftCell="A102" activePane="bottomLeft" state="frozen"/>
      <selection pane="bottomLeft" activeCell="J110" sqref="J110"/>
    </sheetView>
  </sheetViews>
  <sheetFormatPr defaultColWidth="8.81640625" defaultRowHeight="16.5" customHeight="1"/>
  <cols>
    <col min="1" max="1" width="5" style="46" customWidth="1"/>
    <col min="2" max="2" width="5.54296875" style="46" customWidth="1"/>
    <col min="3" max="3" width="6.1796875" style="46" customWidth="1"/>
    <col min="4" max="4" width="9.1796875" style="245" customWidth="1"/>
    <col min="5" max="5" width="8.453125" style="53" customWidth="1"/>
    <col min="6" max="6" width="8.6328125" style="277" customWidth="1"/>
    <col min="7" max="7" width="8.90625" style="51" customWidth="1"/>
    <col min="8" max="8" width="9.453125" style="51" customWidth="1"/>
    <col min="9" max="9" width="9.08984375" style="51" customWidth="1"/>
    <col min="10" max="10" width="9.81640625" style="51" customWidth="1"/>
    <col min="11" max="11" width="10.54296875" style="51" customWidth="1"/>
    <col min="12" max="12" width="10.453125" style="51" customWidth="1"/>
    <col min="13" max="13" width="10.54296875" style="51" customWidth="1"/>
    <col min="14" max="14" width="10.1796875" style="51" customWidth="1"/>
    <col min="15" max="15" width="8.6328125" style="51" customWidth="1"/>
    <col min="16" max="16" width="9.54296875" style="51" customWidth="1"/>
    <col min="17" max="17" width="9.453125" style="51" customWidth="1"/>
    <col min="18" max="18" width="11.6328125" style="46" bestFit="1" customWidth="1"/>
    <col min="19" max="256" width="8.81640625" style="46" customWidth="1"/>
    <col min="257" max="16384" width="8.81640625" style="50"/>
  </cols>
  <sheetData>
    <row r="1" spans="1:18" s="245" customFormat="1" ht="23.25" customHeight="1">
      <c r="A1" s="43" t="s">
        <v>34</v>
      </c>
      <c r="B1" s="43" t="s">
        <v>64</v>
      </c>
      <c r="C1" s="241" t="s">
        <v>317</v>
      </c>
      <c r="D1" s="43" t="s">
        <v>35</v>
      </c>
      <c r="E1" s="44" t="s">
        <v>36</v>
      </c>
      <c r="F1" s="274" t="s">
        <v>73</v>
      </c>
      <c r="G1" s="264" t="s">
        <v>84</v>
      </c>
      <c r="H1" s="44" t="s">
        <v>85</v>
      </c>
      <c r="I1" s="44" t="s">
        <v>74</v>
      </c>
      <c r="J1" s="44" t="s">
        <v>75</v>
      </c>
      <c r="K1" s="44" t="s">
        <v>76</v>
      </c>
      <c r="L1" s="44" t="s">
        <v>276</v>
      </c>
      <c r="M1" s="44" t="s">
        <v>277</v>
      </c>
      <c r="N1" s="44" t="s">
        <v>42</v>
      </c>
      <c r="O1" s="44" t="s">
        <v>43</v>
      </c>
      <c r="P1" s="44" t="s">
        <v>44</v>
      </c>
      <c r="Q1" s="44" t="s">
        <v>45</v>
      </c>
      <c r="R1" s="47" t="s">
        <v>127</v>
      </c>
    </row>
    <row r="2" spans="1:18" s="46" customFormat="1" ht="23.25" customHeight="1">
      <c r="A2" s="43" t="s">
        <v>82</v>
      </c>
      <c r="B2" s="43"/>
      <c r="C2" s="241"/>
      <c r="D2" s="234" t="s">
        <v>46</v>
      </c>
      <c r="E2" s="266">
        <v>1600</v>
      </c>
      <c r="F2" s="278">
        <v>3500</v>
      </c>
      <c r="G2" s="266">
        <v>1800</v>
      </c>
      <c r="H2" s="266">
        <v>2500</v>
      </c>
      <c r="I2" s="266">
        <v>2500</v>
      </c>
      <c r="J2" s="266">
        <v>2500</v>
      </c>
      <c r="K2" s="266" t="s">
        <v>266</v>
      </c>
      <c r="L2" s="266" t="s">
        <v>266</v>
      </c>
      <c r="M2" s="266" t="s">
        <v>266</v>
      </c>
      <c r="N2" s="266" t="s">
        <v>266</v>
      </c>
      <c r="O2" s="266" t="s">
        <v>266</v>
      </c>
      <c r="P2" s="266" t="s">
        <v>266</v>
      </c>
      <c r="Q2" s="266" t="s">
        <v>266</v>
      </c>
      <c r="R2" s="48">
        <f t="shared" ref="R2:R16" si="0">SUM(E2:Q2)</f>
        <v>14400</v>
      </c>
    </row>
    <row r="3" spans="1:18" s="46" customFormat="1" ht="23.25" customHeight="1">
      <c r="A3" s="43" t="s">
        <v>82</v>
      </c>
      <c r="B3" s="49"/>
      <c r="C3" s="241"/>
      <c r="D3" s="234" t="s">
        <v>47</v>
      </c>
      <c r="E3" s="266">
        <v>1600</v>
      </c>
      <c r="F3" s="278">
        <v>3500</v>
      </c>
      <c r="G3" s="266">
        <v>1800</v>
      </c>
      <c r="H3" s="266">
        <v>2500</v>
      </c>
      <c r="I3" s="266">
        <v>2500</v>
      </c>
      <c r="J3" s="266">
        <v>2500</v>
      </c>
      <c r="K3" s="266" t="s">
        <v>266</v>
      </c>
      <c r="L3" s="266" t="s">
        <v>266</v>
      </c>
      <c r="M3" s="266" t="s">
        <v>266</v>
      </c>
      <c r="N3" s="266" t="s">
        <v>266</v>
      </c>
      <c r="O3" s="266" t="s">
        <v>266</v>
      </c>
      <c r="P3" s="266" t="s">
        <v>266</v>
      </c>
      <c r="Q3" s="266" t="s">
        <v>266</v>
      </c>
      <c r="R3" s="48">
        <f t="shared" si="0"/>
        <v>14400</v>
      </c>
    </row>
    <row r="4" spans="1:18" s="46" customFormat="1" ht="23.25" customHeight="1">
      <c r="A4" s="43" t="s">
        <v>82</v>
      </c>
      <c r="B4" s="43"/>
      <c r="C4" s="241"/>
      <c r="D4" s="234" t="s">
        <v>125</v>
      </c>
      <c r="E4" s="266">
        <v>1600</v>
      </c>
      <c r="F4" s="278">
        <v>3500</v>
      </c>
      <c r="G4" s="266">
        <v>1800</v>
      </c>
      <c r="H4" s="266">
        <v>2500</v>
      </c>
      <c r="I4" s="266">
        <v>2500</v>
      </c>
      <c r="J4" s="266">
        <v>2500</v>
      </c>
      <c r="K4" s="266" t="s">
        <v>266</v>
      </c>
      <c r="L4" s="266" t="s">
        <v>266</v>
      </c>
      <c r="M4" s="266" t="s">
        <v>266</v>
      </c>
      <c r="N4" s="266" t="s">
        <v>266</v>
      </c>
      <c r="O4" s="266" t="s">
        <v>266</v>
      </c>
      <c r="P4" s="266" t="s">
        <v>266</v>
      </c>
      <c r="Q4" s="266" t="s">
        <v>266</v>
      </c>
      <c r="R4" s="48">
        <f t="shared" si="0"/>
        <v>14400</v>
      </c>
    </row>
    <row r="5" spans="1:18" s="46" customFormat="1" ht="23.25" customHeight="1">
      <c r="A5" s="43" t="s">
        <v>82</v>
      </c>
      <c r="B5" s="49"/>
      <c r="C5" s="241"/>
      <c r="D5" s="234" t="s">
        <v>48</v>
      </c>
      <c r="E5" s="266">
        <v>1600</v>
      </c>
      <c r="F5" s="278">
        <v>3500</v>
      </c>
      <c r="G5" s="266">
        <v>1800</v>
      </c>
      <c r="H5" s="266">
        <v>2500</v>
      </c>
      <c r="I5" s="266">
        <v>2500</v>
      </c>
      <c r="J5" s="266">
        <v>2500</v>
      </c>
      <c r="K5" s="266" t="s">
        <v>266</v>
      </c>
      <c r="L5" s="266" t="s">
        <v>266</v>
      </c>
      <c r="M5" s="266" t="s">
        <v>266</v>
      </c>
      <c r="N5" s="266" t="s">
        <v>266</v>
      </c>
      <c r="O5" s="266" t="s">
        <v>266</v>
      </c>
      <c r="P5" s="266" t="s">
        <v>266</v>
      </c>
      <c r="Q5" s="266" t="s">
        <v>266</v>
      </c>
      <c r="R5" s="48">
        <f t="shared" si="0"/>
        <v>14400</v>
      </c>
    </row>
    <row r="6" spans="1:18" s="46" customFormat="1" ht="23.25" customHeight="1">
      <c r="A6" s="43" t="s">
        <v>82</v>
      </c>
      <c r="B6" s="43"/>
      <c r="C6" s="241"/>
      <c r="D6" s="234" t="s">
        <v>49</v>
      </c>
      <c r="E6" s="266">
        <v>1600</v>
      </c>
      <c r="F6" s="278">
        <v>3500</v>
      </c>
      <c r="G6" s="266">
        <v>1800</v>
      </c>
      <c r="H6" s="266">
        <v>2500</v>
      </c>
      <c r="I6" s="266">
        <v>2500</v>
      </c>
      <c r="J6" s="266">
        <v>2500</v>
      </c>
      <c r="K6" s="266" t="s">
        <v>266</v>
      </c>
      <c r="L6" s="266" t="s">
        <v>266</v>
      </c>
      <c r="M6" s="266" t="s">
        <v>266</v>
      </c>
      <c r="N6" s="266" t="s">
        <v>266</v>
      </c>
      <c r="O6" s="266" t="s">
        <v>266</v>
      </c>
      <c r="P6" s="266" t="s">
        <v>266</v>
      </c>
      <c r="Q6" s="266" t="s">
        <v>266</v>
      </c>
      <c r="R6" s="48">
        <f t="shared" si="0"/>
        <v>14400</v>
      </c>
    </row>
    <row r="7" spans="1:18" s="46" customFormat="1" ht="22.95" customHeight="1">
      <c r="A7" s="43" t="s">
        <v>82</v>
      </c>
      <c r="B7" s="43"/>
      <c r="C7" s="241"/>
      <c r="D7" s="234" t="s">
        <v>83</v>
      </c>
      <c r="E7" s="266">
        <v>1600</v>
      </c>
      <c r="F7" s="278">
        <v>3500</v>
      </c>
      <c r="G7" s="266">
        <v>1800</v>
      </c>
      <c r="H7" s="266">
        <v>2500</v>
      </c>
      <c r="I7" s="266">
        <v>2500</v>
      </c>
      <c r="J7" s="266">
        <v>2500</v>
      </c>
      <c r="K7" s="266" t="s">
        <v>266</v>
      </c>
      <c r="L7" s="266" t="s">
        <v>266</v>
      </c>
      <c r="M7" s="266" t="s">
        <v>266</v>
      </c>
      <c r="N7" s="266" t="s">
        <v>266</v>
      </c>
      <c r="O7" s="266" t="s">
        <v>266</v>
      </c>
      <c r="P7" s="266" t="s">
        <v>266</v>
      </c>
      <c r="Q7" s="266" t="s">
        <v>266</v>
      </c>
      <c r="R7" s="48">
        <f t="shared" si="0"/>
        <v>14400</v>
      </c>
    </row>
    <row r="8" spans="1:18" s="46" customFormat="1" ht="23.25" customHeight="1">
      <c r="A8" s="43" t="s">
        <v>82</v>
      </c>
      <c r="B8" s="43"/>
      <c r="C8" s="241"/>
      <c r="D8" s="234" t="s">
        <v>50</v>
      </c>
      <c r="E8" s="266">
        <v>1600</v>
      </c>
      <c r="F8" s="278">
        <v>3500</v>
      </c>
      <c r="G8" s="266">
        <v>1800</v>
      </c>
      <c r="H8" s="266">
        <v>2500</v>
      </c>
      <c r="I8" s="266">
        <v>2500</v>
      </c>
      <c r="J8" s="266">
        <v>2500</v>
      </c>
      <c r="K8" s="266" t="s">
        <v>266</v>
      </c>
      <c r="L8" s="266" t="s">
        <v>266</v>
      </c>
      <c r="M8" s="266" t="s">
        <v>266</v>
      </c>
      <c r="N8" s="266" t="s">
        <v>266</v>
      </c>
      <c r="O8" s="266" t="s">
        <v>266</v>
      </c>
      <c r="P8" s="266" t="s">
        <v>266</v>
      </c>
      <c r="Q8" s="266" t="s">
        <v>266</v>
      </c>
      <c r="R8" s="48">
        <f t="shared" si="0"/>
        <v>14400</v>
      </c>
    </row>
    <row r="9" spans="1:18" s="46" customFormat="1" ht="23.25" customHeight="1">
      <c r="A9" s="43" t="s">
        <v>82</v>
      </c>
      <c r="B9" s="43"/>
      <c r="C9" s="241"/>
      <c r="D9" s="234" t="s">
        <v>51</v>
      </c>
      <c r="E9" s="266">
        <v>1600</v>
      </c>
      <c r="F9" s="278">
        <v>3500</v>
      </c>
      <c r="G9" s="266">
        <v>1800</v>
      </c>
      <c r="H9" s="266">
        <v>2500</v>
      </c>
      <c r="I9" s="266">
        <v>2500</v>
      </c>
      <c r="J9" s="266">
        <v>2500</v>
      </c>
      <c r="K9" s="266" t="s">
        <v>266</v>
      </c>
      <c r="L9" s="266" t="s">
        <v>266</v>
      </c>
      <c r="M9" s="266" t="s">
        <v>266</v>
      </c>
      <c r="N9" s="266" t="s">
        <v>266</v>
      </c>
      <c r="O9" s="266" t="s">
        <v>266</v>
      </c>
      <c r="P9" s="266" t="s">
        <v>266</v>
      </c>
      <c r="Q9" s="266" t="s">
        <v>266</v>
      </c>
      <c r="R9" s="48">
        <f t="shared" si="0"/>
        <v>14400</v>
      </c>
    </row>
    <row r="10" spans="1:18" s="46" customFormat="1" ht="23.25" customHeight="1">
      <c r="A10" s="43" t="s">
        <v>82</v>
      </c>
      <c r="B10" s="43"/>
      <c r="C10" s="241"/>
      <c r="D10" s="234" t="s">
        <v>52</v>
      </c>
      <c r="E10" s="266">
        <v>1600</v>
      </c>
      <c r="F10" s="278">
        <v>3500</v>
      </c>
      <c r="G10" s="266">
        <v>1800</v>
      </c>
      <c r="H10" s="266">
        <v>2500</v>
      </c>
      <c r="I10" s="266">
        <v>2500</v>
      </c>
      <c r="J10" s="266">
        <v>2500</v>
      </c>
      <c r="K10" s="266" t="s">
        <v>266</v>
      </c>
      <c r="L10" s="266" t="s">
        <v>266</v>
      </c>
      <c r="M10" s="266" t="s">
        <v>266</v>
      </c>
      <c r="N10" s="266" t="s">
        <v>266</v>
      </c>
      <c r="O10" s="266" t="s">
        <v>266</v>
      </c>
      <c r="P10" s="266" t="s">
        <v>266</v>
      </c>
      <c r="Q10" s="266" t="s">
        <v>266</v>
      </c>
      <c r="R10" s="48">
        <f>SUM(E10:Q10)</f>
        <v>14400</v>
      </c>
    </row>
    <row r="11" spans="1:18" s="46" customFormat="1" ht="23.25" customHeight="1">
      <c r="A11" s="43" t="s">
        <v>82</v>
      </c>
      <c r="B11" s="43"/>
      <c r="C11" s="241"/>
      <c r="D11" s="184" t="s">
        <v>79</v>
      </c>
      <c r="E11" s="266">
        <v>1600</v>
      </c>
      <c r="F11" s="278">
        <v>3500</v>
      </c>
      <c r="G11" s="266">
        <v>1800</v>
      </c>
      <c r="H11" s="266">
        <v>2500</v>
      </c>
      <c r="I11" s="266">
        <v>2500</v>
      </c>
      <c r="J11" s="266">
        <v>2500</v>
      </c>
      <c r="K11" s="266" t="s">
        <v>266</v>
      </c>
      <c r="L11" s="266" t="s">
        <v>266</v>
      </c>
      <c r="M11" s="266" t="s">
        <v>266</v>
      </c>
      <c r="N11" s="266" t="s">
        <v>266</v>
      </c>
      <c r="O11" s="266" t="s">
        <v>266</v>
      </c>
      <c r="P11" s="266" t="s">
        <v>266</v>
      </c>
      <c r="Q11" s="266" t="s">
        <v>266</v>
      </c>
      <c r="R11" s="48">
        <f t="shared" si="0"/>
        <v>14400</v>
      </c>
    </row>
    <row r="12" spans="1:18" s="46" customFormat="1" ht="23.25" customHeight="1">
      <c r="A12" s="43" t="s">
        <v>93</v>
      </c>
      <c r="B12" s="45"/>
      <c r="C12" s="241" t="s">
        <v>393</v>
      </c>
      <c r="D12" s="184" t="s">
        <v>103</v>
      </c>
      <c r="E12" s="266">
        <v>1600</v>
      </c>
      <c r="F12" s="278">
        <v>3500</v>
      </c>
      <c r="G12" s="266">
        <v>1800</v>
      </c>
      <c r="H12" s="266">
        <v>2500</v>
      </c>
      <c r="I12" s="266">
        <v>2500</v>
      </c>
      <c r="J12" s="266">
        <v>2500</v>
      </c>
      <c r="K12" s="266">
        <v>2500</v>
      </c>
      <c r="L12" s="266">
        <v>5000</v>
      </c>
      <c r="M12" s="266">
        <v>5000</v>
      </c>
      <c r="N12" s="266">
        <v>2800</v>
      </c>
      <c r="O12" s="373" t="s">
        <v>449</v>
      </c>
      <c r="P12" s="266">
        <v>5000</v>
      </c>
      <c r="Q12" s="266"/>
      <c r="R12" s="48">
        <f>SUM(E12:Q12)</f>
        <v>34700</v>
      </c>
    </row>
    <row r="13" spans="1:18" s="46" customFormat="1" ht="23.25" customHeight="1">
      <c r="A13" s="43" t="s">
        <v>93</v>
      </c>
      <c r="B13" s="43"/>
      <c r="C13" s="241" t="s">
        <v>318</v>
      </c>
      <c r="D13" s="234" t="s">
        <v>54</v>
      </c>
      <c r="E13" s="266">
        <v>1500</v>
      </c>
      <c r="F13" s="278">
        <v>3500</v>
      </c>
      <c r="G13" s="266">
        <v>1700</v>
      </c>
      <c r="H13" s="266">
        <v>2400</v>
      </c>
      <c r="I13" s="266">
        <v>2400</v>
      </c>
      <c r="J13" s="266">
        <v>2400</v>
      </c>
      <c r="K13" s="266">
        <v>2400</v>
      </c>
      <c r="L13" s="266" t="s">
        <v>309</v>
      </c>
      <c r="M13" s="266" t="s">
        <v>156</v>
      </c>
      <c r="N13" s="266">
        <v>2700</v>
      </c>
      <c r="O13" s="275">
        <v>2500</v>
      </c>
      <c r="P13" s="266">
        <v>2500</v>
      </c>
      <c r="Q13" s="266">
        <v>2500</v>
      </c>
      <c r="R13" s="48">
        <f t="shared" si="0"/>
        <v>26500</v>
      </c>
    </row>
    <row r="14" spans="1:18" s="46" customFormat="1" ht="23.25" customHeight="1">
      <c r="A14" s="43" t="s">
        <v>93</v>
      </c>
      <c r="B14" s="43"/>
      <c r="C14" s="241" t="s">
        <v>319</v>
      </c>
      <c r="D14" s="234" t="s">
        <v>55</v>
      </c>
      <c r="E14" s="266">
        <v>1600</v>
      </c>
      <c r="F14" s="278">
        <v>3500</v>
      </c>
      <c r="G14" s="266">
        <v>1800</v>
      </c>
      <c r="H14" s="266">
        <v>2500</v>
      </c>
      <c r="I14" s="266">
        <v>2500</v>
      </c>
      <c r="J14" s="266">
        <v>2500</v>
      </c>
      <c r="K14" s="266">
        <v>2500</v>
      </c>
      <c r="L14" s="266">
        <v>5000</v>
      </c>
      <c r="M14" s="266">
        <v>5000</v>
      </c>
      <c r="N14" s="266">
        <v>2800</v>
      </c>
      <c r="O14" s="266">
        <v>2500</v>
      </c>
      <c r="P14" s="266">
        <v>2500</v>
      </c>
      <c r="Q14" s="266">
        <v>2500</v>
      </c>
      <c r="R14" s="48">
        <f t="shared" si="0"/>
        <v>37200</v>
      </c>
    </row>
    <row r="15" spans="1:18" s="46" customFormat="1" ht="23.25" customHeight="1">
      <c r="A15" s="43" t="s">
        <v>93</v>
      </c>
      <c r="B15" s="43"/>
      <c r="C15" s="241" t="s">
        <v>320</v>
      </c>
      <c r="D15" s="234" t="s">
        <v>66</v>
      </c>
      <c r="E15" s="266">
        <v>1600</v>
      </c>
      <c r="F15" s="278">
        <v>3500</v>
      </c>
      <c r="G15" s="266">
        <v>1800</v>
      </c>
      <c r="H15" s="266">
        <v>2500</v>
      </c>
      <c r="I15" s="266">
        <v>2500</v>
      </c>
      <c r="J15" s="266">
        <v>2500</v>
      </c>
      <c r="K15" s="266">
        <v>2500</v>
      </c>
      <c r="L15" s="266">
        <v>5000</v>
      </c>
      <c r="M15" s="266">
        <v>5000</v>
      </c>
      <c r="N15" s="266">
        <v>2800</v>
      </c>
      <c r="O15" s="266">
        <v>2500</v>
      </c>
      <c r="P15" s="266">
        <v>2500</v>
      </c>
      <c r="Q15" s="266">
        <v>2500</v>
      </c>
      <c r="R15" s="48">
        <f t="shared" si="0"/>
        <v>37200</v>
      </c>
    </row>
    <row r="16" spans="1:18" s="46" customFormat="1" ht="23.25" customHeight="1">
      <c r="A16" s="43" t="s">
        <v>93</v>
      </c>
      <c r="B16" s="43"/>
      <c r="C16" s="241" t="s">
        <v>321</v>
      </c>
      <c r="D16" s="234" t="s">
        <v>67</v>
      </c>
      <c r="E16" s="266">
        <v>1600</v>
      </c>
      <c r="F16" s="278">
        <v>3500</v>
      </c>
      <c r="G16" s="266">
        <v>1800</v>
      </c>
      <c r="H16" s="266">
        <v>2500</v>
      </c>
      <c r="I16" s="266">
        <v>2500</v>
      </c>
      <c r="J16" s="266">
        <v>2500</v>
      </c>
      <c r="K16" s="266">
        <v>2500</v>
      </c>
      <c r="L16" s="266">
        <v>5000</v>
      </c>
      <c r="M16" s="266">
        <v>5000</v>
      </c>
      <c r="N16" s="373" t="s">
        <v>450</v>
      </c>
      <c r="O16" s="266">
        <v>5300</v>
      </c>
      <c r="P16" s="266">
        <v>2500</v>
      </c>
      <c r="Q16" s="266">
        <v>2500</v>
      </c>
      <c r="R16" s="48">
        <f t="shared" si="0"/>
        <v>37200</v>
      </c>
    </row>
    <row r="17" spans="1:18" s="46" customFormat="1" ht="23.25" customHeight="1">
      <c r="A17" s="43" t="s">
        <v>93</v>
      </c>
      <c r="B17" s="43"/>
      <c r="C17" s="241" t="s">
        <v>322</v>
      </c>
      <c r="D17" s="184" t="s">
        <v>71</v>
      </c>
      <c r="E17" s="266">
        <v>1600</v>
      </c>
      <c r="F17" s="278">
        <v>3500</v>
      </c>
      <c r="G17" s="266">
        <v>1800</v>
      </c>
      <c r="H17" s="266">
        <v>2500</v>
      </c>
      <c r="I17" s="266">
        <v>2500</v>
      </c>
      <c r="J17" s="266">
        <v>2500</v>
      </c>
      <c r="K17" s="266">
        <v>2500</v>
      </c>
      <c r="L17" s="266">
        <v>5000</v>
      </c>
      <c r="M17" s="266">
        <v>5000</v>
      </c>
      <c r="N17" s="266">
        <v>2800</v>
      </c>
      <c r="O17" s="266">
        <v>2500</v>
      </c>
      <c r="P17" s="266">
        <v>2500</v>
      </c>
      <c r="Q17" s="266">
        <v>2500</v>
      </c>
      <c r="R17" s="48">
        <f t="shared" ref="R17:R51" si="1">SUM(E17:Q17)</f>
        <v>37200</v>
      </c>
    </row>
    <row r="18" spans="1:18" s="46" customFormat="1" ht="23.25" customHeight="1">
      <c r="A18" s="43" t="s">
        <v>93</v>
      </c>
      <c r="B18" s="45"/>
      <c r="C18" s="241" t="s">
        <v>323</v>
      </c>
      <c r="D18" s="184" t="s">
        <v>98</v>
      </c>
      <c r="E18" s="266">
        <v>1600</v>
      </c>
      <c r="F18" s="278">
        <v>3500</v>
      </c>
      <c r="G18" s="266">
        <v>1800</v>
      </c>
      <c r="H18" s="266">
        <v>2500</v>
      </c>
      <c r="I18" s="266">
        <v>2500</v>
      </c>
      <c r="J18" s="266">
        <v>2500</v>
      </c>
      <c r="K18" s="266">
        <v>2500</v>
      </c>
      <c r="L18" s="266">
        <v>5000</v>
      </c>
      <c r="M18" s="266">
        <v>5000</v>
      </c>
      <c r="N18" s="373" t="s">
        <v>450</v>
      </c>
      <c r="O18" s="266">
        <v>5300</v>
      </c>
      <c r="P18" s="266">
        <v>2500</v>
      </c>
      <c r="Q18" s="266">
        <v>2500</v>
      </c>
      <c r="R18" s="48">
        <f t="shared" si="1"/>
        <v>37200</v>
      </c>
    </row>
    <row r="19" spans="1:18" ht="23.25" customHeight="1">
      <c r="A19" s="47"/>
      <c r="B19" s="43"/>
      <c r="C19" s="241" t="s">
        <v>324</v>
      </c>
      <c r="D19" s="184" t="s">
        <v>100</v>
      </c>
      <c r="E19" s="266">
        <v>1600</v>
      </c>
      <c r="F19" s="279">
        <v>2800</v>
      </c>
      <c r="G19" s="266" t="s">
        <v>184</v>
      </c>
      <c r="H19" s="273" t="s">
        <v>214</v>
      </c>
      <c r="I19" s="266">
        <f>2800+2500</f>
        <v>5300</v>
      </c>
      <c r="J19" s="266">
        <v>2500</v>
      </c>
      <c r="K19" s="266">
        <v>2500</v>
      </c>
      <c r="L19" s="266">
        <v>3500</v>
      </c>
      <c r="M19" s="266" t="s">
        <v>156</v>
      </c>
      <c r="N19" s="266">
        <v>2800</v>
      </c>
      <c r="O19" s="266">
        <v>2500</v>
      </c>
      <c r="P19" s="266">
        <v>2500</v>
      </c>
      <c r="Q19" s="266">
        <v>2500</v>
      </c>
      <c r="R19" s="48">
        <f t="shared" si="1"/>
        <v>28500</v>
      </c>
    </row>
    <row r="20" spans="1:18" ht="23.25" customHeight="1">
      <c r="A20" s="43" t="s">
        <v>65</v>
      </c>
      <c r="B20" s="45"/>
      <c r="C20" s="241" t="s">
        <v>325</v>
      </c>
      <c r="D20" s="184" t="s">
        <v>124</v>
      </c>
      <c r="E20" s="266">
        <v>1500</v>
      </c>
      <c r="F20" s="278">
        <v>3500</v>
      </c>
      <c r="G20" s="266">
        <v>1700</v>
      </c>
      <c r="H20" s="266">
        <v>2400</v>
      </c>
      <c r="I20" s="266">
        <v>2400</v>
      </c>
      <c r="J20" s="266">
        <v>2400</v>
      </c>
      <c r="K20" s="266">
        <v>2400</v>
      </c>
      <c r="L20" s="266">
        <v>5000</v>
      </c>
      <c r="M20" s="266">
        <v>5000</v>
      </c>
      <c r="N20" s="266">
        <v>2700</v>
      </c>
      <c r="O20" s="266">
        <v>2500</v>
      </c>
      <c r="P20" s="266">
        <v>2500</v>
      </c>
      <c r="Q20" s="266">
        <v>2500</v>
      </c>
      <c r="R20" s="48">
        <f>SUM(E20:Q20)</f>
        <v>36500</v>
      </c>
    </row>
    <row r="21" spans="1:18" s="46" customFormat="1" ht="23.25" customHeight="1">
      <c r="A21" s="247"/>
      <c r="B21" s="241"/>
      <c r="C21" s="241" t="s">
        <v>326</v>
      </c>
      <c r="D21" s="184" t="s">
        <v>106</v>
      </c>
      <c r="E21" s="265">
        <v>1600</v>
      </c>
      <c r="F21" s="278">
        <v>3500</v>
      </c>
      <c r="G21" s="266">
        <v>1800</v>
      </c>
      <c r="H21" s="266">
        <v>2500</v>
      </c>
      <c r="I21" s="266">
        <v>2500</v>
      </c>
      <c r="J21" s="266">
        <v>2500</v>
      </c>
      <c r="K21" s="266">
        <v>2500</v>
      </c>
      <c r="L21" s="266">
        <v>5000</v>
      </c>
      <c r="M21" s="266">
        <v>5000</v>
      </c>
      <c r="N21" s="266">
        <v>2800</v>
      </c>
      <c r="O21" s="266">
        <v>2500</v>
      </c>
      <c r="P21" s="266">
        <v>2500</v>
      </c>
      <c r="Q21" s="266">
        <v>2500</v>
      </c>
      <c r="R21" s="48">
        <f t="shared" si="1"/>
        <v>37200</v>
      </c>
    </row>
    <row r="22" spans="1:18" s="46" customFormat="1" ht="23.25" customHeight="1">
      <c r="A22" s="43" t="s">
        <v>65</v>
      </c>
      <c r="B22" s="43"/>
      <c r="C22" s="241" t="s">
        <v>327</v>
      </c>
      <c r="D22" s="234" t="s">
        <v>56</v>
      </c>
      <c r="E22" s="266">
        <v>1600</v>
      </c>
      <c r="F22" s="278">
        <v>3500</v>
      </c>
      <c r="G22" s="266">
        <v>1800</v>
      </c>
      <c r="H22" s="266">
        <v>2500</v>
      </c>
      <c r="I22" s="266">
        <v>2500</v>
      </c>
      <c r="J22" s="266">
        <v>2500</v>
      </c>
      <c r="K22" s="266">
        <v>2500</v>
      </c>
      <c r="L22" s="266">
        <v>3500</v>
      </c>
      <c r="M22" s="266">
        <v>3500</v>
      </c>
      <c r="N22" s="266">
        <v>2800</v>
      </c>
      <c r="O22" s="266">
        <v>2500</v>
      </c>
      <c r="P22" s="266">
        <v>2500</v>
      </c>
      <c r="Q22" s="266">
        <v>2500</v>
      </c>
      <c r="R22" s="48">
        <f t="shared" si="1"/>
        <v>34200</v>
      </c>
    </row>
    <row r="23" spans="1:18" ht="23.25" customHeight="1">
      <c r="A23" s="43" t="s">
        <v>65</v>
      </c>
      <c r="B23" s="43"/>
      <c r="C23" s="241" t="s">
        <v>328</v>
      </c>
      <c r="D23" s="234" t="s">
        <v>68</v>
      </c>
      <c r="E23" s="266">
        <v>1600</v>
      </c>
      <c r="F23" s="278">
        <v>3500</v>
      </c>
      <c r="G23" s="266">
        <v>1800</v>
      </c>
      <c r="H23" s="266">
        <v>2500</v>
      </c>
      <c r="I23" s="266">
        <v>2500</v>
      </c>
      <c r="J23" s="266">
        <v>2500</v>
      </c>
      <c r="K23" s="266">
        <v>2500</v>
      </c>
      <c r="L23" s="266">
        <v>5000</v>
      </c>
      <c r="M23" s="266">
        <v>5000</v>
      </c>
      <c r="N23" s="373" t="s">
        <v>450</v>
      </c>
      <c r="O23" s="266">
        <v>5300</v>
      </c>
      <c r="P23" s="266">
        <v>2500</v>
      </c>
      <c r="Q23" s="266">
        <v>2500</v>
      </c>
      <c r="R23" s="48">
        <f t="shared" si="1"/>
        <v>37200</v>
      </c>
    </row>
    <row r="24" spans="1:18" ht="23.25" customHeight="1">
      <c r="A24" s="43" t="s">
        <v>65</v>
      </c>
      <c r="B24" s="43"/>
      <c r="C24" s="241" t="s">
        <v>329</v>
      </c>
      <c r="D24" s="184" t="s">
        <v>69</v>
      </c>
      <c r="E24" s="266">
        <v>1600</v>
      </c>
      <c r="F24" s="278">
        <v>3500</v>
      </c>
      <c r="G24" s="273" t="s">
        <v>207</v>
      </c>
      <c r="H24" s="266">
        <f>2400+1700</f>
        <v>4100</v>
      </c>
      <c r="I24" s="266">
        <v>2400</v>
      </c>
      <c r="J24" s="266">
        <v>2400</v>
      </c>
      <c r="K24" s="266">
        <v>2400</v>
      </c>
      <c r="L24" s="266">
        <v>5000</v>
      </c>
      <c r="M24" s="266">
        <v>5000</v>
      </c>
      <c r="N24" s="266">
        <v>2700</v>
      </c>
      <c r="O24" s="266">
        <v>2400</v>
      </c>
      <c r="P24" s="266">
        <v>2400</v>
      </c>
      <c r="Q24" s="266">
        <v>2400</v>
      </c>
      <c r="R24" s="48">
        <f t="shared" si="1"/>
        <v>36300</v>
      </c>
    </row>
    <row r="25" spans="1:18" ht="23.25" customHeight="1">
      <c r="A25" s="43" t="s">
        <v>65</v>
      </c>
      <c r="B25" s="43"/>
      <c r="C25" s="241" t="s">
        <v>330</v>
      </c>
      <c r="D25" s="184" t="s">
        <v>88</v>
      </c>
      <c r="E25" s="266">
        <v>1500</v>
      </c>
      <c r="F25" s="278">
        <v>3500</v>
      </c>
      <c r="G25" s="266">
        <v>1700</v>
      </c>
      <c r="H25" s="266">
        <v>2400</v>
      </c>
      <c r="I25" s="266">
        <v>2400</v>
      </c>
      <c r="J25" s="266">
        <v>2400</v>
      </c>
      <c r="K25" s="266">
        <v>2400</v>
      </c>
      <c r="L25" s="266">
        <v>5000</v>
      </c>
      <c r="M25" s="266">
        <v>5000</v>
      </c>
      <c r="N25" s="266">
        <v>2700</v>
      </c>
      <c r="O25" s="266">
        <v>2400</v>
      </c>
      <c r="P25" s="266">
        <v>2400</v>
      </c>
      <c r="Q25" s="266">
        <v>2400</v>
      </c>
      <c r="R25" s="48">
        <f>SUM(E25:Q25)</f>
        <v>36200</v>
      </c>
    </row>
    <row r="26" spans="1:18" ht="23.25" customHeight="1">
      <c r="A26" s="43" t="s">
        <v>65</v>
      </c>
      <c r="B26" s="43"/>
      <c r="C26" s="241" t="s">
        <v>331</v>
      </c>
      <c r="D26" s="184" t="s">
        <v>72</v>
      </c>
      <c r="E26" s="266">
        <v>1600</v>
      </c>
      <c r="F26" s="278">
        <v>3500</v>
      </c>
      <c r="G26" s="266">
        <v>1800</v>
      </c>
      <c r="H26" s="266">
        <v>2500</v>
      </c>
      <c r="I26" s="266">
        <v>2500</v>
      </c>
      <c r="J26" s="266">
        <v>2500</v>
      </c>
      <c r="K26" s="266">
        <v>2500</v>
      </c>
      <c r="L26" s="266">
        <v>5000</v>
      </c>
      <c r="M26" s="266">
        <v>5000</v>
      </c>
      <c r="N26" s="266">
        <v>2800</v>
      </c>
      <c r="O26" s="266">
        <v>2500</v>
      </c>
      <c r="P26" s="266">
        <v>2500</v>
      </c>
      <c r="Q26" s="266">
        <v>2500</v>
      </c>
      <c r="R26" s="48">
        <f t="shared" si="1"/>
        <v>37200</v>
      </c>
    </row>
    <row r="27" spans="1:18" ht="23.25" customHeight="1">
      <c r="A27" s="241"/>
      <c r="B27" s="241"/>
      <c r="C27" s="241" t="s">
        <v>332</v>
      </c>
      <c r="D27" s="263" t="s">
        <v>170</v>
      </c>
      <c r="E27" s="265" t="s">
        <v>171</v>
      </c>
      <c r="F27" s="278">
        <v>3500</v>
      </c>
      <c r="G27" s="266">
        <v>1800</v>
      </c>
      <c r="H27" s="266">
        <v>2500</v>
      </c>
      <c r="I27" s="266">
        <v>2500</v>
      </c>
      <c r="J27" s="266">
        <v>2500</v>
      </c>
      <c r="K27" s="266">
        <v>2500</v>
      </c>
      <c r="L27" s="266">
        <v>3500</v>
      </c>
      <c r="M27" s="266">
        <v>3500</v>
      </c>
      <c r="N27" s="266">
        <v>2800</v>
      </c>
      <c r="O27" s="373" t="s">
        <v>449</v>
      </c>
      <c r="P27" s="266">
        <v>5000</v>
      </c>
      <c r="Q27" s="266">
        <v>2500</v>
      </c>
      <c r="R27" s="48">
        <f t="shared" si="1"/>
        <v>32600</v>
      </c>
    </row>
    <row r="28" spans="1:18" ht="23.25" customHeight="1">
      <c r="A28" s="230" t="s">
        <v>102</v>
      </c>
      <c r="B28" s="43"/>
      <c r="C28" s="241" t="s">
        <v>333</v>
      </c>
      <c r="D28" s="251" t="s">
        <v>110</v>
      </c>
      <c r="E28" s="266">
        <v>1600</v>
      </c>
      <c r="F28" s="278">
        <v>3500</v>
      </c>
      <c r="G28" s="266">
        <v>1800</v>
      </c>
      <c r="H28" s="266">
        <v>2500</v>
      </c>
      <c r="I28" s="266">
        <v>2500</v>
      </c>
      <c r="J28" s="266">
        <v>2500</v>
      </c>
      <c r="K28" s="266">
        <v>2500</v>
      </c>
      <c r="L28" s="266">
        <v>3500</v>
      </c>
      <c r="M28" s="266">
        <v>3500</v>
      </c>
      <c r="N28" s="266">
        <v>2800</v>
      </c>
      <c r="O28" s="373" t="s">
        <v>449</v>
      </c>
      <c r="P28" s="266">
        <v>5000</v>
      </c>
      <c r="Q28" s="266">
        <v>2500</v>
      </c>
      <c r="R28" s="48">
        <f>SUM(E28:Q28)</f>
        <v>34200</v>
      </c>
    </row>
    <row r="29" spans="1:18" ht="23.25" customHeight="1">
      <c r="A29" s="240"/>
      <c r="B29" s="43"/>
      <c r="C29" s="241" t="s">
        <v>334</v>
      </c>
      <c r="D29" s="251" t="s">
        <v>115</v>
      </c>
      <c r="E29" s="266">
        <v>1600</v>
      </c>
      <c r="F29" s="279">
        <v>2800</v>
      </c>
      <c r="G29" s="266">
        <v>1800</v>
      </c>
      <c r="H29" s="266">
        <v>2500</v>
      </c>
      <c r="I29" s="266">
        <v>2500</v>
      </c>
      <c r="J29" s="266">
        <v>2500</v>
      </c>
      <c r="K29" s="266">
        <v>2500</v>
      </c>
      <c r="L29" s="266">
        <v>3500</v>
      </c>
      <c r="M29" s="266">
        <v>3500</v>
      </c>
      <c r="N29" s="266">
        <v>2800</v>
      </c>
      <c r="O29" s="266">
        <v>2500</v>
      </c>
      <c r="P29" s="266">
        <v>2500</v>
      </c>
      <c r="Q29" s="266">
        <v>2500</v>
      </c>
      <c r="R29" s="48">
        <f>SUM(E29:Q29)</f>
        <v>33500</v>
      </c>
    </row>
    <row r="30" spans="1:18" ht="23.25" customHeight="1">
      <c r="A30" s="47">
        <v>3</v>
      </c>
      <c r="B30" s="45"/>
      <c r="C30" s="241" t="s">
        <v>335</v>
      </c>
      <c r="D30" s="184" t="s">
        <v>105</v>
      </c>
      <c r="E30" s="266">
        <v>1500</v>
      </c>
      <c r="F30" s="278">
        <v>3500</v>
      </c>
      <c r="G30" s="266">
        <v>1700</v>
      </c>
      <c r="H30" s="266">
        <v>2400</v>
      </c>
      <c r="I30" s="266">
        <v>2400</v>
      </c>
      <c r="J30" s="266">
        <v>2400</v>
      </c>
      <c r="K30" s="266">
        <v>2400</v>
      </c>
      <c r="L30" s="266">
        <v>5000</v>
      </c>
      <c r="M30" s="266">
        <v>5000</v>
      </c>
      <c r="N30" s="266">
        <v>2700</v>
      </c>
      <c r="O30" s="266">
        <v>2500</v>
      </c>
      <c r="P30" s="266">
        <v>2500</v>
      </c>
      <c r="Q30" s="266">
        <v>2500</v>
      </c>
      <c r="R30" s="48">
        <f>SUM(E30:Q30)</f>
        <v>36500</v>
      </c>
    </row>
    <row r="31" spans="1:18" ht="23.25" customHeight="1">
      <c r="A31" s="240"/>
      <c r="B31" s="43"/>
      <c r="C31" s="241" t="s">
        <v>336</v>
      </c>
      <c r="D31" s="251" t="s">
        <v>117</v>
      </c>
      <c r="E31" s="266">
        <v>1600</v>
      </c>
      <c r="F31" s="279">
        <v>2800</v>
      </c>
      <c r="G31" s="266">
        <v>1800</v>
      </c>
      <c r="H31" s="266">
        <v>2500</v>
      </c>
      <c r="I31" s="266">
        <v>2500</v>
      </c>
      <c r="J31" s="266">
        <v>2500</v>
      </c>
      <c r="K31" s="266">
        <v>2500</v>
      </c>
      <c r="L31" s="266">
        <v>3500</v>
      </c>
      <c r="M31" s="266">
        <v>3500</v>
      </c>
      <c r="N31" s="266">
        <v>2800</v>
      </c>
      <c r="O31" s="266">
        <v>2500</v>
      </c>
      <c r="P31" s="266">
        <v>2500</v>
      </c>
      <c r="Q31" s="266">
        <v>2500</v>
      </c>
      <c r="R31" s="48">
        <f>SUM(E31:Q31)</f>
        <v>33500</v>
      </c>
    </row>
    <row r="32" spans="1:18" ht="23.25" customHeight="1">
      <c r="A32" s="240"/>
      <c r="B32" s="43"/>
      <c r="C32" s="241" t="s">
        <v>337</v>
      </c>
      <c r="D32" s="251" t="s">
        <v>118</v>
      </c>
      <c r="E32" s="266">
        <v>1600</v>
      </c>
      <c r="F32" s="279">
        <v>2800</v>
      </c>
      <c r="G32" s="266">
        <v>1800</v>
      </c>
      <c r="H32" s="266">
        <v>2500</v>
      </c>
      <c r="I32" s="266">
        <v>2500</v>
      </c>
      <c r="J32" s="266">
        <v>2500</v>
      </c>
      <c r="K32" s="266">
        <v>2500</v>
      </c>
      <c r="L32" s="266">
        <v>3500</v>
      </c>
      <c r="M32" s="266">
        <v>3500</v>
      </c>
      <c r="N32" s="266">
        <v>2800</v>
      </c>
      <c r="O32" s="266">
        <v>2500</v>
      </c>
      <c r="P32" s="266">
        <v>2500</v>
      </c>
      <c r="Q32" s="266">
        <v>2500</v>
      </c>
      <c r="R32" s="48">
        <f>SUM(E32:Q32)</f>
        <v>33500</v>
      </c>
    </row>
    <row r="33" spans="1:18" ht="23.25" customHeight="1">
      <c r="A33" s="47">
        <v>3</v>
      </c>
      <c r="B33" s="43"/>
      <c r="C33" s="241" t="s">
        <v>338</v>
      </c>
      <c r="D33" s="184" t="s">
        <v>104</v>
      </c>
      <c r="E33" s="266">
        <v>1600</v>
      </c>
      <c r="F33" s="278">
        <v>3500</v>
      </c>
      <c r="G33" s="266">
        <v>1800</v>
      </c>
      <c r="H33" s="266">
        <v>2500</v>
      </c>
      <c r="I33" s="266">
        <v>2500</v>
      </c>
      <c r="J33" s="266">
        <v>2500</v>
      </c>
      <c r="K33" s="266">
        <v>2500</v>
      </c>
      <c r="L33" s="266">
        <v>3500</v>
      </c>
      <c r="M33" s="266">
        <v>5000</v>
      </c>
      <c r="N33" s="266">
        <v>2800</v>
      </c>
      <c r="O33" s="266">
        <v>2500</v>
      </c>
      <c r="P33" s="266">
        <v>2500</v>
      </c>
      <c r="Q33" s="266">
        <v>2500</v>
      </c>
      <c r="R33" s="48">
        <f t="shared" si="1"/>
        <v>35700</v>
      </c>
    </row>
    <row r="34" spans="1:18" ht="23.25" customHeight="1">
      <c r="A34" s="47">
        <v>3</v>
      </c>
      <c r="B34" s="45"/>
      <c r="C34" s="241" t="s">
        <v>339</v>
      </c>
      <c r="D34" s="184" t="s">
        <v>80</v>
      </c>
      <c r="E34" s="266">
        <v>1600</v>
      </c>
      <c r="F34" s="278">
        <v>3500</v>
      </c>
      <c r="G34" s="266">
        <v>1800</v>
      </c>
      <c r="H34" s="266">
        <v>2500</v>
      </c>
      <c r="I34" s="266">
        <v>2500</v>
      </c>
      <c r="J34" s="266">
        <v>2500</v>
      </c>
      <c r="K34" s="266">
        <v>2500</v>
      </c>
      <c r="L34" s="266">
        <v>5000</v>
      </c>
      <c r="M34" s="266">
        <v>5000</v>
      </c>
      <c r="N34" s="266">
        <v>2800</v>
      </c>
      <c r="O34" s="266">
        <v>2500</v>
      </c>
      <c r="P34" s="266">
        <v>2500</v>
      </c>
      <c r="Q34" s="266">
        <v>2500</v>
      </c>
      <c r="R34" s="48">
        <f>SUM(E34:Q34)</f>
        <v>37200</v>
      </c>
    </row>
    <row r="35" spans="1:18" ht="23.25" customHeight="1">
      <c r="A35" s="47">
        <v>3</v>
      </c>
      <c r="B35" s="45"/>
      <c r="C35" s="241" t="s">
        <v>340</v>
      </c>
      <c r="D35" s="184" t="s">
        <v>267</v>
      </c>
      <c r="E35" s="266">
        <v>1600</v>
      </c>
      <c r="F35" s="278">
        <v>3500</v>
      </c>
      <c r="G35" s="266">
        <v>1800</v>
      </c>
      <c r="H35" s="273" t="s">
        <v>214</v>
      </c>
      <c r="I35" s="266">
        <v>5000</v>
      </c>
      <c r="J35" s="266">
        <v>2500</v>
      </c>
      <c r="K35" s="266">
        <v>2500</v>
      </c>
      <c r="L35" s="266">
        <v>5000</v>
      </c>
      <c r="M35" s="266">
        <v>5000</v>
      </c>
      <c r="N35" s="266">
        <v>2800</v>
      </c>
      <c r="O35" s="266">
        <v>2500</v>
      </c>
      <c r="P35" s="266">
        <v>2500</v>
      </c>
      <c r="Q35" s="266">
        <v>2500</v>
      </c>
      <c r="R35" s="48">
        <f t="shared" si="1"/>
        <v>37200</v>
      </c>
    </row>
    <row r="36" spans="1:18" ht="23.25" customHeight="1">
      <c r="A36" s="47">
        <v>3</v>
      </c>
      <c r="B36" s="43"/>
      <c r="C36" s="241" t="s">
        <v>341</v>
      </c>
      <c r="D36" s="184" t="s">
        <v>99</v>
      </c>
      <c r="E36" s="266">
        <v>1600</v>
      </c>
      <c r="F36" s="278">
        <v>3500</v>
      </c>
      <c r="G36" s="266">
        <v>1800</v>
      </c>
      <c r="H36" s="266">
        <v>2500</v>
      </c>
      <c r="I36" s="266">
        <v>2500</v>
      </c>
      <c r="J36" s="266">
        <v>2500</v>
      </c>
      <c r="K36" s="266">
        <v>2500</v>
      </c>
      <c r="L36" s="266">
        <v>5000</v>
      </c>
      <c r="M36" s="266">
        <v>5000</v>
      </c>
      <c r="N36" s="266">
        <v>2800</v>
      </c>
      <c r="O36" s="266">
        <v>2500</v>
      </c>
      <c r="P36" s="266">
        <v>2500</v>
      </c>
      <c r="Q36" s="266">
        <v>2500</v>
      </c>
      <c r="R36" s="48">
        <f t="shared" si="1"/>
        <v>37200</v>
      </c>
    </row>
    <row r="37" spans="1:18" ht="23.25" customHeight="1">
      <c r="A37" s="230" t="s">
        <v>102</v>
      </c>
      <c r="B37" s="43"/>
      <c r="C37" s="241" t="s">
        <v>342</v>
      </c>
      <c r="D37" s="246" t="s">
        <v>81</v>
      </c>
      <c r="E37" s="266">
        <v>1600</v>
      </c>
      <c r="F37" s="278">
        <v>3500</v>
      </c>
      <c r="G37" s="266">
        <v>1800</v>
      </c>
      <c r="H37" s="266">
        <v>2500</v>
      </c>
      <c r="I37" s="266">
        <v>2500</v>
      </c>
      <c r="J37" s="266">
        <v>2500</v>
      </c>
      <c r="K37" s="266">
        <v>2500</v>
      </c>
      <c r="L37" s="275" t="s">
        <v>156</v>
      </c>
      <c r="M37" s="266">
        <v>5000</v>
      </c>
      <c r="N37" s="266">
        <v>2800</v>
      </c>
      <c r="O37" s="266">
        <v>2500</v>
      </c>
      <c r="P37" s="266">
        <v>2500</v>
      </c>
      <c r="Q37" s="266">
        <v>2500</v>
      </c>
      <c r="R37" s="48">
        <f t="shared" si="1"/>
        <v>32200</v>
      </c>
    </row>
    <row r="38" spans="1:18" ht="23.25" customHeight="1">
      <c r="A38" s="230" t="s">
        <v>102</v>
      </c>
      <c r="B38" s="47"/>
      <c r="C38" s="241" t="s">
        <v>343</v>
      </c>
      <c r="D38" s="252" t="s">
        <v>123</v>
      </c>
      <c r="E38" s="266">
        <v>1600</v>
      </c>
      <c r="F38" s="278">
        <v>3500</v>
      </c>
      <c r="G38" s="266">
        <v>1800</v>
      </c>
      <c r="H38" s="266">
        <v>2500</v>
      </c>
      <c r="I38" s="266">
        <v>2500</v>
      </c>
      <c r="J38" s="266">
        <v>2500</v>
      </c>
      <c r="K38" s="266">
        <v>2500</v>
      </c>
      <c r="L38" s="266">
        <v>5000</v>
      </c>
      <c r="M38" s="266">
        <v>5000</v>
      </c>
      <c r="N38" s="266">
        <v>2800</v>
      </c>
      <c r="O38" s="266">
        <v>2500</v>
      </c>
      <c r="P38" s="266">
        <v>2500</v>
      </c>
      <c r="Q38" s="266">
        <v>2500</v>
      </c>
      <c r="R38" s="48">
        <f>SUM(E38:Q38)</f>
        <v>37200</v>
      </c>
    </row>
    <row r="39" spans="1:18" ht="23.25" customHeight="1">
      <c r="A39" s="230" t="s">
        <v>102</v>
      </c>
      <c r="B39" s="43"/>
      <c r="C39" s="241" t="s">
        <v>344</v>
      </c>
      <c r="D39" s="251" t="s">
        <v>95</v>
      </c>
      <c r="E39" s="266">
        <v>1600</v>
      </c>
      <c r="F39" s="278">
        <v>3500</v>
      </c>
      <c r="G39" s="266">
        <v>1800</v>
      </c>
      <c r="H39" s="266">
        <v>2500</v>
      </c>
      <c r="I39" s="266">
        <v>2500</v>
      </c>
      <c r="J39" s="266">
        <v>2500</v>
      </c>
      <c r="K39" s="266">
        <v>2500</v>
      </c>
      <c r="L39" s="266">
        <v>5000</v>
      </c>
      <c r="M39" s="266">
        <v>5000</v>
      </c>
      <c r="N39" s="266">
        <v>2800</v>
      </c>
      <c r="O39" s="266">
        <v>2500</v>
      </c>
      <c r="P39" s="266">
        <v>2500</v>
      </c>
      <c r="Q39" s="266">
        <v>2500</v>
      </c>
      <c r="R39" s="48">
        <f>SUM(E39:Q39)</f>
        <v>37200</v>
      </c>
    </row>
    <row r="40" spans="1:18" ht="23.25" customHeight="1">
      <c r="A40" s="230" t="s">
        <v>102</v>
      </c>
      <c r="B40" s="43"/>
      <c r="C40" s="241" t="s">
        <v>345</v>
      </c>
      <c r="D40" s="184" t="s">
        <v>91</v>
      </c>
      <c r="E40" s="266">
        <v>1600</v>
      </c>
      <c r="F40" s="278">
        <v>3500</v>
      </c>
      <c r="G40" s="266">
        <v>1800</v>
      </c>
      <c r="H40" s="266">
        <v>2500</v>
      </c>
      <c r="I40" s="266">
        <v>2500</v>
      </c>
      <c r="J40" s="266">
        <v>2500</v>
      </c>
      <c r="K40" s="266">
        <v>2500</v>
      </c>
      <c r="L40" s="266">
        <v>5000</v>
      </c>
      <c r="M40" s="266">
        <v>5000</v>
      </c>
      <c r="N40" s="266">
        <v>2800</v>
      </c>
      <c r="O40" s="266">
        <v>2500</v>
      </c>
      <c r="P40" s="266">
        <v>2500</v>
      </c>
      <c r="Q40" s="266">
        <v>2500</v>
      </c>
      <c r="R40" s="48">
        <f>SUM(E40:Q40)</f>
        <v>37200</v>
      </c>
    </row>
    <row r="41" spans="1:18" ht="23.25" customHeight="1">
      <c r="A41" s="230" t="s">
        <v>102</v>
      </c>
      <c r="B41" s="52"/>
      <c r="C41" s="241" t="s">
        <v>346</v>
      </c>
      <c r="D41" s="251" t="s">
        <v>94</v>
      </c>
      <c r="E41" s="267">
        <v>1600</v>
      </c>
      <c r="F41" s="278">
        <v>3500</v>
      </c>
      <c r="G41" s="266">
        <v>1800</v>
      </c>
      <c r="H41" s="266">
        <v>2500</v>
      </c>
      <c r="I41" s="266">
        <v>2500</v>
      </c>
      <c r="J41" s="266">
        <v>2500</v>
      </c>
      <c r="K41" s="266">
        <v>2500</v>
      </c>
      <c r="L41" s="266">
        <v>5000</v>
      </c>
      <c r="M41" s="266">
        <v>5000</v>
      </c>
      <c r="N41" s="266">
        <v>2800</v>
      </c>
      <c r="O41" s="266">
        <v>2500</v>
      </c>
      <c r="P41" s="266">
        <v>2500</v>
      </c>
      <c r="Q41" s="266">
        <v>2500</v>
      </c>
      <c r="R41" s="48">
        <f>SUM(E41:Q41)</f>
        <v>37200</v>
      </c>
    </row>
    <row r="42" spans="1:18" ht="22.95" customHeight="1">
      <c r="A42" s="230" t="s">
        <v>102</v>
      </c>
      <c r="B42" s="43"/>
      <c r="C42" s="241" t="s">
        <v>347</v>
      </c>
      <c r="D42" s="184" t="s">
        <v>92</v>
      </c>
      <c r="E42" s="266">
        <v>1500</v>
      </c>
      <c r="F42" s="278">
        <v>3500</v>
      </c>
      <c r="G42" s="266">
        <v>1700</v>
      </c>
      <c r="H42" s="266">
        <v>2400</v>
      </c>
      <c r="I42" s="266">
        <v>2400</v>
      </c>
      <c r="J42" s="266">
        <v>2400</v>
      </c>
      <c r="K42" s="266">
        <v>2400</v>
      </c>
      <c r="L42" s="266">
        <v>5000</v>
      </c>
      <c r="M42" s="266">
        <v>5000</v>
      </c>
      <c r="N42" s="266">
        <v>2700</v>
      </c>
      <c r="O42" s="266">
        <v>2400</v>
      </c>
      <c r="P42" s="266">
        <v>2400</v>
      </c>
      <c r="Q42" s="266">
        <v>2400</v>
      </c>
      <c r="R42" s="48">
        <f t="shared" si="1"/>
        <v>36200</v>
      </c>
    </row>
    <row r="43" spans="1:18" ht="23.25" customHeight="1">
      <c r="A43" s="230"/>
      <c r="B43" s="43"/>
      <c r="C43" s="241" t="s">
        <v>348</v>
      </c>
      <c r="D43" s="251" t="s">
        <v>111</v>
      </c>
      <c r="E43" s="266">
        <v>1600</v>
      </c>
      <c r="F43" s="279">
        <v>2800</v>
      </c>
      <c r="G43" s="266">
        <v>1800</v>
      </c>
      <c r="H43" s="266">
        <v>2500</v>
      </c>
      <c r="I43" s="266">
        <v>2500</v>
      </c>
      <c r="J43" s="266">
        <v>2500</v>
      </c>
      <c r="K43" s="266">
        <v>2500</v>
      </c>
      <c r="L43" s="266">
        <v>3500</v>
      </c>
      <c r="M43" s="266">
        <v>5000</v>
      </c>
      <c r="N43" s="373" t="s">
        <v>450</v>
      </c>
      <c r="O43" s="266">
        <v>5300</v>
      </c>
      <c r="P43" s="266">
        <v>2500</v>
      </c>
      <c r="Q43" s="266">
        <v>2500</v>
      </c>
      <c r="R43" s="48">
        <f t="shared" ref="R43:R50" si="2">SUM(E43:Q43)</f>
        <v>35000</v>
      </c>
    </row>
    <row r="44" spans="1:18" ht="22.95" customHeight="1">
      <c r="A44" s="230" t="s">
        <v>102</v>
      </c>
      <c r="B44" s="43"/>
      <c r="C44" s="241" t="s">
        <v>349</v>
      </c>
      <c r="D44" s="251" t="s">
        <v>112</v>
      </c>
      <c r="E44" s="266">
        <v>1600</v>
      </c>
      <c r="F44" s="278">
        <v>3500</v>
      </c>
      <c r="G44" s="266">
        <v>1800</v>
      </c>
      <c r="H44" s="266">
        <v>2500</v>
      </c>
      <c r="I44" s="266">
        <v>2500</v>
      </c>
      <c r="J44" s="266">
        <v>2500</v>
      </c>
      <c r="K44" s="266">
        <v>2500</v>
      </c>
      <c r="L44" s="266">
        <v>5000</v>
      </c>
      <c r="M44" s="266">
        <v>5000</v>
      </c>
      <c r="N44" s="266">
        <v>2800</v>
      </c>
      <c r="O44" s="266">
        <v>2500</v>
      </c>
      <c r="P44" s="266">
        <v>2500</v>
      </c>
      <c r="Q44" s="266">
        <v>2500</v>
      </c>
      <c r="R44" s="48">
        <f t="shared" si="2"/>
        <v>37200</v>
      </c>
    </row>
    <row r="45" spans="1:18" ht="23.25" customHeight="1">
      <c r="A45" s="240"/>
      <c r="B45" s="43"/>
      <c r="C45" s="241" t="s">
        <v>350</v>
      </c>
      <c r="D45" s="251" t="s">
        <v>116</v>
      </c>
      <c r="E45" s="266">
        <v>2500</v>
      </c>
      <c r="F45" s="275" t="s">
        <v>156</v>
      </c>
      <c r="G45" s="266">
        <v>1800</v>
      </c>
      <c r="H45" s="266">
        <v>2500</v>
      </c>
      <c r="I45" s="266">
        <v>2500</v>
      </c>
      <c r="J45" s="266">
        <v>2500</v>
      </c>
      <c r="K45" s="266">
        <v>2500</v>
      </c>
      <c r="L45" s="266">
        <v>3500</v>
      </c>
      <c r="M45" s="266">
        <v>1500</v>
      </c>
      <c r="N45" s="266">
        <v>2800</v>
      </c>
      <c r="O45" s="266">
        <v>2500</v>
      </c>
      <c r="P45" s="266">
        <v>2500</v>
      </c>
      <c r="Q45" s="266">
        <v>2500</v>
      </c>
      <c r="R45" s="48">
        <f t="shared" si="2"/>
        <v>29600</v>
      </c>
    </row>
    <row r="46" spans="1:18" ht="23.25" customHeight="1">
      <c r="A46" s="240"/>
      <c r="B46" s="43"/>
      <c r="C46" s="241" t="s">
        <v>351</v>
      </c>
      <c r="D46" s="251" t="s">
        <v>119</v>
      </c>
      <c r="E46" s="266">
        <v>1600</v>
      </c>
      <c r="F46" s="279">
        <v>2800</v>
      </c>
      <c r="G46" s="266">
        <v>1800</v>
      </c>
      <c r="H46" s="266">
        <v>2500</v>
      </c>
      <c r="I46" s="266">
        <v>2500</v>
      </c>
      <c r="J46" s="266">
        <v>2500</v>
      </c>
      <c r="K46" s="266">
        <v>2500</v>
      </c>
      <c r="L46" s="266">
        <v>5000</v>
      </c>
      <c r="M46" s="266">
        <v>5000</v>
      </c>
      <c r="N46" s="266">
        <v>2800</v>
      </c>
      <c r="O46" s="266">
        <v>2500</v>
      </c>
      <c r="P46" s="266">
        <v>2500</v>
      </c>
      <c r="Q46" s="266">
        <v>2500</v>
      </c>
      <c r="R46" s="48">
        <f t="shared" si="2"/>
        <v>36500</v>
      </c>
    </row>
    <row r="47" spans="1:18" ht="22.95" customHeight="1">
      <c r="A47" s="240"/>
      <c r="B47" s="43"/>
      <c r="C47" s="241" t="s">
        <v>352</v>
      </c>
      <c r="D47" s="251" t="s">
        <v>120</v>
      </c>
      <c r="E47" s="266">
        <v>1600</v>
      </c>
      <c r="F47" s="279">
        <v>2800</v>
      </c>
      <c r="G47" s="266">
        <v>1800</v>
      </c>
      <c r="H47" s="266">
        <v>2500</v>
      </c>
      <c r="I47" s="266">
        <v>2500</v>
      </c>
      <c r="J47" s="266">
        <v>2500</v>
      </c>
      <c r="K47" s="266">
        <v>2500</v>
      </c>
      <c r="L47" s="266">
        <v>5000</v>
      </c>
      <c r="M47" s="266">
        <v>5000</v>
      </c>
      <c r="N47" s="266">
        <v>2800</v>
      </c>
      <c r="O47" s="266">
        <v>2500</v>
      </c>
      <c r="P47" s="266">
        <v>2500</v>
      </c>
      <c r="Q47" s="266">
        <v>2500</v>
      </c>
      <c r="R47" s="48">
        <f t="shared" si="2"/>
        <v>36500</v>
      </c>
    </row>
    <row r="48" spans="1:18" ht="23.25" customHeight="1">
      <c r="A48" s="240"/>
      <c r="B48" s="43"/>
      <c r="C48" s="241" t="s">
        <v>353</v>
      </c>
      <c r="D48" s="251" t="s">
        <v>109</v>
      </c>
      <c r="E48" s="266">
        <v>1600</v>
      </c>
      <c r="F48" s="278">
        <v>3500</v>
      </c>
      <c r="G48" s="266">
        <v>1800</v>
      </c>
      <c r="H48" s="266">
        <v>2500</v>
      </c>
      <c r="I48" s="266">
        <v>2500</v>
      </c>
      <c r="J48" s="266">
        <v>2500</v>
      </c>
      <c r="K48" s="266">
        <v>2500</v>
      </c>
      <c r="L48" s="266">
        <v>3500</v>
      </c>
      <c r="M48" s="266">
        <v>5000</v>
      </c>
      <c r="N48" s="266">
        <v>2700</v>
      </c>
      <c r="O48" s="266">
        <v>2400</v>
      </c>
      <c r="P48" s="266">
        <v>2400</v>
      </c>
      <c r="Q48" s="266">
        <v>2400</v>
      </c>
      <c r="R48" s="48">
        <f t="shared" si="2"/>
        <v>35300</v>
      </c>
    </row>
    <row r="49" spans="1:18" ht="23.25" customHeight="1">
      <c r="A49" s="240"/>
      <c r="B49" s="43"/>
      <c r="C49" s="241" t="s">
        <v>354</v>
      </c>
      <c r="D49" s="251" t="s">
        <v>121</v>
      </c>
      <c r="E49" s="266">
        <v>1600</v>
      </c>
      <c r="F49" s="279">
        <v>2800</v>
      </c>
      <c r="G49" s="266">
        <v>1800</v>
      </c>
      <c r="H49" s="266">
        <v>2500</v>
      </c>
      <c r="I49" s="266">
        <v>2500</v>
      </c>
      <c r="J49" s="266">
        <v>2500</v>
      </c>
      <c r="K49" s="266">
        <v>2500</v>
      </c>
      <c r="L49" s="266">
        <v>3500</v>
      </c>
      <c r="M49" s="266">
        <v>3500</v>
      </c>
      <c r="N49" s="266">
        <v>2800</v>
      </c>
      <c r="O49" s="266">
        <v>2500</v>
      </c>
      <c r="P49" s="266">
        <v>2500</v>
      </c>
      <c r="Q49" s="266">
        <v>2500</v>
      </c>
      <c r="R49" s="48">
        <f t="shared" si="2"/>
        <v>33500</v>
      </c>
    </row>
    <row r="50" spans="1:18" ht="23.25" customHeight="1">
      <c r="A50" s="240"/>
      <c r="B50" s="43"/>
      <c r="C50" s="241" t="s">
        <v>355</v>
      </c>
      <c r="D50" s="251" t="s">
        <v>122</v>
      </c>
      <c r="E50" s="266">
        <v>1500</v>
      </c>
      <c r="F50" s="279">
        <v>2800</v>
      </c>
      <c r="G50" s="266">
        <v>1900</v>
      </c>
      <c r="H50" s="266">
        <v>2500</v>
      </c>
      <c r="I50" s="266">
        <v>2500</v>
      </c>
      <c r="J50" s="266">
        <v>2500</v>
      </c>
      <c r="K50" s="266">
        <v>2500</v>
      </c>
      <c r="L50" s="266">
        <v>3500</v>
      </c>
      <c r="M50" s="266">
        <v>3500</v>
      </c>
      <c r="N50" s="266">
        <v>2800</v>
      </c>
      <c r="O50" s="266">
        <v>2500</v>
      </c>
      <c r="P50" s="266">
        <v>2500</v>
      </c>
      <c r="Q50" s="266">
        <v>2500</v>
      </c>
      <c r="R50" s="48">
        <f t="shared" si="2"/>
        <v>33500</v>
      </c>
    </row>
    <row r="51" spans="1:18" ht="23.25" customHeight="1">
      <c r="A51" s="230" t="s">
        <v>102</v>
      </c>
      <c r="B51" s="47"/>
      <c r="C51" s="241" t="s">
        <v>356</v>
      </c>
      <c r="D51" s="251" t="s">
        <v>96</v>
      </c>
      <c r="E51" s="266">
        <v>1500</v>
      </c>
      <c r="F51" s="278">
        <v>3500</v>
      </c>
      <c r="G51" s="273" t="s">
        <v>207</v>
      </c>
      <c r="H51" s="266">
        <f>2500+1800</f>
        <v>4300</v>
      </c>
      <c r="I51" s="266">
        <v>2500</v>
      </c>
      <c r="J51" s="266">
        <v>2500</v>
      </c>
      <c r="K51" s="266">
        <v>2500</v>
      </c>
      <c r="L51" s="266">
        <v>5000</v>
      </c>
      <c r="M51" s="266">
        <v>5000</v>
      </c>
      <c r="N51" s="266">
        <v>2800</v>
      </c>
      <c r="O51" s="266">
        <v>2500</v>
      </c>
      <c r="P51" s="266">
        <v>2500</v>
      </c>
      <c r="Q51" s="266">
        <v>2500</v>
      </c>
      <c r="R51" s="48">
        <f t="shared" si="1"/>
        <v>37100</v>
      </c>
    </row>
    <row r="52" spans="1:18" ht="23.25" customHeight="1">
      <c r="A52" s="240"/>
      <c r="B52" s="43"/>
      <c r="C52" s="241" t="s">
        <v>357</v>
      </c>
      <c r="D52" s="251" t="s">
        <v>108</v>
      </c>
      <c r="E52" s="266">
        <v>1600</v>
      </c>
      <c r="F52" s="279">
        <v>2800</v>
      </c>
      <c r="G52" s="266">
        <v>1800</v>
      </c>
      <c r="H52" s="266">
        <v>2500</v>
      </c>
      <c r="I52" s="266">
        <v>2500</v>
      </c>
      <c r="J52" s="266">
        <v>2500</v>
      </c>
      <c r="K52" s="266">
        <v>2500</v>
      </c>
      <c r="L52" s="266">
        <v>5000</v>
      </c>
      <c r="M52" s="266">
        <v>5000</v>
      </c>
      <c r="N52" s="266">
        <v>2800</v>
      </c>
      <c r="O52" s="266">
        <v>2500</v>
      </c>
      <c r="P52" s="266">
        <v>2500</v>
      </c>
      <c r="Q52" s="266">
        <v>2500</v>
      </c>
      <c r="R52" s="48">
        <f>SUM(E52:Q52)</f>
        <v>36500</v>
      </c>
    </row>
    <row r="53" spans="1:18" ht="23.25" customHeight="1">
      <c r="A53" s="247"/>
      <c r="B53" s="241"/>
      <c r="C53" s="241" t="s">
        <v>358</v>
      </c>
      <c r="D53" s="251" t="s">
        <v>101</v>
      </c>
      <c r="E53" s="265">
        <v>1600</v>
      </c>
      <c r="F53" s="275" t="s">
        <v>156</v>
      </c>
      <c r="G53" s="266">
        <v>1800</v>
      </c>
      <c r="H53" s="266">
        <v>2500</v>
      </c>
      <c r="I53" s="266">
        <v>2500</v>
      </c>
      <c r="J53" s="266">
        <v>2500</v>
      </c>
      <c r="K53" s="266">
        <v>2500</v>
      </c>
      <c r="L53" s="266">
        <v>5000</v>
      </c>
      <c r="M53" s="266">
        <v>5000</v>
      </c>
      <c r="N53" s="266" t="s">
        <v>294</v>
      </c>
      <c r="O53" s="266" t="s">
        <v>294</v>
      </c>
      <c r="P53" s="266" t="s">
        <v>294</v>
      </c>
      <c r="Q53" s="266" t="s">
        <v>294</v>
      </c>
      <c r="R53" s="48">
        <f t="shared" ref="R53:R108" si="3">SUM(E53:Q53)</f>
        <v>23400</v>
      </c>
    </row>
    <row r="54" spans="1:18" ht="23.25" customHeight="1">
      <c r="A54" s="240"/>
      <c r="B54" s="43"/>
      <c r="C54" s="241" t="s">
        <v>359</v>
      </c>
      <c r="D54" s="251" t="s">
        <v>107</v>
      </c>
      <c r="E54" s="266">
        <v>1600</v>
      </c>
      <c r="F54" s="279">
        <v>2800</v>
      </c>
      <c r="G54" s="266">
        <v>1800</v>
      </c>
      <c r="H54" s="266">
        <v>2500</v>
      </c>
      <c r="I54" s="266">
        <v>2500</v>
      </c>
      <c r="J54" s="266">
        <v>2500</v>
      </c>
      <c r="K54" s="266">
        <v>2500</v>
      </c>
      <c r="L54" s="266">
        <v>3500</v>
      </c>
      <c r="M54" s="266">
        <v>3500</v>
      </c>
      <c r="N54" s="266">
        <v>2800</v>
      </c>
      <c r="O54" s="266">
        <v>2500</v>
      </c>
      <c r="P54" s="266">
        <v>2500</v>
      </c>
      <c r="Q54" s="266">
        <v>2500</v>
      </c>
      <c r="R54" s="48">
        <f t="shared" si="3"/>
        <v>33500</v>
      </c>
    </row>
    <row r="55" spans="1:18" ht="23.25" customHeight="1">
      <c r="A55" s="249"/>
      <c r="B55" s="241"/>
      <c r="C55" s="241" t="s">
        <v>360</v>
      </c>
      <c r="D55" s="252" t="s">
        <v>461</v>
      </c>
      <c r="E55" s="265">
        <v>1600</v>
      </c>
      <c r="F55" s="279">
        <v>2800</v>
      </c>
      <c r="G55" s="266">
        <v>1800</v>
      </c>
      <c r="H55" s="266">
        <v>2500</v>
      </c>
      <c r="I55" s="266">
        <v>2500</v>
      </c>
      <c r="J55" s="266">
        <v>2500</v>
      </c>
      <c r="K55" s="266">
        <v>2500</v>
      </c>
      <c r="L55" s="275" t="s">
        <v>156</v>
      </c>
      <c r="M55" s="266">
        <v>1200</v>
      </c>
      <c r="N55" s="266">
        <v>2800</v>
      </c>
      <c r="O55" s="266">
        <v>2500</v>
      </c>
      <c r="P55" s="266" t="s">
        <v>460</v>
      </c>
      <c r="Q55" s="266" t="s">
        <v>294</v>
      </c>
      <c r="R55" s="48">
        <f t="shared" si="3"/>
        <v>22700</v>
      </c>
    </row>
    <row r="56" spans="1:18" ht="22.95" customHeight="1">
      <c r="A56" s="47"/>
      <c r="B56" s="43"/>
      <c r="C56" s="241" t="s">
        <v>361</v>
      </c>
      <c r="D56" s="251" t="s">
        <v>113</v>
      </c>
      <c r="E56" s="266">
        <v>1600</v>
      </c>
      <c r="F56" s="278">
        <v>3500</v>
      </c>
      <c r="G56" s="266">
        <v>1800</v>
      </c>
      <c r="H56" s="266">
        <v>2500</v>
      </c>
      <c r="I56" s="266">
        <v>2500</v>
      </c>
      <c r="J56" s="266">
        <v>2500</v>
      </c>
      <c r="K56" s="266">
        <v>2500</v>
      </c>
      <c r="L56" s="266">
        <v>5000</v>
      </c>
      <c r="M56" s="266">
        <v>5000</v>
      </c>
      <c r="N56" s="266">
        <v>2800</v>
      </c>
      <c r="O56" s="266">
        <v>2500</v>
      </c>
      <c r="P56" s="266">
        <v>2500</v>
      </c>
      <c r="Q56" s="266">
        <v>2500</v>
      </c>
      <c r="R56" s="48">
        <f t="shared" si="3"/>
        <v>37200</v>
      </c>
    </row>
    <row r="57" spans="1:18" ht="23.25" customHeight="1">
      <c r="A57" s="249"/>
      <c r="B57" s="241"/>
      <c r="C57" s="241" t="s">
        <v>362</v>
      </c>
      <c r="D57" s="252" t="s">
        <v>130</v>
      </c>
      <c r="E57" s="265">
        <f>1600+300</f>
        <v>1900</v>
      </c>
      <c r="F57" s="278">
        <v>3500</v>
      </c>
      <c r="G57" s="266">
        <v>1800</v>
      </c>
      <c r="H57" s="266">
        <v>1500</v>
      </c>
      <c r="I57" s="266">
        <v>2500</v>
      </c>
      <c r="J57" s="266">
        <v>2500</v>
      </c>
      <c r="K57" s="266">
        <v>2500</v>
      </c>
      <c r="L57" s="266">
        <v>5000</v>
      </c>
      <c r="M57" s="266">
        <v>5000</v>
      </c>
      <c r="N57" s="266">
        <v>2700</v>
      </c>
      <c r="O57" s="266">
        <v>2400</v>
      </c>
      <c r="P57" s="266">
        <v>2400</v>
      </c>
      <c r="Q57" s="266">
        <v>2400</v>
      </c>
      <c r="R57" s="48">
        <f t="shared" si="3"/>
        <v>36100</v>
      </c>
    </row>
    <row r="58" spans="1:18" ht="23.25" customHeight="1">
      <c r="A58" s="249"/>
      <c r="B58" s="241"/>
      <c r="C58" s="241" t="s">
        <v>363</v>
      </c>
      <c r="D58" s="252" t="s">
        <v>168</v>
      </c>
      <c r="E58" s="268" t="s">
        <v>156</v>
      </c>
      <c r="F58" s="278">
        <v>3500</v>
      </c>
      <c r="G58" s="266">
        <v>1800</v>
      </c>
      <c r="H58" s="266">
        <v>2500</v>
      </c>
      <c r="I58" s="266">
        <v>2500</v>
      </c>
      <c r="J58" s="266">
        <v>2500</v>
      </c>
      <c r="K58" s="266">
        <v>2500</v>
      </c>
      <c r="L58" s="275" t="s">
        <v>156</v>
      </c>
      <c r="M58" s="266">
        <v>3500</v>
      </c>
      <c r="N58" s="266">
        <v>2800</v>
      </c>
      <c r="O58" s="266">
        <v>2500</v>
      </c>
      <c r="P58" s="266">
        <v>2500</v>
      </c>
      <c r="Q58" s="266">
        <v>2500</v>
      </c>
      <c r="R58" s="48">
        <f t="shared" si="3"/>
        <v>29100</v>
      </c>
    </row>
    <row r="59" spans="1:18" ht="23.25" customHeight="1">
      <c r="A59" s="249"/>
      <c r="B59" s="241"/>
      <c r="C59" s="241" t="s">
        <v>364</v>
      </c>
      <c r="D59" s="252" t="s">
        <v>167</v>
      </c>
      <c r="E59" s="268" t="s">
        <v>156</v>
      </c>
      <c r="F59" s="279">
        <v>2800</v>
      </c>
      <c r="G59" s="266">
        <v>1800</v>
      </c>
      <c r="H59" s="266">
        <v>1500</v>
      </c>
      <c r="I59" s="266">
        <v>2500</v>
      </c>
      <c r="J59" s="266">
        <v>2500</v>
      </c>
      <c r="K59" s="266">
        <v>2500</v>
      </c>
      <c r="L59" s="266">
        <v>3500</v>
      </c>
      <c r="M59" s="275" t="s">
        <v>156</v>
      </c>
      <c r="N59" s="266" t="s">
        <v>294</v>
      </c>
      <c r="O59" s="266" t="s">
        <v>294</v>
      </c>
      <c r="P59" s="266" t="s">
        <v>294</v>
      </c>
      <c r="Q59" s="266" t="s">
        <v>294</v>
      </c>
      <c r="R59" s="48">
        <f t="shared" si="3"/>
        <v>17100</v>
      </c>
    </row>
    <row r="60" spans="1:18" ht="23.25" customHeight="1">
      <c r="A60" s="249"/>
      <c r="B60" s="241"/>
      <c r="C60" s="241" t="s">
        <v>365</v>
      </c>
      <c r="D60" s="252" t="s">
        <v>208</v>
      </c>
      <c r="E60" s="268"/>
      <c r="F60" s="279"/>
      <c r="G60" s="266"/>
      <c r="H60" s="266">
        <v>1800</v>
      </c>
      <c r="I60" s="266">
        <v>2500</v>
      </c>
      <c r="J60" s="266">
        <v>2500</v>
      </c>
      <c r="K60" s="266">
        <v>2500</v>
      </c>
      <c r="L60" s="266">
        <v>0</v>
      </c>
      <c r="M60" s="266">
        <v>5000</v>
      </c>
      <c r="N60" s="266">
        <v>2800</v>
      </c>
      <c r="O60" s="266">
        <v>2500</v>
      </c>
      <c r="P60" s="266">
        <v>2500</v>
      </c>
      <c r="Q60" s="266">
        <v>2500</v>
      </c>
      <c r="R60" s="48">
        <f t="shared" si="3"/>
        <v>24600</v>
      </c>
    </row>
    <row r="61" spans="1:18" ht="23.25" customHeight="1">
      <c r="A61" s="249"/>
      <c r="B61" s="241"/>
      <c r="C61" s="241" t="s">
        <v>366</v>
      </c>
      <c r="D61" s="252" t="s">
        <v>224</v>
      </c>
      <c r="E61" s="269"/>
      <c r="F61" s="282"/>
      <c r="G61" s="265"/>
      <c r="H61" s="265"/>
      <c r="I61" s="265">
        <v>1800</v>
      </c>
      <c r="J61" s="265">
        <v>2500</v>
      </c>
      <c r="K61" s="265">
        <v>2500</v>
      </c>
      <c r="L61" s="265">
        <v>3500</v>
      </c>
      <c r="M61" s="275" t="s">
        <v>156</v>
      </c>
      <c r="N61" s="265">
        <v>2800</v>
      </c>
      <c r="O61" s="265">
        <v>2500</v>
      </c>
      <c r="P61" s="266">
        <v>2500</v>
      </c>
      <c r="Q61" s="266">
        <v>2500</v>
      </c>
      <c r="R61" s="48">
        <f t="shared" si="3"/>
        <v>20600</v>
      </c>
    </row>
    <row r="62" spans="1:18" ht="23.25" customHeight="1">
      <c r="A62" s="249"/>
      <c r="B62" s="241"/>
      <c r="C62" s="241" t="s">
        <v>367</v>
      </c>
      <c r="D62" s="252" t="s">
        <v>404</v>
      </c>
      <c r="E62" s="269"/>
      <c r="F62" s="276"/>
      <c r="G62" s="265"/>
      <c r="H62" s="265"/>
      <c r="I62" s="265">
        <v>1800</v>
      </c>
      <c r="J62" s="265">
        <v>2500</v>
      </c>
      <c r="K62" s="265">
        <v>2500</v>
      </c>
      <c r="L62" s="265">
        <v>3500</v>
      </c>
      <c r="M62" s="265">
        <v>0</v>
      </c>
      <c r="N62" s="265" t="s">
        <v>294</v>
      </c>
      <c r="O62" s="265" t="s">
        <v>294</v>
      </c>
      <c r="P62" s="265" t="s">
        <v>294</v>
      </c>
      <c r="Q62" s="265" t="s">
        <v>294</v>
      </c>
      <c r="R62" s="48">
        <f t="shared" si="3"/>
        <v>10300</v>
      </c>
    </row>
    <row r="63" spans="1:18" ht="23.25" customHeight="1">
      <c r="A63" s="249"/>
      <c r="B63" s="241"/>
      <c r="C63" s="241" t="s">
        <v>368</v>
      </c>
      <c r="D63" s="252" t="s">
        <v>247</v>
      </c>
      <c r="E63" s="269"/>
      <c r="F63" s="276"/>
      <c r="G63" s="265"/>
      <c r="H63" s="265"/>
      <c r="I63" s="265"/>
      <c r="J63" s="265">
        <v>1800</v>
      </c>
      <c r="K63" s="265">
        <v>2500</v>
      </c>
      <c r="L63" s="265">
        <v>3500</v>
      </c>
      <c r="M63" s="265">
        <v>3500</v>
      </c>
      <c r="N63" s="265">
        <v>2800</v>
      </c>
      <c r="O63" s="265">
        <v>2500</v>
      </c>
      <c r="P63" s="266">
        <v>2500</v>
      </c>
      <c r="Q63" s="266">
        <v>2500</v>
      </c>
      <c r="R63" s="48">
        <f t="shared" si="3"/>
        <v>21600</v>
      </c>
    </row>
    <row r="64" spans="1:18" ht="23.25" customHeight="1">
      <c r="A64" s="240"/>
      <c r="B64" s="43"/>
      <c r="C64" s="241" t="s">
        <v>369</v>
      </c>
      <c r="D64" s="251" t="s">
        <v>114</v>
      </c>
      <c r="E64" s="266"/>
      <c r="F64" s="275">
        <v>600</v>
      </c>
      <c r="G64" s="273"/>
      <c r="H64" s="266">
        <v>600</v>
      </c>
      <c r="I64" s="266">
        <v>600</v>
      </c>
      <c r="J64" s="266">
        <v>1200</v>
      </c>
      <c r="K64" s="266">
        <v>900</v>
      </c>
      <c r="L64" s="266">
        <v>1200</v>
      </c>
      <c r="M64" s="266">
        <v>3500</v>
      </c>
      <c r="N64" s="266">
        <v>1800</v>
      </c>
      <c r="O64" s="266">
        <v>2500</v>
      </c>
      <c r="P64" s="266">
        <v>2500</v>
      </c>
      <c r="Q64" s="266">
        <v>2500</v>
      </c>
      <c r="R64" s="48">
        <f t="shared" si="3"/>
        <v>17900</v>
      </c>
    </row>
    <row r="65" spans="1:18" ht="23.25" customHeight="1">
      <c r="A65" s="249"/>
      <c r="B65" s="241"/>
      <c r="C65" s="241" t="s">
        <v>370</v>
      </c>
      <c r="D65" s="252" t="s">
        <v>192</v>
      </c>
      <c r="E65" s="269"/>
      <c r="F65" s="276"/>
      <c r="G65" s="265">
        <v>600</v>
      </c>
      <c r="H65" s="273" t="s">
        <v>214</v>
      </c>
      <c r="I65" s="265">
        <v>900</v>
      </c>
      <c r="J65" s="265">
        <v>1200</v>
      </c>
      <c r="K65" s="265">
        <v>600</v>
      </c>
      <c r="L65" s="265">
        <v>600</v>
      </c>
      <c r="M65" s="265">
        <v>1200</v>
      </c>
      <c r="N65" s="265">
        <v>3000</v>
      </c>
      <c r="O65" s="265">
        <v>2500</v>
      </c>
      <c r="P65" s="266">
        <v>2500</v>
      </c>
      <c r="Q65" s="266">
        <v>2500</v>
      </c>
      <c r="R65" s="48">
        <f t="shared" si="3"/>
        <v>15600</v>
      </c>
    </row>
    <row r="66" spans="1:18" ht="23.25" customHeight="1">
      <c r="A66" s="249"/>
      <c r="B66" s="241"/>
      <c r="C66" s="241" t="s">
        <v>371</v>
      </c>
      <c r="D66" s="252" t="s">
        <v>234</v>
      </c>
      <c r="E66" s="269"/>
      <c r="F66" s="276"/>
      <c r="G66" s="265"/>
      <c r="H66" s="265"/>
      <c r="I66" s="265"/>
      <c r="J66" s="265">
        <v>1200</v>
      </c>
      <c r="K66" s="265">
        <v>1200</v>
      </c>
      <c r="L66" s="265">
        <v>0</v>
      </c>
      <c r="M66" s="265">
        <v>0</v>
      </c>
      <c r="N66" s="265"/>
      <c r="O66" s="265"/>
      <c r="P66" s="265"/>
      <c r="Q66" s="265"/>
      <c r="R66" s="48">
        <f t="shared" si="3"/>
        <v>2400</v>
      </c>
    </row>
    <row r="67" spans="1:18" ht="23.25" customHeight="1">
      <c r="A67" s="249"/>
      <c r="B67" s="241"/>
      <c r="C67" s="241" t="s">
        <v>372</v>
      </c>
      <c r="D67" s="252" t="s">
        <v>235</v>
      </c>
      <c r="E67" s="269"/>
      <c r="F67" s="276"/>
      <c r="G67" s="265"/>
      <c r="H67" s="265"/>
      <c r="I67" s="265"/>
      <c r="J67" s="265">
        <v>600</v>
      </c>
      <c r="K67" s="265">
        <v>900</v>
      </c>
      <c r="L67" s="265">
        <v>600</v>
      </c>
      <c r="M67" s="265">
        <v>0</v>
      </c>
      <c r="N67" s="265"/>
      <c r="O67" s="265">
        <v>300</v>
      </c>
      <c r="P67" s="265">
        <v>1600</v>
      </c>
      <c r="Q67" s="265"/>
      <c r="R67" s="48">
        <f t="shared" si="3"/>
        <v>4000</v>
      </c>
    </row>
    <row r="68" spans="1:18" ht="23.25" customHeight="1">
      <c r="A68" s="249"/>
      <c r="B68" s="241"/>
      <c r="C68" s="241" t="s">
        <v>373</v>
      </c>
      <c r="D68" s="252" t="s">
        <v>240</v>
      </c>
      <c r="E68" s="269"/>
      <c r="F68" s="276"/>
      <c r="G68" s="265"/>
      <c r="H68" s="265"/>
      <c r="I68" s="265"/>
      <c r="J68" s="265">
        <v>1800</v>
      </c>
      <c r="K68" s="265">
        <v>1200</v>
      </c>
      <c r="L68" s="265">
        <f>600+3500</f>
        <v>4100</v>
      </c>
      <c r="M68" s="265">
        <v>900</v>
      </c>
      <c r="N68" s="265"/>
      <c r="O68" s="265">
        <v>600</v>
      </c>
      <c r="P68" s="265">
        <v>1600</v>
      </c>
      <c r="Q68" s="265">
        <v>1200</v>
      </c>
      <c r="R68" s="48">
        <f t="shared" si="3"/>
        <v>11400</v>
      </c>
    </row>
    <row r="69" spans="1:18" ht="23.25" customHeight="1">
      <c r="A69" s="249"/>
      <c r="B69" s="241"/>
      <c r="C69" s="241" t="s">
        <v>374</v>
      </c>
      <c r="D69" s="252" t="s">
        <v>295</v>
      </c>
      <c r="E69" s="269">
        <v>3500</v>
      </c>
      <c r="F69" s="276"/>
      <c r="G69" s="265"/>
      <c r="H69" s="265"/>
      <c r="I69" s="265"/>
      <c r="J69" s="265"/>
      <c r="K69" s="265"/>
      <c r="L69" s="265">
        <v>3500</v>
      </c>
      <c r="M69" s="265">
        <v>0</v>
      </c>
      <c r="N69" s="265" t="s">
        <v>294</v>
      </c>
      <c r="O69" s="265" t="s">
        <v>294</v>
      </c>
      <c r="P69" s="265" t="s">
        <v>294</v>
      </c>
      <c r="Q69" s="265" t="s">
        <v>294</v>
      </c>
      <c r="R69" s="48">
        <f t="shared" si="3"/>
        <v>7000</v>
      </c>
    </row>
    <row r="70" spans="1:18" ht="23.25" customHeight="1">
      <c r="A70" s="249"/>
      <c r="B70" s="241"/>
      <c r="C70" s="241" t="s">
        <v>375</v>
      </c>
      <c r="D70" s="252" t="s">
        <v>296</v>
      </c>
      <c r="E70" s="269">
        <v>3500</v>
      </c>
      <c r="F70" s="276"/>
      <c r="G70" s="265"/>
      <c r="H70" s="265"/>
      <c r="I70" s="265"/>
      <c r="J70" s="265"/>
      <c r="K70" s="265"/>
      <c r="L70" s="265">
        <v>3500</v>
      </c>
      <c r="M70" s="265">
        <v>3500</v>
      </c>
      <c r="N70" s="265">
        <v>2800</v>
      </c>
      <c r="O70" s="265">
        <v>2500</v>
      </c>
      <c r="P70" s="266">
        <v>2500</v>
      </c>
      <c r="Q70" s="266">
        <v>2500</v>
      </c>
      <c r="R70" s="48">
        <f t="shared" si="3"/>
        <v>20800</v>
      </c>
    </row>
    <row r="71" spans="1:18" ht="23.25" customHeight="1">
      <c r="A71" s="249"/>
      <c r="B71" s="241"/>
      <c r="C71" s="241" t="s">
        <v>376</v>
      </c>
      <c r="D71" s="252" t="s">
        <v>297</v>
      </c>
      <c r="E71" s="269">
        <v>3500</v>
      </c>
      <c r="F71" s="276"/>
      <c r="G71" s="265"/>
      <c r="H71" s="265"/>
      <c r="I71" s="265"/>
      <c r="J71" s="265"/>
      <c r="K71" s="265"/>
      <c r="L71" s="265">
        <v>3500</v>
      </c>
      <c r="M71" s="265">
        <v>5000</v>
      </c>
      <c r="N71" s="265">
        <v>2800</v>
      </c>
      <c r="O71" s="265">
        <v>2500</v>
      </c>
      <c r="P71" s="266">
        <v>2500</v>
      </c>
      <c r="Q71" s="266">
        <v>2500</v>
      </c>
      <c r="R71" s="48">
        <f t="shared" si="3"/>
        <v>22300</v>
      </c>
    </row>
    <row r="72" spans="1:18" ht="23.25" customHeight="1">
      <c r="A72" s="249"/>
      <c r="B72" s="241"/>
      <c r="C72" s="241" t="s">
        <v>377</v>
      </c>
      <c r="D72" s="252" t="s">
        <v>169</v>
      </c>
      <c r="E72" s="268" t="s">
        <v>156</v>
      </c>
      <c r="F72" s="278">
        <v>3500</v>
      </c>
      <c r="G72" s="268" t="s">
        <v>156</v>
      </c>
      <c r="H72" s="275" t="s">
        <v>156</v>
      </c>
      <c r="I72" s="275" t="s">
        <v>156</v>
      </c>
      <c r="J72" s="275" t="s">
        <v>156</v>
      </c>
      <c r="K72" s="275" t="s">
        <v>156</v>
      </c>
      <c r="L72" s="265">
        <v>5000</v>
      </c>
      <c r="M72" s="265">
        <v>5000</v>
      </c>
      <c r="N72" s="265"/>
      <c r="O72" s="265"/>
      <c r="P72" s="265">
        <v>1200</v>
      </c>
      <c r="Q72" s="265">
        <v>800</v>
      </c>
      <c r="R72" s="48">
        <f t="shared" si="3"/>
        <v>15500</v>
      </c>
    </row>
    <row r="73" spans="1:18" ht="23.25" customHeight="1">
      <c r="A73" s="249"/>
      <c r="B73" s="241"/>
      <c r="C73" s="241" t="s">
        <v>378</v>
      </c>
      <c r="D73" s="252" t="s">
        <v>298</v>
      </c>
      <c r="E73" s="269">
        <v>3500</v>
      </c>
      <c r="F73" s="276"/>
      <c r="G73" s="265"/>
      <c r="H73" s="265"/>
      <c r="I73" s="265"/>
      <c r="J73" s="265"/>
      <c r="K73" s="265"/>
      <c r="L73" s="265">
        <v>3500</v>
      </c>
      <c r="M73" s="265">
        <v>0</v>
      </c>
      <c r="N73" s="265"/>
      <c r="O73" s="265"/>
      <c r="P73" s="265"/>
      <c r="Q73" s="265"/>
      <c r="R73" s="48">
        <f t="shared" si="3"/>
        <v>7000</v>
      </c>
    </row>
    <row r="74" spans="1:18" ht="23.25" customHeight="1">
      <c r="A74" s="249"/>
      <c r="B74" s="241"/>
      <c r="C74" s="241" t="s">
        <v>379</v>
      </c>
      <c r="D74" s="252" t="s">
        <v>299</v>
      </c>
      <c r="E74" s="269">
        <v>5000</v>
      </c>
      <c r="F74" s="276"/>
      <c r="G74" s="265"/>
      <c r="H74" s="265"/>
      <c r="I74" s="265"/>
      <c r="J74" s="265"/>
      <c r="K74" s="265"/>
      <c r="L74" s="265">
        <v>5000</v>
      </c>
      <c r="M74" s="265">
        <v>0</v>
      </c>
      <c r="N74" s="265"/>
      <c r="O74" s="265"/>
      <c r="P74" s="265"/>
      <c r="Q74" s="265"/>
      <c r="R74" s="48">
        <f t="shared" si="3"/>
        <v>10000</v>
      </c>
    </row>
    <row r="75" spans="1:18" ht="23.25" customHeight="1">
      <c r="A75" s="249"/>
      <c r="B75" s="241"/>
      <c r="C75" s="241" t="s">
        <v>380</v>
      </c>
      <c r="D75" s="252" t="s">
        <v>300</v>
      </c>
      <c r="E75" s="269">
        <v>5000</v>
      </c>
      <c r="F75" s="276"/>
      <c r="G75" s="265"/>
      <c r="H75" s="265"/>
      <c r="I75" s="265"/>
      <c r="J75" s="265"/>
      <c r="K75" s="265"/>
      <c r="L75" s="265">
        <v>5000</v>
      </c>
      <c r="M75" s="265">
        <v>0</v>
      </c>
      <c r="N75" s="265"/>
      <c r="O75" s="265"/>
      <c r="P75" s="265"/>
      <c r="Q75" s="265"/>
      <c r="R75" s="48">
        <f t="shared" si="3"/>
        <v>10000</v>
      </c>
    </row>
    <row r="76" spans="1:18" ht="23.25" customHeight="1">
      <c r="A76" s="249"/>
      <c r="B76" s="241"/>
      <c r="C76" s="241" t="s">
        <v>381</v>
      </c>
      <c r="D76" s="252" t="s">
        <v>301</v>
      </c>
      <c r="E76" s="269">
        <v>3500</v>
      </c>
      <c r="F76" s="276"/>
      <c r="G76" s="265"/>
      <c r="H76" s="265"/>
      <c r="I76" s="265"/>
      <c r="J76" s="265"/>
      <c r="K76" s="265"/>
      <c r="L76" s="265">
        <v>3500</v>
      </c>
      <c r="M76" s="265" t="s">
        <v>156</v>
      </c>
      <c r="N76" s="265"/>
      <c r="O76" s="265"/>
      <c r="P76" s="265"/>
      <c r="Q76" s="265"/>
      <c r="R76" s="48">
        <f t="shared" si="3"/>
        <v>7000</v>
      </c>
    </row>
    <row r="77" spans="1:18" ht="23.25" customHeight="1">
      <c r="A77" s="249"/>
      <c r="B77" s="241"/>
      <c r="C77" s="241" t="s">
        <v>382</v>
      </c>
      <c r="D77" s="252" t="s">
        <v>302</v>
      </c>
      <c r="E77" s="269">
        <v>3500</v>
      </c>
      <c r="F77" s="276"/>
      <c r="G77" s="265"/>
      <c r="H77" s="265"/>
      <c r="I77" s="265"/>
      <c r="J77" s="265"/>
      <c r="K77" s="265"/>
      <c r="L77" s="265">
        <v>3500</v>
      </c>
      <c r="M77" s="265" t="s">
        <v>309</v>
      </c>
      <c r="N77" s="265"/>
      <c r="O77" s="265"/>
      <c r="P77" s="265"/>
      <c r="Q77" s="265"/>
      <c r="R77" s="48">
        <f t="shared" si="3"/>
        <v>7000</v>
      </c>
    </row>
    <row r="78" spans="1:18" ht="23.25" customHeight="1">
      <c r="A78" s="249"/>
      <c r="B78" s="241"/>
      <c r="C78" s="241" t="s">
        <v>383</v>
      </c>
      <c r="D78" s="252" t="s">
        <v>303</v>
      </c>
      <c r="E78" s="269">
        <v>3500</v>
      </c>
      <c r="F78" s="276"/>
      <c r="G78" s="265"/>
      <c r="H78" s="265"/>
      <c r="I78" s="265"/>
      <c r="J78" s="265"/>
      <c r="K78" s="265"/>
      <c r="L78" s="265">
        <v>3500</v>
      </c>
      <c r="M78" s="265" t="s">
        <v>309</v>
      </c>
      <c r="N78" s="265"/>
      <c r="O78" s="265"/>
      <c r="P78" s="265"/>
      <c r="Q78" s="265"/>
      <c r="R78" s="48">
        <f t="shared" si="3"/>
        <v>7000</v>
      </c>
    </row>
    <row r="79" spans="1:18" ht="23.25" customHeight="1">
      <c r="A79" s="249"/>
      <c r="B79" s="241"/>
      <c r="C79" s="241" t="s">
        <v>384</v>
      </c>
      <c r="D79" s="252" t="s">
        <v>304</v>
      </c>
      <c r="E79" s="269">
        <v>3500</v>
      </c>
      <c r="F79" s="276"/>
      <c r="G79" s="265"/>
      <c r="H79" s="265"/>
      <c r="I79" s="265"/>
      <c r="J79" s="265"/>
      <c r="K79" s="265"/>
      <c r="L79" s="265">
        <v>3500</v>
      </c>
      <c r="M79" s="265" t="s">
        <v>309</v>
      </c>
      <c r="N79" s="265"/>
      <c r="O79" s="265"/>
      <c r="P79" s="265"/>
      <c r="Q79" s="265"/>
      <c r="R79" s="48">
        <f t="shared" si="3"/>
        <v>7000</v>
      </c>
    </row>
    <row r="80" spans="1:18" ht="23.25" customHeight="1">
      <c r="A80" s="249"/>
      <c r="B80" s="241"/>
      <c r="C80" s="241" t="s">
        <v>385</v>
      </c>
      <c r="D80" s="252" t="s">
        <v>305</v>
      </c>
      <c r="E80" s="269">
        <v>3500</v>
      </c>
      <c r="F80" s="276"/>
      <c r="G80" s="265"/>
      <c r="H80" s="265"/>
      <c r="I80" s="265"/>
      <c r="J80" s="265"/>
      <c r="K80" s="265"/>
      <c r="L80" s="265">
        <v>3500</v>
      </c>
      <c r="M80" s="265" t="s">
        <v>309</v>
      </c>
      <c r="N80" s="265"/>
      <c r="O80" s="265"/>
      <c r="P80" s="265"/>
      <c r="Q80" s="265"/>
      <c r="R80" s="48">
        <f t="shared" si="3"/>
        <v>7000</v>
      </c>
    </row>
    <row r="81" spans="1:18" ht="23.25" customHeight="1">
      <c r="A81" s="249"/>
      <c r="B81" s="241"/>
      <c r="C81" s="241" t="s">
        <v>386</v>
      </c>
      <c r="D81" s="252" t="s">
        <v>306</v>
      </c>
      <c r="E81" s="269">
        <v>3500</v>
      </c>
      <c r="F81" s="276"/>
      <c r="G81" s="265"/>
      <c r="H81" s="265"/>
      <c r="I81" s="265"/>
      <c r="J81" s="265"/>
      <c r="K81" s="265"/>
      <c r="L81" s="265">
        <v>3500</v>
      </c>
      <c r="M81" s="265">
        <v>0</v>
      </c>
      <c r="N81" s="265"/>
      <c r="O81" s="265"/>
      <c r="P81" s="265"/>
      <c r="Q81" s="265"/>
      <c r="R81" s="48">
        <f t="shared" si="3"/>
        <v>7000</v>
      </c>
    </row>
    <row r="82" spans="1:18" ht="23.25" customHeight="1">
      <c r="A82" s="249"/>
      <c r="B82" s="241"/>
      <c r="C82" s="241" t="s">
        <v>387</v>
      </c>
      <c r="D82" s="252" t="s">
        <v>307</v>
      </c>
      <c r="E82" s="269">
        <v>3500</v>
      </c>
      <c r="F82" s="276"/>
      <c r="G82" s="265"/>
      <c r="H82" s="265"/>
      <c r="I82" s="265"/>
      <c r="J82" s="265"/>
      <c r="K82" s="265"/>
      <c r="L82" s="265">
        <v>3500</v>
      </c>
      <c r="M82" s="265">
        <v>3500</v>
      </c>
      <c r="N82" s="265">
        <v>1800</v>
      </c>
      <c r="O82" s="265">
        <v>2500</v>
      </c>
      <c r="P82" s="266">
        <v>2500</v>
      </c>
      <c r="Q82" s="266">
        <v>2500</v>
      </c>
      <c r="R82" s="48">
        <f t="shared" si="3"/>
        <v>19800</v>
      </c>
    </row>
    <row r="83" spans="1:18" ht="23.25" customHeight="1">
      <c r="A83" s="249"/>
      <c r="B83" s="241"/>
      <c r="C83" s="241" t="s">
        <v>388</v>
      </c>
      <c r="D83" s="252" t="s">
        <v>308</v>
      </c>
      <c r="E83" s="269">
        <v>5000</v>
      </c>
      <c r="F83" s="276"/>
      <c r="G83" s="265"/>
      <c r="H83" s="265"/>
      <c r="I83" s="265"/>
      <c r="J83" s="265"/>
      <c r="K83" s="265"/>
      <c r="L83" s="265">
        <v>5000</v>
      </c>
      <c r="M83" s="265">
        <v>5000</v>
      </c>
      <c r="N83" s="265">
        <v>1800</v>
      </c>
      <c r="O83" s="265">
        <v>2500</v>
      </c>
      <c r="P83" s="266">
        <v>2500</v>
      </c>
      <c r="Q83" s="266">
        <v>2500</v>
      </c>
      <c r="R83" s="48">
        <f t="shared" si="3"/>
        <v>24300</v>
      </c>
    </row>
    <row r="84" spans="1:18" ht="23.25" customHeight="1">
      <c r="A84" s="249"/>
      <c r="B84" s="241"/>
      <c r="C84" s="241" t="s">
        <v>389</v>
      </c>
      <c r="D84" s="252" t="s">
        <v>411</v>
      </c>
      <c r="E84" s="269"/>
      <c r="F84" s="276"/>
      <c r="G84" s="265"/>
      <c r="H84" s="265"/>
      <c r="I84" s="265"/>
      <c r="J84" s="265"/>
      <c r="K84" s="265"/>
      <c r="L84" s="265"/>
      <c r="M84" s="265"/>
      <c r="N84" s="265">
        <v>1800</v>
      </c>
      <c r="O84" s="265">
        <v>2500</v>
      </c>
      <c r="P84" s="266">
        <v>2500</v>
      </c>
      <c r="Q84" s="266">
        <v>2500</v>
      </c>
      <c r="R84" s="48">
        <f t="shared" si="3"/>
        <v>9300</v>
      </c>
    </row>
    <row r="85" spans="1:18" ht="23.25" customHeight="1">
      <c r="A85" s="249"/>
      <c r="B85" s="241"/>
      <c r="C85" s="241" t="s">
        <v>390</v>
      </c>
      <c r="D85" s="252" t="s">
        <v>412</v>
      </c>
      <c r="E85" s="269"/>
      <c r="F85" s="276"/>
      <c r="G85" s="265"/>
      <c r="H85" s="265"/>
      <c r="I85" s="265"/>
      <c r="J85" s="265"/>
      <c r="K85" s="265"/>
      <c r="L85" s="265"/>
      <c r="M85" s="265"/>
      <c r="N85" s="265">
        <v>1800</v>
      </c>
      <c r="O85" s="265">
        <v>2500</v>
      </c>
      <c r="P85" s="266">
        <v>2500</v>
      </c>
      <c r="Q85" s="266">
        <v>2500</v>
      </c>
      <c r="R85" s="48">
        <f t="shared" si="3"/>
        <v>9300</v>
      </c>
    </row>
    <row r="86" spans="1:18" ht="23.25" customHeight="1">
      <c r="A86" s="249"/>
      <c r="B86" s="241"/>
      <c r="C86" s="241" t="s">
        <v>391</v>
      </c>
      <c r="D86" s="252" t="s">
        <v>427</v>
      </c>
      <c r="E86" s="269"/>
      <c r="F86" s="276"/>
      <c r="G86" s="265"/>
      <c r="H86" s="265"/>
      <c r="I86" s="265"/>
      <c r="J86" s="265"/>
      <c r="K86" s="265"/>
      <c r="L86" s="265"/>
      <c r="M86" s="265"/>
      <c r="N86" s="265">
        <v>1800</v>
      </c>
      <c r="O86" s="265">
        <v>2500</v>
      </c>
      <c r="P86" s="265">
        <v>2500</v>
      </c>
      <c r="Q86" s="266">
        <v>2500</v>
      </c>
      <c r="R86" s="48">
        <f t="shared" si="3"/>
        <v>9300</v>
      </c>
    </row>
    <row r="87" spans="1:18" ht="23.25" customHeight="1">
      <c r="A87" s="249"/>
      <c r="B87" s="241"/>
      <c r="C87" s="241" t="s">
        <v>392</v>
      </c>
      <c r="D87" s="252" t="s">
        <v>413</v>
      </c>
      <c r="E87" s="269"/>
      <c r="F87" s="276"/>
      <c r="G87" s="265"/>
      <c r="H87" s="265"/>
      <c r="I87" s="265"/>
      <c r="J87" s="265"/>
      <c r="K87" s="265"/>
      <c r="L87" s="265"/>
      <c r="M87" s="265"/>
      <c r="N87" s="265">
        <v>1800</v>
      </c>
      <c r="O87" s="265">
        <v>2500</v>
      </c>
      <c r="P87" s="266">
        <v>2500</v>
      </c>
      <c r="Q87" s="266">
        <v>2500</v>
      </c>
      <c r="R87" s="48">
        <f t="shared" si="3"/>
        <v>9300</v>
      </c>
    </row>
    <row r="88" spans="1:18" ht="23.25" customHeight="1">
      <c r="A88" s="249"/>
      <c r="B88" s="241"/>
      <c r="C88" s="241" t="s">
        <v>394</v>
      </c>
      <c r="D88" s="252" t="s">
        <v>414</v>
      </c>
      <c r="E88" s="269"/>
      <c r="F88" s="276"/>
      <c r="G88" s="265"/>
      <c r="H88" s="265"/>
      <c r="I88" s="265"/>
      <c r="J88" s="265"/>
      <c r="K88" s="265"/>
      <c r="L88" s="265"/>
      <c r="M88" s="265"/>
      <c r="N88" s="265">
        <v>1800</v>
      </c>
      <c r="O88" s="265"/>
      <c r="P88" s="265"/>
      <c r="Q88" s="266"/>
      <c r="R88" s="48">
        <f t="shared" si="3"/>
        <v>1800</v>
      </c>
    </row>
    <row r="89" spans="1:18" ht="23.25" customHeight="1">
      <c r="A89" s="249"/>
      <c r="B89" s="241"/>
      <c r="C89" s="241" t="s">
        <v>415</v>
      </c>
      <c r="D89" s="252" t="s">
        <v>416</v>
      </c>
      <c r="E89" s="269"/>
      <c r="F89" s="276"/>
      <c r="G89" s="265"/>
      <c r="H89" s="265"/>
      <c r="I89" s="265"/>
      <c r="J89" s="265"/>
      <c r="K89" s="265"/>
      <c r="L89" s="265"/>
      <c r="M89" s="265"/>
      <c r="N89" s="265">
        <v>1800</v>
      </c>
      <c r="O89" s="265">
        <v>2500</v>
      </c>
      <c r="P89" s="266">
        <v>2500</v>
      </c>
      <c r="Q89" s="265">
        <v>2500</v>
      </c>
      <c r="R89" s="48">
        <f t="shared" si="3"/>
        <v>9300</v>
      </c>
    </row>
    <row r="90" spans="1:18" ht="23.25" customHeight="1">
      <c r="A90" s="249"/>
      <c r="B90" s="241"/>
      <c r="C90" s="241" t="s">
        <v>417</v>
      </c>
      <c r="D90" s="252" t="s">
        <v>418</v>
      </c>
      <c r="E90" s="268" t="s">
        <v>156</v>
      </c>
      <c r="F90" s="278">
        <v>3500</v>
      </c>
      <c r="G90" s="280" t="s">
        <v>156</v>
      </c>
      <c r="H90" s="266" t="s">
        <v>156</v>
      </c>
      <c r="I90" s="266" t="s">
        <v>156</v>
      </c>
      <c r="J90" s="266" t="s">
        <v>156</v>
      </c>
      <c r="K90" s="266" t="s">
        <v>156</v>
      </c>
      <c r="L90" s="266" t="s">
        <v>156</v>
      </c>
      <c r="M90" s="266" t="s">
        <v>156</v>
      </c>
      <c r="N90" s="265">
        <v>1800</v>
      </c>
      <c r="O90" s="265">
        <v>2500</v>
      </c>
      <c r="P90" s="265"/>
      <c r="Q90" s="266"/>
      <c r="R90" s="48">
        <f t="shared" si="3"/>
        <v>7800</v>
      </c>
    </row>
    <row r="91" spans="1:18" ht="23.25" customHeight="1">
      <c r="A91" s="249"/>
      <c r="B91" s="241"/>
      <c r="C91" s="241" t="s">
        <v>420</v>
      </c>
      <c r="D91" s="252" t="s">
        <v>419</v>
      </c>
      <c r="E91" s="269"/>
      <c r="F91" s="276"/>
      <c r="G91" s="265"/>
      <c r="H91" s="265"/>
      <c r="I91" s="265"/>
      <c r="J91" s="265"/>
      <c r="K91" s="265"/>
      <c r="L91" s="265"/>
      <c r="M91" s="265"/>
      <c r="N91" s="265">
        <v>1800</v>
      </c>
      <c r="O91" s="265">
        <v>2500</v>
      </c>
      <c r="P91" s="266">
        <v>2500</v>
      </c>
      <c r="Q91" s="266">
        <v>2500</v>
      </c>
      <c r="R91" s="48">
        <f t="shared" si="3"/>
        <v>9300</v>
      </c>
    </row>
    <row r="92" spans="1:18" ht="23.25" customHeight="1">
      <c r="A92" s="249"/>
      <c r="B92" s="241"/>
      <c r="C92" s="241"/>
      <c r="D92" s="252" t="s">
        <v>431</v>
      </c>
      <c r="E92" s="269"/>
      <c r="F92" s="276"/>
      <c r="G92" s="265"/>
      <c r="H92" s="265"/>
      <c r="I92" s="265"/>
      <c r="J92" s="265"/>
      <c r="K92" s="265"/>
      <c r="L92" s="265"/>
      <c r="M92" s="265"/>
      <c r="N92" s="265"/>
      <c r="O92" s="265">
        <v>1800</v>
      </c>
      <c r="P92" s="265">
        <v>2500</v>
      </c>
      <c r="Q92" s="265">
        <v>2500</v>
      </c>
      <c r="R92" s="310"/>
    </row>
    <row r="93" spans="1:18" ht="23.25" customHeight="1">
      <c r="A93" s="249"/>
      <c r="B93" s="241"/>
      <c r="C93" s="241"/>
      <c r="D93" s="252" t="s">
        <v>432</v>
      </c>
      <c r="E93" s="269"/>
      <c r="F93" s="276"/>
      <c r="G93" s="265"/>
      <c r="H93" s="265"/>
      <c r="I93" s="265"/>
      <c r="J93" s="265"/>
      <c r="K93" s="265"/>
      <c r="L93" s="265"/>
      <c r="M93" s="265"/>
      <c r="N93" s="265"/>
      <c r="O93" s="265">
        <v>1800</v>
      </c>
      <c r="P93" s="265">
        <v>2500</v>
      </c>
      <c r="Q93" s="265">
        <v>2500</v>
      </c>
      <c r="R93" s="310"/>
    </row>
    <row r="94" spans="1:18" ht="23.25" customHeight="1">
      <c r="A94" s="346"/>
      <c r="B94" s="347"/>
      <c r="C94" s="347"/>
      <c r="D94" s="348" t="s">
        <v>441</v>
      </c>
      <c r="E94" s="349"/>
      <c r="F94" s="350"/>
      <c r="G94" s="351"/>
      <c r="H94" s="351"/>
      <c r="I94" s="351"/>
      <c r="J94" s="351"/>
      <c r="K94" s="351"/>
      <c r="L94" s="351"/>
      <c r="M94" s="351"/>
      <c r="N94" s="351"/>
      <c r="O94" s="351">
        <v>1800</v>
      </c>
      <c r="P94" s="266">
        <v>2500</v>
      </c>
      <c r="Q94" s="266">
        <v>2500</v>
      </c>
      <c r="R94" s="352"/>
    </row>
    <row r="95" spans="1:18" ht="23.25" customHeight="1">
      <c r="A95" s="346"/>
      <c r="B95" s="347"/>
      <c r="C95" s="347"/>
      <c r="D95" s="348" t="s">
        <v>442</v>
      </c>
      <c r="E95" s="349"/>
      <c r="F95" s="350"/>
      <c r="G95" s="351"/>
      <c r="H95" s="351"/>
      <c r="I95" s="351"/>
      <c r="J95" s="351"/>
      <c r="K95" s="351"/>
      <c r="L95" s="351"/>
      <c r="M95" s="351"/>
      <c r="N95" s="351"/>
      <c r="O95" s="351">
        <v>1800</v>
      </c>
      <c r="P95" s="266">
        <v>2500</v>
      </c>
      <c r="Q95" s="266">
        <v>2500</v>
      </c>
      <c r="R95" s="352"/>
    </row>
    <row r="96" spans="1:18" ht="23.25" customHeight="1">
      <c r="A96" s="346"/>
      <c r="B96" s="347"/>
      <c r="C96" s="347"/>
      <c r="D96" s="348"/>
      <c r="E96" s="349"/>
      <c r="F96" s="350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2"/>
    </row>
    <row r="97" spans="1:18" ht="23.25" customHeight="1">
      <c r="A97" s="249"/>
      <c r="B97" s="241"/>
      <c r="C97" s="241"/>
      <c r="D97" s="252"/>
      <c r="E97" s="269"/>
      <c r="F97" s="276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310"/>
    </row>
    <row r="98" spans="1:18" ht="23.25" customHeight="1">
      <c r="A98" s="369"/>
      <c r="B98" s="347"/>
      <c r="C98" s="347"/>
      <c r="D98" s="348"/>
      <c r="E98" s="269"/>
      <c r="F98" s="276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310"/>
    </row>
    <row r="99" spans="1:18" ht="23.25" customHeight="1">
      <c r="A99" s="371" t="s">
        <v>443</v>
      </c>
      <c r="B99" s="372"/>
      <c r="C99" s="366"/>
      <c r="D99" s="368" t="s">
        <v>423</v>
      </c>
      <c r="E99" s="269"/>
      <c r="F99" s="276"/>
      <c r="G99" s="265"/>
      <c r="H99" s="265"/>
      <c r="I99" s="265"/>
      <c r="J99" s="265"/>
      <c r="K99" s="265"/>
      <c r="L99" s="265"/>
      <c r="M99" s="265"/>
      <c r="N99" s="265"/>
      <c r="O99" s="265">
        <v>300</v>
      </c>
      <c r="P99" s="265">
        <v>400</v>
      </c>
      <c r="Q99" s="265"/>
      <c r="R99" s="310"/>
    </row>
    <row r="100" spans="1:18" ht="23.25" customHeight="1">
      <c r="A100" s="249"/>
      <c r="B100" s="241"/>
      <c r="C100" s="241"/>
      <c r="D100" s="252" t="s">
        <v>424</v>
      </c>
      <c r="E100" s="269"/>
      <c r="F100" s="276"/>
      <c r="G100" s="265"/>
      <c r="H100" s="265"/>
      <c r="I100" s="265"/>
      <c r="J100" s="265"/>
      <c r="K100" s="265"/>
      <c r="L100" s="265"/>
      <c r="M100" s="265"/>
      <c r="N100" s="265"/>
      <c r="O100" s="265">
        <v>300</v>
      </c>
      <c r="P100" s="265">
        <v>800</v>
      </c>
      <c r="Q100" s="265"/>
      <c r="R100" s="310"/>
    </row>
    <row r="101" spans="1:18" ht="23.25" customHeight="1">
      <c r="A101" s="249"/>
      <c r="B101" s="241"/>
      <c r="C101" s="241"/>
      <c r="D101" s="252" t="s">
        <v>425</v>
      </c>
      <c r="E101" s="269"/>
      <c r="F101" s="276"/>
      <c r="G101" s="265"/>
      <c r="H101" s="265"/>
      <c r="I101" s="265"/>
      <c r="J101" s="265"/>
      <c r="K101" s="265"/>
      <c r="L101" s="265"/>
      <c r="M101" s="265"/>
      <c r="N101" s="265"/>
      <c r="O101" s="265">
        <v>600</v>
      </c>
      <c r="P101" s="265">
        <v>1600</v>
      </c>
      <c r="Q101" s="265"/>
      <c r="R101" s="48">
        <f t="shared" si="3"/>
        <v>2200</v>
      </c>
    </row>
    <row r="102" spans="1:18" ht="23.25" customHeight="1">
      <c r="A102" s="369"/>
      <c r="B102" s="347"/>
      <c r="C102" s="347"/>
      <c r="D102" s="348" t="s">
        <v>434</v>
      </c>
      <c r="E102" s="269"/>
      <c r="F102" s="276"/>
      <c r="G102" s="265"/>
      <c r="H102" s="265"/>
      <c r="I102" s="265"/>
      <c r="J102" s="265"/>
      <c r="K102" s="265"/>
      <c r="L102" s="265"/>
      <c r="M102" s="265"/>
      <c r="N102" s="265"/>
      <c r="O102" s="265">
        <v>600</v>
      </c>
      <c r="P102" s="265">
        <v>1200</v>
      </c>
      <c r="Q102" s="265">
        <v>800</v>
      </c>
      <c r="R102" s="48">
        <f t="shared" si="3"/>
        <v>2600</v>
      </c>
    </row>
    <row r="103" spans="1:18" ht="23.25" customHeight="1">
      <c r="A103" s="370"/>
      <c r="B103" s="366"/>
      <c r="C103" s="367"/>
      <c r="D103" s="368" t="s">
        <v>447</v>
      </c>
      <c r="E103" s="349"/>
      <c r="F103" s="350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>
        <v>800</v>
      </c>
      <c r="Q103" s="351">
        <v>1200</v>
      </c>
      <c r="R103" s="352"/>
    </row>
    <row r="104" spans="1:18" ht="23.25" customHeight="1">
      <c r="A104" s="365"/>
      <c r="B104" s="347"/>
      <c r="C104" s="347"/>
      <c r="D104" s="348" t="s">
        <v>459</v>
      </c>
      <c r="E104" s="349"/>
      <c r="F104" s="350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>
        <v>1600</v>
      </c>
      <c r="Q104" s="351">
        <v>1200</v>
      </c>
      <c r="R104" s="352"/>
    </row>
    <row r="105" spans="1:18" ht="23.25" customHeight="1">
      <c r="A105" s="346"/>
      <c r="B105" s="347"/>
      <c r="C105" s="347"/>
      <c r="D105" s="348"/>
      <c r="E105" s="349"/>
      <c r="F105" s="350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2"/>
    </row>
    <row r="106" spans="1:18" ht="23.25" customHeight="1">
      <c r="A106" s="346"/>
      <c r="B106" s="347"/>
      <c r="C106" s="347"/>
      <c r="D106" s="348" t="s">
        <v>468</v>
      </c>
      <c r="E106" s="349"/>
      <c r="F106" s="350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 t="s">
        <v>460</v>
      </c>
      <c r="Q106" s="351"/>
      <c r="R106" s="352"/>
    </row>
    <row r="107" spans="1:18" ht="23.25" customHeight="1">
      <c r="A107" s="346"/>
      <c r="B107" s="241"/>
      <c r="C107" s="241"/>
      <c r="D107" s="252"/>
      <c r="E107" s="269"/>
      <c r="F107" s="276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310"/>
    </row>
    <row r="108" spans="1:18" ht="23.25" customHeight="1">
      <c r="A108" s="249"/>
      <c r="B108" s="241"/>
      <c r="C108" s="241"/>
      <c r="D108" s="252" t="s">
        <v>209</v>
      </c>
      <c r="E108" s="268"/>
      <c r="F108" s="279"/>
      <c r="G108" s="266"/>
      <c r="H108" s="266">
        <v>1800</v>
      </c>
      <c r="I108" s="266" t="s">
        <v>223</v>
      </c>
      <c r="J108" s="266"/>
      <c r="K108" s="266"/>
      <c r="L108" s="266"/>
      <c r="M108" s="266"/>
      <c r="N108" s="266"/>
      <c r="O108" s="266"/>
      <c r="P108" s="266"/>
      <c r="Q108" s="266"/>
      <c r="R108" s="48">
        <f t="shared" si="3"/>
        <v>1800</v>
      </c>
    </row>
    <row r="109" spans="1:18" ht="23.25" customHeight="1">
      <c r="A109" s="249"/>
      <c r="B109" s="43"/>
      <c r="C109" s="241" t="s">
        <v>421</v>
      </c>
      <c r="D109" s="234" t="s">
        <v>53</v>
      </c>
      <c r="E109" s="266">
        <v>1600</v>
      </c>
      <c r="F109" s="278">
        <v>3500</v>
      </c>
      <c r="G109" s="266">
        <v>1800</v>
      </c>
      <c r="H109" s="266">
        <v>2500</v>
      </c>
      <c r="I109" s="266">
        <v>2500</v>
      </c>
      <c r="J109" s="266">
        <v>2500</v>
      </c>
      <c r="K109" s="266">
        <v>2500</v>
      </c>
      <c r="L109" s="266" t="s">
        <v>294</v>
      </c>
      <c r="M109" s="266"/>
      <c r="N109" s="266"/>
      <c r="O109" s="266"/>
      <c r="P109" s="266"/>
      <c r="Q109" s="266"/>
      <c r="R109" s="48">
        <f>SUM(E109:Q109)</f>
        <v>16900</v>
      </c>
    </row>
    <row r="110" spans="1:18" s="46" customFormat="1" ht="23.25" customHeight="1">
      <c r="A110" s="43"/>
      <c r="B110" s="55"/>
      <c r="C110" s="289"/>
      <c r="D110" s="47" t="s">
        <v>311</v>
      </c>
      <c r="E110" s="54">
        <f>SUM(E2:E102)</f>
        <v>142000</v>
      </c>
      <c r="F110" s="275">
        <f t="shared" ref="F110:K110" si="4">SUM(F2:F109)</f>
        <v>198000</v>
      </c>
      <c r="G110" s="266">
        <f t="shared" si="4"/>
        <v>101000</v>
      </c>
      <c r="H110" s="266">
        <f t="shared" si="4"/>
        <v>147600</v>
      </c>
      <c r="I110" s="266">
        <f t="shared" si="4"/>
        <v>159800</v>
      </c>
      <c r="J110" s="266">
        <f t="shared" si="4"/>
        <v>162200</v>
      </c>
      <c r="K110" s="266">
        <f t="shared" si="4"/>
        <v>136700</v>
      </c>
      <c r="L110" s="266">
        <f>SUM(L2:L109)</f>
        <v>273000</v>
      </c>
      <c r="M110" s="266">
        <f>SUM(M2:M109)</f>
        <v>238800</v>
      </c>
      <c r="N110" s="266">
        <v>153600</v>
      </c>
      <c r="O110" s="266">
        <f>SUM(O2:O109)</f>
        <v>168100</v>
      </c>
      <c r="P110" s="266">
        <f>SUM(P2:P109)</f>
        <v>177800</v>
      </c>
      <c r="Q110" s="266">
        <f>SUM(Q2:Q109)</f>
        <v>162200</v>
      </c>
      <c r="R110" s="54">
        <f>SUM(R2:R109)</f>
        <v>2188600</v>
      </c>
    </row>
    <row r="111" spans="1:18" ht="23.25" customHeight="1">
      <c r="A111" s="55"/>
      <c r="L111" s="231"/>
      <c r="M111" s="232"/>
      <c r="Q111" s="250"/>
    </row>
    <row r="112" spans="1:18" ht="23.25" customHeight="1">
      <c r="L112" s="233"/>
      <c r="M112" s="232"/>
    </row>
    <row r="113" spans="12:13" ht="16.5" customHeight="1">
      <c r="L113" s="231"/>
      <c r="M113" s="232"/>
    </row>
    <row r="114" spans="12:13" ht="16.5" customHeight="1">
      <c r="L114" s="231"/>
      <c r="M114" s="232"/>
    </row>
    <row r="115" spans="12:13" ht="16.5" customHeight="1">
      <c r="L115" s="231"/>
      <c r="M115" s="232"/>
    </row>
    <row r="116" spans="12:13" ht="16.5" customHeight="1">
      <c r="L116" s="231"/>
      <c r="M116" s="232"/>
    </row>
    <row r="117" spans="12:13" ht="16.5" customHeight="1">
      <c r="L117" s="231"/>
      <c r="M117" s="232"/>
    </row>
    <row r="118" spans="12:13" ht="16.5" customHeight="1">
      <c r="L118" s="233"/>
      <c r="M118" s="232"/>
    </row>
    <row r="119" spans="12:13" ht="16.5" customHeight="1">
      <c r="L119" s="231"/>
      <c r="M119" s="232"/>
    </row>
    <row r="120" spans="12:13" ht="16.5" customHeight="1">
      <c r="L120" s="231"/>
      <c r="M120" s="232"/>
    </row>
    <row r="121" spans="12:13" ht="16.5" customHeight="1">
      <c r="L121" s="231"/>
      <c r="M121" s="232"/>
    </row>
    <row r="122" spans="12:13" ht="16.5" customHeight="1">
      <c r="L122" s="231"/>
      <c r="M122" s="232"/>
    </row>
    <row r="123" spans="12:13" ht="16.5" customHeight="1">
      <c r="L123" s="231"/>
      <c r="M123" s="232"/>
    </row>
    <row r="124" spans="12:13" ht="16.5" customHeight="1">
      <c r="L124" s="231"/>
      <c r="M124" s="232"/>
    </row>
    <row r="125" spans="12:13" ht="16.5" customHeight="1">
      <c r="L125" s="233"/>
      <c r="M125" s="232"/>
    </row>
    <row r="126" spans="12:13" ht="16.5" customHeight="1">
      <c r="L126" s="233"/>
      <c r="M126" s="232"/>
    </row>
    <row r="127" spans="12:13" ht="16.5" customHeight="1">
      <c r="L127" s="233"/>
      <c r="M127" s="232"/>
    </row>
    <row r="128" spans="12:13" ht="16.5" customHeight="1">
      <c r="L128" s="233"/>
      <c r="M128" s="232"/>
    </row>
    <row r="129" spans="12:13" ht="16.5" customHeight="1">
      <c r="L129" s="231"/>
      <c r="M129" s="232"/>
    </row>
    <row r="130" spans="12:13" ht="16.5" customHeight="1">
      <c r="L130" s="231"/>
      <c r="M130" s="232"/>
    </row>
    <row r="131" spans="12:13" ht="16.5" customHeight="1">
      <c r="L131" s="233"/>
      <c r="M131" s="232"/>
    </row>
    <row r="132" spans="12:13" ht="16.5" customHeight="1">
      <c r="L132" s="233"/>
      <c r="M132" s="232"/>
    </row>
    <row r="133" spans="12:13" ht="16.5" customHeight="1">
      <c r="L133" s="233"/>
      <c r="M133" s="232"/>
    </row>
    <row r="134" spans="12:13" ht="16.5" customHeight="1">
      <c r="L134" s="233"/>
      <c r="M134" s="232"/>
    </row>
    <row r="135" spans="12:13" ht="16.5" customHeight="1">
      <c r="L135" s="233"/>
      <c r="M135" s="232"/>
    </row>
    <row r="136" spans="12:13" ht="16.5" customHeight="1">
      <c r="L136" s="233"/>
      <c r="M136" s="232"/>
    </row>
    <row r="137" spans="12:13" ht="16.5" customHeight="1">
      <c r="L137" s="233"/>
      <c r="M137" s="232"/>
    </row>
    <row r="138" spans="12:13" ht="16.5" customHeight="1">
      <c r="L138" s="231"/>
      <c r="M138" s="232"/>
    </row>
    <row r="139" spans="12:13" ht="16.5" customHeight="1">
      <c r="L139" s="233"/>
      <c r="M139" s="232"/>
    </row>
    <row r="140" spans="12:13" ht="16.5" customHeight="1">
      <c r="L140" s="233"/>
      <c r="M140" s="232"/>
    </row>
    <row r="141" spans="12:13" ht="16.5" customHeight="1">
      <c r="L141" s="233"/>
      <c r="M141" s="232"/>
    </row>
    <row r="142" spans="12:13" ht="16.5" customHeight="1">
      <c r="L142" s="233"/>
      <c r="M142" s="232"/>
    </row>
    <row r="143" spans="12:13" ht="16.5" customHeight="1">
      <c r="L143" s="233"/>
      <c r="M143" s="232"/>
    </row>
    <row r="144" spans="12:13" ht="16.5" customHeight="1">
      <c r="L144" s="233"/>
      <c r="M144" s="232"/>
    </row>
    <row r="145" spans="12:13" ht="16.5" customHeight="1">
      <c r="L145" s="233"/>
      <c r="M145" s="232"/>
    </row>
    <row r="146" spans="12:13" ht="16.5" customHeight="1">
      <c r="L146" s="233"/>
      <c r="M146" s="232"/>
    </row>
  </sheetData>
  <phoneticPr fontId="2" type="noConversion"/>
  <conditionalFormatting sqref="D12 D25:D34 D36 E58:E109 G108:G109">
    <cfRule type="cellIs" dxfId="3" priority="212" stopIfTrue="1" operator="lessThan">
      <formula>0</formula>
    </cfRule>
  </conditionalFormatting>
  <conditionalFormatting sqref="D17:D21">
    <cfRule type="cellIs" dxfId="2" priority="51" stopIfTrue="1" operator="lessThan">
      <formula>0</formula>
    </cfRule>
  </conditionalFormatting>
  <conditionalFormatting sqref="G72">
    <cfRule type="cellIs" dxfId="1" priority="3" stopIfTrue="1" operator="lessThan">
      <formula>0</formula>
    </cfRule>
  </conditionalFormatting>
  <pageMargins left="0.75" right="0.75" top="1" bottom="1" header="0.5" footer="0.5"/>
  <pageSetup scale="51" fitToHeight="0" orientation="portrait" r:id="rId1"/>
  <headerFooter>
    <oddHeader>&amp;C&amp;"Helvetica Neue,Bold"&amp;14&amp;K000000107年繳費球員名單</oddHeader>
    <oddFooter>&amp;C&amp;"Helvetica Neue,Regular"&amp;12&amp;K000000&amp;P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pageSetUpPr fitToPage="1"/>
  </sheetPr>
  <dimension ref="A1:IV17"/>
  <sheetViews>
    <sheetView showGridLines="0" showRuler="0" zoomScale="120" zoomScaleNormal="120" zoomScalePageLayoutView="112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N17" sqref="N17"/>
    </sheetView>
  </sheetViews>
  <sheetFormatPr defaultColWidth="8.81640625" defaultRowHeight="16.5" customHeight="1"/>
  <cols>
    <col min="1" max="1" width="5" style="1" customWidth="1"/>
    <col min="2" max="2" width="8.1796875" style="1" customWidth="1"/>
    <col min="3" max="11" width="7.6328125" style="1" customWidth="1"/>
    <col min="12" max="12" width="8" style="1" customWidth="1"/>
    <col min="13" max="13" width="7.6328125" style="1" customWidth="1"/>
    <col min="14" max="14" width="8" style="1" customWidth="1"/>
    <col min="15" max="15" width="9.6328125" style="1" customWidth="1"/>
    <col min="16" max="256" width="8.81640625" style="1" customWidth="1"/>
    <col min="257" max="16384" width="8.81640625" style="2"/>
  </cols>
  <sheetData>
    <row r="1" spans="1:15" s="1" customFormat="1" ht="32.25" customHeight="1" thickBot="1">
      <c r="A1" s="440" t="s">
        <v>149</v>
      </c>
      <c r="B1" s="441"/>
      <c r="C1" s="442"/>
      <c r="D1" s="442"/>
      <c r="E1" s="442"/>
      <c r="F1" s="441"/>
      <c r="G1" s="441"/>
      <c r="H1" s="441"/>
      <c r="I1" s="441"/>
      <c r="J1" s="441"/>
      <c r="K1" s="441"/>
      <c r="L1" s="441"/>
      <c r="M1" s="441"/>
      <c r="N1" s="441"/>
      <c r="O1" s="20"/>
    </row>
    <row r="2" spans="1:15" s="1" customFormat="1" ht="21" customHeight="1" thickTop="1">
      <c r="A2" s="21" t="s">
        <v>33</v>
      </c>
      <c r="B2" s="22" t="s">
        <v>57</v>
      </c>
      <c r="C2" s="33" t="s">
        <v>148</v>
      </c>
      <c r="D2" s="228" t="s">
        <v>87</v>
      </c>
      <c r="E2" s="33" t="s">
        <v>89</v>
      </c>
      <c r="F2" s="33" t="s">
        <v>37</v>
      </c>
      <c r="G2" s="33" t="s">
        <v>38</v>
      </c>
      <c r="H2" s="33" t="s">
        <v>39</v>
      </c>
      <c r="I2" s="33" t="s">
        <v>40</v>
      </c>
      <c r="J2" s="33" t="s">
        <v>41</v>
      </c>
      <c r="K2" s="33" t="s">
        <v>42</v>
      </c>
      <c r="L2" s="33" t="s">
        <v>43</v>
      </c>
      <c r="M2" s="33" t="s">
        <v>44</v>
      </c>
      <c r="N2" s="33" t="s">
        <v>150</v>
      </c>
      <c r="O2" s="23" t="s">
        <v>58</v>
      </c>
    </row>
    <row r="3" spans="1:15" s="1" customFormat="1" ht="19.95" customHeight="1">
      <c r="A3" s="24">
        <v>1</v>
      </c>
      <c r="B3" s="32" t="s">
        <v>59</v>
      </c>
      <c r="C3" s="25">
        <v>32078</v>
      </c>
      <c r="D3" s="25">
        <v>54257</v>
      </c>
      <c r="E3" s="25">
        <v>45600</v>
      </c>
      <c r="F3" s="25">
        <v>40100</v>
      </c>
      <c r="G3" s="25">
        <v>41500</v>
      </c>
      <c r="H3" s="25">
        <v>39700</v>
      </c>
      <c r="I3" s="25">
        <v>42800</v>
      </c>
      <c r="J3" s="25">
        <v>55761</v>
      </c>
      <c r="K3" s="25">
        <v>41500</v>
      </c>
      <c r="L3" s="25">
        <v>38800</v>
      </c>
      <c r="M3" s="25">
        <v>40300</v>
      </c>
      <c r="N3" s="25">
        <v>41200</v>
      </c>
      <c r="O3" s="26">
        <f t="shared" ref="O3:O16" si="0">SUM(C3:N3)</f>
        <v>513596</v>
      </c>
    </row>
    <row r="4" spans="1:15" s="1" customFormat="1" ht="19.95" customHeight="1">
      <c r="A4" s="24">
        <v>2</v>
      </c>
      <c r="B4" s="32" t="s">
        <v>60</v>
      </c>
      <c r="C4" s="25">
        <v>28184</v>
      </c>
      <c r="D4" s="25">
        <v>51050</v>
      </c>
      <c r="E4" s="25">
        <v>40500</v>
      </c>
      <c r="F4" s="25">
        <v>36300</v>
      </c>
      <c r="G4" s="25">
        <v>37200</v>
      </c>
      <c r="H4" s="25">
        <v>35300</v>
      </c>
      <c r="I4" s="25">
        <v>44350</v>
      </c>
      <c r="J4" s="25">
        <v>51089</v>
      </c>
      <c r="K4" s="25">
        <v>36400</v>
      </c>
      <c r="L4" s="25">
        <v>34400</v>
      </c>
      <c r="M4" s="25">
        <v>36700</v>
      </c>
      <c r="N4" s="25">
        <v>36600</v>
      </c>
      <c r="O4" s="26">
        <f t="shared" si="0"/>
        <v>468073</v>
      </c>
    </row>
    <row r="5" spans="1:15" s="1" customFormat="1" ht="19.95" customHeight="1">
      <c r="A5" s="24">
        <v>3</v>
      </c>
      <c r="B5" s="32" t="s">
        <v>61</v>
      </c>
      <c r="C5" s="25">
        <v>4800</v>
      </c>
      <c r="D5" s="25">
        <v>23250</v>
      </c>
      <c r="E5" s="25">
        <v>1200</v>
      </c>
      <c r="F5" s="25"/>
      <c r="G5" s="25"/>
      <c r="H5" s="25">
        <v>3600</v>
      </c>
      <c r="I5" s="25">
        <v>18000</v>
      </c>
      <c r="J5" s="25">
        <v>27300</v>
      </c>
      <c r="K5" s="25">
        <v>11400</v>
      </c>
      <c r="L5" s="25">
        <v>14100</v>
      </c>
      <c r="M5" s="25">
        <v>14400</v>
      </c>
      <c r="N5" s="25">
        <v>12000</v>
      </c>
      <c r="O5" s="26">
        <f t="shared" si="0"/>
        <v>130050</v>
      </c>
    </row>
    <row r="6" spans="1:15" s="1" customFormat="1" ht="19.95" customHeight="1">
      <c r="A6" s="24">
        <v>4</v>
      </c>
      <c r="B6" s="32" t="s">
        <v>62</v>
      </c>
      <c r="C6" s="25">
        <v>9900</v>
      </c>
      <c r="D6" s="25">
        <v>28650</v>
      </c>
      <c r="E6" s="25">
        <v>18000</v>
      </c>
      <c r="F6" s="25">
        <v>14100</v>
      </c>
      <c r="G6" s="25">
        <v>19200</v>
      </c>
      <c r="H6" s="25">
        <v>19200</v>
      </c>
      <c r="I6" s="25">
        <v>25500</v>
      </c>
      <c r="J6" s="25">
        <v>32400</v>
      </c>
      <c r="K6" s="25">
        <v>22500</v>
      </c>
      <c r="L6" s="25">
        <v>14700</v>
      </c>
      <c r="M6" s="25">
        <v>10200</v>
      </c>
      <c r="N6" s="25">
        <v>11700</v>
      </c>
      <c r="O6" s="26">
        <f t="shared" si="0"/>
        <v>226050</v>
      </c>
    </row>
    <row r="7" spans="1:15" s="1" customFormat="1" ht="19.95" customHeight="1">
      <c r="A7" s="24">
        <v>5</v>
      </c>
      <c r="B7" s="61" t="s">
        <v>90</v>
      </c>
      <c r="C7" s="25">
        <v>5400</v>
      </c>
      <c r="D7" s="25">
        <v>22350</v>
      </c>
      <c r="E7" s="25">
        <v>14700</v>
      </c>
      <c r="F7" s="25">
        <v>10500</v>
      </c>
      <c r="G7" s="25">
        <v>14400</v>
      </c>
      <c r="H7" s="25">
        <v>8700</v>
      </c>
      <c r="I7" s="25"/>
      <c r="J7" s="25">
        <v>0</v>
      </c>
      <c r="K7" s="179"/>
      <c r="L7" s="25"/>
      <c r="M7" s="25"/>
      <c r="N7" s="25"/>
      <c r="O7" s="26">
        <f t="shared" si="0"/>
        <v>76050</v>
      </c>
    </row>
    <row r="8" spans="1:15" s="1" customFormat="1" ht="19.95" customHeight="1">
      <c r="A8" s="24">
        <v>6</v>
      </c>
      <c r="B8" s="61" t="s">
        <v>97</v>
      </c>
      <c r="C8" s="25">
        <v>5700</v>
      </c>
      <c r="D8" s="25">
        <v>22800</v>
      </c>
      <c r="E8" s="25">
        <v>3750</v>
      </c>
      <c r="F8" s="25">
        <v>4500</v>
      </c>
      <c r="G8" s="25">
        <v>6900</v>
      </c>
      <c r="H8" s="25">
        <v>7200</v>
      </c>
      <c r="I8" s="25">
        <v>22500</v>
      </c>
      <c r="J8" s="178">
        <v>24450</v>
      </c>
      <c r="K8" s="181">
        <v>3900</v>
      </c>
      <c r="L8" s="31">
        <v>3600</v>
      </c>
      <c r="M8" s="25"/>
      <c r="N8" s="25">
        <v>2400</v>
      </c>
      <c r="O8" s="26">
        <f t="shared" si="0"/>
        <v>107700</v>
      </c>
    </row>
    <row r="9" spans="1:15" s="1" customFormat="1" ht="19.95" customHeight="1">
      <c r="A9" s="24">
        <v>7</v>
      </c>
      <c r="B9" s="42" t="s">
        <v>126</v>
      </c>
      <c r="C9" s="25">
        <v>3900</v>
      </c>
      <c r="D9" s="25">
        <v>22650</v>
      </c>
      <c r="E9" s="25">
        <v>8700</v>
      </c>
      <c r="F9" s="25">
        <v>6600</v>
      </c>
      <c r="G9" s="25">
        <v>8700</v>
      </c>
      <c r="H9" s="25">
        <v>8100</v>
      </c>
      <c r="I9" s="25">
        <v>24750</v>
      </c>
      <c r="J9" s="25">
        <v>19200</v>
      </c>
      <c r="K9" s="25">
        <v>13500</v>
      </c>
      <c r="L9" s="25">
        <v>13200</v>
      </c>
      <c r="M9" s="25">
        <v>11700</v>
      </c>
      <c r="N9" s="25">
        <v>10800</v>
      </c>
      <c r="O9" s="26">
        <f>SUM(C9:N9)</f>
        <v>151800</v>
      </c>
    </row>
    <row r="10" spans="1:15" s="1" customFormat="1" ht="19.95" customHeight="1">
      <c r="A10" s="24">
        <v>8</v>
      </c>
      <c r="B10" s="61" t="s">
        <v>210</v>
      </c>
      <c r="C10" s="25"/>
      <c r="D10" s="25"/>
      <c r="E10" s="25">
        <v>7800</v>
      </c>
      <c r="F10" s="25">
        <v>6300</v>
      </c>
      <c r="G10" s="25">
        <v>10800</v>
      </c>
      <c r="H10" s="25">
        <v>13800</v>
      </c>
      <c r="I10" s="25">
        <v>21000</v>
      </c>
      <c r="J10" s="25">
        <v>30300</v>
      </c>
      <c r="K10" s="25">
        <v>14100</v>
      </c>
      <c r="L10" s="25">
        <v>11100</v>
      </c>
      <c r="M10" s="25">
        <v>12300</v>
      </c>
      <c r="N10" s="25">
        <v>16200</v>
      </c>
      <c r="O10" s="26">
        <f>SUM(C10:N10)</f>
        <v>143700</v>
      </c>
    </row>
    <row r="11" spans="1:15" s="1" customFormat="1" ht="19.95" customHeight="1">
      <c r="A11" s="24">
        <v>9</v>
      </c>
      <c r="B11" s="189" t="s">
        <v>310</v>
      </c>
      <c r="C11" s="31"/>
      <c r="D11" s="25"/>
      <c r="E11" s="25"/>
      <c r="F11" s="25"/>
      <c r="G11" s="25"/>
      <c r="H11" s="25"/>
      <c r="I11" s="25">
        <v>17250</v>
      </c>
      <c r="J11" s="25">
        <v>24550</v>
      </c>
      <c r="K11" s="25">
        <v>19200</v>
      </c>
      <c r="L11" s="25">
        <v>16200</v>
      </c>
      <c r="M11" s="25"/>
      <c r="N11" s="25">
        <v>900</v>
      </c>
      <c r="O11" s="26">
        <f t="shared" si="0"/>
        <v>78100</v>
      </c>
    </row>
    <row r="12" spans="1:15" s="1" customFormat="1" ht="19.95" customHeight="1">
      <c r="A12" s="24">
        <v>10</v>
      </c>
      <c r="B12" s="61"/>
      <c r="C12" s="25"/>
      <c r="D12" s="25"/>
      <c r="E12" s="25"/>
      <c r="F12" s="25"/>
      <c r="G12" s="25"/>
      <c r="H12" s="25"/>
      <c r="I12" s="25"/>
      <c r="J12" s="25"/>
      <c r="K12" s="179"/>
      <c r="L12" s="25"/>
      <c r="M12" s="25"/>
      <c r="N12" s="25"/>
      <c r="O12" s="26">
        <f t="shared" si="0"/>
        <v>0</v>
      </c>
    </row>
    <row r="13" spans="1:15" s="1" customFormat="1" ht="19.95" customHeight="1">
      <c r="A13" s="24">
        <v>11</v>
      </c>
      <c r="B13" s="61"/>
      <c r="C13" s="25"/>
      <c r="D13" s="25"/>
      <c r="E13" s="25"/>
      <c r="F13" s="25"/>
      <c r="G13" s="25"/>
      <c r="H13" s="25"/>
      <c r="I13" s="25"/>
      <c r="J13" s="178"/>
      <c r="K13" s="181"/>
      <c r="L13" s="31"/>
      <c r="M13" s="25"/>
      <c r="N13" s="25"/>
      <c r="O13" s="26">
        <f t="shared" si="0"/>
        <v>0</v>
      </c>
    </row>
    <row r="14" spans="1:15" s="1" customFormat="1" ht="19.95" customHeight="1">
      <c r="A14" s="24">
        <v>12</v>
      </c>
      <c r="B14" s="189"/>
      <c r="C14" s="190"/>
      <c r="D14" s="190"/>
      <c r="E14" s="190"/>
      <c r="F14" s="190"/>
      <c r="G14" s="190"/>
      <c r="H14" s="190"/>
      <c r="I14" s="190"/>
      <c r="J14" s="191"/>
      <c r="K14" s="192"/>
      <c r="L14" s="190"/>
      <c r="M14" s="190"/>
      <c r="N14" s="190"/>
      <c r="O14" s="26">
        <f t="shared" si="0"/>
        <v>0</v>
      </c>
    </row>
    <row r="15" spans="1:15" s="1" customFormat="1" ht="21" customHeight="1" thickBot="1">
      <c r="A15" s="24">
        <v>13</v>
      </c>
      <c r="B15" s="186"/>
      <c r="C15" s="187"/>
      <c r="D15" s="187"/>
      <c r="E15" s="187"/>
      <c r="F15" s="187"/>
      <c r="G15" s="187"/>
      <c r="H15" s="187"/>
      <c r="I15" s="187"/>
      <c r="J15" s="188"/>
      <c r="K15" s="180"/>
      <c r="L15" s="187"/>
      <c r="M15" s="187"/>
      <c r="N15" s="187"/>
      <c r="O15" s="26">
        <f t="shared" si="0"/>
        <v>0</v>
      </c>
    </row>
    <row r="16" spans="1:15" s="1" customFormat="1" ht="23.25" customHeight="1" thickTop="1" thickBot="1">
      <c r="A16" s="27"/>
      <c r="B16" s="182" t="s">
        <v>70</v>
      </c>
      <c r="C16" s="31">
        <v>25</v>
      </c>
      <c r="D16" s="28">
        <v>35</v>
      </c>
      <c r="E16" s="28">
        <v>30</v>
      </c>
      <c r="F16" s="28">
        <v>20</v>
      </c>
      <c r="G16" s="28">
        <v>35</v>
      </c>
      <c r="H16" s="28">
        <v>40</v>
      </c>
      <c r="I16" s="28">
        <v>40</v>
      </c>
      <c r="J16" s="28">
        <v>75</v>
      </c>
      <c r="K16" s="28">
        <v>75</v>
      </c>
      <c r="L16" s="28">
        <v>75</v>
      </c>
      <c r="M16" s="28">
        <v>45</v>
      </c>
      <c r="N16" s="28">
        <v>70</v>
      </c>
      <c r="O16" s="183">
        <f t="shared" si="0"/>
        <v>565</v>
      </c>
    </row>
    <row r="17" spans="1:15" s="1" customFormat="1" ht="28.5" customHeight="1" thickBot="1">
      <c r="A17" s="443" t="s">
        <v>63</v>
      </c>
      <c r="B17" s="444"/>
      <c r="C17" s="29">
        <f t="shared" ref="C17:O17" si="1">SUM(C3:C16)</f>
        <v>89987</v>
      </c>
      <c r="D17" s="29">
        <f t="shared" si="1"/>
        <v>225042</v>
      </c>
      <c r="E17" s="29">
        <f t="shared" si="1"/>
        <v>140280</v>
      </c>
      <c r="F17" s="29">
        <f>SUM(F3:F16)</f>
        <v>118420</v>
      </c>
      <c r="G17" s="29">
        <f t="shared" si="1"/>
        <v>138735</v>
      </c>
      <c r="H17" s="29">
        <f t="shared" si="1"/>
        <v>135640</v>
      </c>
      <c r="I17" s="29">
        <f t="shared" si="1"/>
        <v>216190</v>
      </c>
      <c r="J17" s="29">
        <f t="shared" si="1"/>
        <v>265125</v>
      </c>
      <c r="K17" s="29">
        <f t="shared" si="1"/>
        <v>162575</v>
      </c>
      <c r="L17" s="29">
        <f t="shared" si="1"/>
        <v>146175</v>
      </c>
      <c r="M17" s="29">
        <v>125645</v>
      </c>
      <c r="N17" s="29">
        <f t="shared" si="1"/>
        <v>131870</v>
      </c>
      <c r="O17" s="30">
        <f t="shared" si="1"/>
        <v>1895684</v>
      </c>
    </row>
  </sheetData>
  <mergeCells count="2">
    <mergeCell ref="A1:N1"/>
    <mergeCell ref="A17:B17"/>
  </mergeCells>
  <phoneticPr fontId="2" type="noConversion"/>
  <conditionalFormatting sqref="C3:O17">
    <cfRule type="cellIs" dxfId="0" priority="1" stopIfTrue="1" operator="lessThan">
      <formula>0</formula>
    </cfRule>
  </conditionalFormatting>
  <pageMargins left="0.75" right="0.75" top="1" bottom="1" header="0.5" footer="0.5"/>
  <pageSetup scale="88" orientation="landscape" r:id="rId1"/>
  <headerFooter>
    <oddFooter>&amp;C&amp;"Helvetica Neue,Regular"&amp;12&amp;K000000&amp;P&amp;R&amp;"Helvetica Neue,Regular"&amp;12&amp;K000000製表：方媽  2018年8月9日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112日記帳</vt:lpstr>
      <vt:lpstr>112收支表 </vt:lpstr>
      <vt:lpstr>比賽費用支出</vt:lpstr>
      <vt:lpstr>繳費名單</vt:lpstr>
      <vt:lpstr>教練薪資</vt:lpstr>
      <vt:lpstr>'112日記帳'!Print_Area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minmin kuo</cp:lastModifiedBy>
  <cp:lastPrinted>2023-10-03T02:59:11Z</cp:lastPrinted>
  <dcterms:created xsi:type="dcterms:W3CDTF">2020-01-02T12:17:06Z</dcterms:created>
  <dcterms:modified xsi:type="dcterms:W3CDTF">2025-10-03T16:07:27Z</dcterms:modified>
</cp:coreProperties>
</file>