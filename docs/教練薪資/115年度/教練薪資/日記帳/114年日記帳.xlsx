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冠勳媽112.08.12\日記帳\"/>
    </mc:Choice>
  </mc:AlternateContent>
  <xr:revisionPtr revIDLastSave="0" documentId="13_ncr:1_{642D4214-8185-421D-B421-13F8E274B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4日記帳" sheetId="1" r:id="rId1"/>
    <sheet name="114收支表 " sheetId="2" r:id="rId2"/>
    <sheet name="比賽費用支出" sheetId="3" r:id="rId3"/>
    <sheet name="繳費名單" sheetId="4" r:id="rId4"/>
    <sheet name="教練薪資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9" i="4" l="1"/>
  <c r="R130" i="4"/>
  <c r="O16" i="5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3" i="4"/>
  <c r="R82" i="4"/>
  <c r="R81" i="4"/>
  <c r="R80" i="4"/>
  <c r="R129" i="4"/>
  <c r="R99" i="4"/>
  <c r="R84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18" i="4"/>
  <c r="R54" i="4"/>
  <c r="Q160" i="4"/>
  <c r="P160" i="4"/>
  <c r="O160" i="4"/>
  <c r="N160" i="4"/>
  <c r="M160" i="4"/>
  <c r="L160" i="4"/>
  <c r="K160" i="4"/>
  <c r="J160" i="4"/>
  <c r="I160" i="4"/>
  <c r="H160" i="4"/>
  <c r="R125" i="4"/>
  <c r="R124" i="4"/>
  <c r="R123" i="4"/>
  <c r="R122" i="4"/>
  <c r="R121" i="4"/>
  <c r="R120" i="4"/>
  <c r="R118" i="4"/>
  <c r="R117" i="4"/>
  <c r="J18" i="5"/>
  <c r="G160" i="4"/>
  <c r="F160" i="4"/>
  <c r="D18" i="5"/>
  <c r="E18" i="5"/>
  <c r="F18" i="5"/>
  <c r="G18" i="5"/>
  <c r="H18" i="5"/>
  <c r="I18" i="5"/>
  <c r="K18" i="5"/>
  <c r="L18" i="5"/>
  <c r="M18" i="5"/>
  <c r="N18" i="5"/>
  <c r="R127" i="4"/>
  <c r="R43" i="4"/>
  <c r="R44" i="4"/>
  <c r="R45" i="4"/>
  <c r="R46" i="4"/>
  <c r="R47" i="4"/>
  <c r="R48" i="4"/>
  <c r="R49" i="4"/>
  <c r="R50" i="4"/>
  <c r="R51" i="4"/>
  <c r="R52" i="4"/>
  <c r="R53" i="4"/>
  <c r="R114" i="4"/>
  <c r="R115" i="4"/>
  <c r="R116" i="4"/>
  <c r="R33" i="4"/>
  <c r="R34" i="4"/>
  <c r="R37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5" i="4"/>
  <c r="R36" i="4"/>
  <c r="R38" i="4"/>
  <c r="R39" i="4"/>
  <c r="R40" i="4"/>
  <c r="R41" i="4"/>
  <c r="R42" i="4"/>
  <c r="R126" i="4"/>
  <c r="R128" i="4"/>
  <c r="R160" i="4"/>
  <c r="E160" i="4"/>
  <c r="O11" i="5"/>
  <c r="O9" i="5"/>
  <c r="O10" i="5"/>
  <c r="O12" i="5"/>
  <c r="O13" i="5"/>
  <c r="O14" i="5"/>
  <c r="O15" i="5"/>
  <c r="O8" i="5"/>
  <c r="O7" i="5"/>
  <c r="O6" i="5"/>
  <c r="O3" i="2"/>
  <c r="O4" i="2"/>
  <c r="O7" i="2"/>
  <c r="O4" i="5"/>
  <c r="O5" i="5"/>
  <c r="O17" i="5"/>
  <c r="O3" i="5"/>
  <c r="C18" i="5"/>
  <c r="O18" i="2"/>
  <c r="O9" i="2"/>
  <c r="O14" i="2"/>
  <c r="O6" i="2"/>
  <c r="O10" i="2"/>
  <c r="O15" i="2"/>
  <c r="O19" i="2"/>
  <c r="O16" i="2"/>
  <c r="O12" i="2"/>
  <c r="O17" i="2"/>
  <c r="O13" i="2"/>
  <c r="O11" i="2"/>
  <c r="O8" i="2"/>
  <c r="O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7" authorId="0" shapeId="0" xr:uid="{94A48FF9-FF96-40CF-8692-F481B3A1FABF}">
      <text>
        <r>
          <rPr>
            <sz val="9"/>
            <color indexed="81"/>
            <rFont val="Tahoma"/>
            <family val="2"/>
          </rPr>
          <t>7/30,31(</t>
        </r>
        <r>
          <rPr>
            <sz val="9"/>
            <color indexed="81"/>
            <rFont val="細明體"/>
            <family val="3"/>
            <charset val="136"/>
          </rPr>
          <t>上下午</t>
        </r>
        <r>
          <rPr>
            <sz val="9"/>
            <color indexed="81"/>
            <rFont val="Tahoma"/>
            <family val="2"/>
          </rPr>
          <t xml:space="preserve">)8/1
</t>
        </r>
      </text>
    </comment>
    <comment ref="E22" authorId="0" shapeId="0" xr:uid="{BAB9989C-F51A-4151-8A44-412340661406}">
      <text>
        <r>
          <rPr>
            <sz val="9"/>
            <color indexed="81"/>
            <rFont val="Tahoma"/>
            <family val="2"/>
          </rPr>
          <t xml:space="preserve">12/14,28
</t>
        </r>
      </text>
    </comment>
    <comment ref="M22" authorId="0" shapeId="0" xr:uid="{C32EB809-39F9-4BB3-9C04-917ACA511F91}">
      <text>
        <r>
          <rPr>
            <sz val="9"/>
            <color indexed="81"/>
            <rFont val="Tahoma"/>
            <family val="2"/>
          </rPr>
          <t>7/9,16,18(</t>
        </r>
        <r>
          <rPr>
            <sz val="9"/>
            <color indexed="81"/>
            <rFont val="細明體"/>
            <family val="3"/>
            <charset val="136"/>
          </rPr>
          <t>上下午</t>
        </r>
        <r>
          <rPr>
            <sz val="9"/>
            <color indexed="81"/>
            <rFont val="Tahoma"/>
            <family val="2"/>
          </rPr>
          <t xml:space="preserve">),23,28
</t>
        </r>
      </text>
    </comment>
    <comment ref="N22" authorId="0" shapeId="0" xr:uid="{015C5DAE-107A-49F9-A553-5A5D7D3D65FE}">
      <text>
        <r>
          <rPr>
            <sz val="9"/>
            <color indexed="81"/>
            <rFont val="Tahoma"/>
            <family val="2"/>
          </rPr>
          <t xml:space="preserve">8/4*2
</t>
        </r>
      </text>
    </comment>
    <comment ref="O22" authorId="0" shapeId="0" xr:uid="{606AF08E-28A0-4138-BB61-735FAC7BE078}">
      <text>
        <r>
          <rPr>
            <sz val="9"/>
            <color indexed="81"/>
            <rFont val="Tahoma"/>
            <family val="2"/>
          </rPr>
          <t xml:space="preserve">9/3,13,17,24
</t>
        </r>
      </text>
    </comment>
    <comment ref="Q22" authorId="0" shapeId="0" xr:uid="{4DC8904D-EC95-4765-AA22-36A580BE806A}">
      <text>
        <r>
          <rPr>
            <sz val="9"/>
            <color indexed="81"/>
            <rFont val="Tahoma"/>
            <family val="2"/>
          </rPr>
          <t xml:space="preserve">10/8,15,22,29
</t>
        </r>
      </text>
    </comment>
    <comment ref="F25" authorId="0" shapeId="0" xr:uid="{12BAAB18-9EDD-40BC-B2AE-8276A358D61A}">
      <text>
        <r>
          <rPr>
            <sz val="9"/>
            <color indexed="81"/>
            <rFont val="Tahoma"/>
            <family val="2"/>
          </rPr>
          <t>1/21,22,23,24,25
2/10</t>
        </r>
      </text>
    </comment>
    <comment ref="E33" authorId="0" shapeId="0" xr:uid="{C013CB59-9857-46BE-8360-31653EF4EAAE}">
      <text>
        <r>
          <rPr>
            <sz val="9"/>
            <color indexed="81"/>
            <rFont val="Tahoma"/>
            <family val="2"/>
          </rPr>
          <t xml:space="preserve">12/10,24
</t>
        </r>
      </text>
    </comment>
    <comment ref="H33" authorId="0" shapeId="0" xr:uid="{AF1B469A-4135-4DD9-AD3C-7756AA569A58}">
      <text>
        <r>
          <rPr>
            <sz val="9"/>
            <color indexed="81"/>
            <rFont val="Tahoma"/>
            <family val="2"/>
          </rPr>
          <t xml:space="preserve">2/11,25
</t>
        </r>
      </text>
    </comment>
    <comment ref="I33" authorId="0" shapeId="0" xr:uid="{843274D4-0EC0-436D-829B-41CE9DFBA100}">
      <text>
        <r>
          <rPr>
            <sz val="9"/>
            <color indexed="81"/>
            <rFont val="Tahoma"/>
            <family val="2"/>
          </rPr>
          <t xml:space="preserve">3/11
</t>
        </r>
      </text>
    </comment>
    <comment ref="J33" authorId="0" shapeId="0" xr:uid="{6524A45A-33BA-4C87-9EB6-5E0ECA2208BC}">
      <text>
        <r>
          <rPr>
            <sz val="9"/>
            <color indexed="81"/>
            <rFont val="Tahoma"/>
            <family val="2"/>
          </rPr>
          <t xml:space="preserve">4/29
</t>
        </r>
      </text>
    </comment>
    <comment ref="K33" authorId="0" shapeId="0" xr:uid="{47F0AE02-3653-4F75-AE66-C4A6AC2F2AD8}">
      <text>
        <r>
          <rPr>
            <sz val="9"/>
            <color indexed="81"/>
            <rFont val="Tahoma"/>
            <family val="2"/>
          </rPr>
          <t xml:space="preserve">5/27
</t>
        </r>
      </text>
    </comment>
    <comment ref="L33" authorId="0" shapeId="0" xr:uid="{735DF91B-4790-4DC0-8D10-3C0BA02E5E3A}">
      <text>
        <r>
          <rPr>
            <sz val="9"/>
            <color indexed="81"/>
            <rFont val="Tahoma"/>
            <family val="2"/>
          </rPr>
          <t xml:space="preserve">6/10,24
</t>
        </r>
      </text>
    </comment>
    <comment ref="O33" authorId="0" shapeId="0" xr:uid="{C9CE146D-1E24-44F5-BE59-D411D2B8D6FC}">
      <text>
        <r>
          <rPr>
            <sz val="9"/>
            <color indexed="81"/>
            <rFont val="Tahoma"/>
            <family val="2"/>
          </rPr>
          <t xml:space="preserve">9/9,12,16,23,30
</t>
        </r>
      </text>
    </comment>
    <comment ref="P33" authorId="0" shapeId="0" xr:uid="{4CE460D0-BDB0-46F8-B223-0999BD931B8E}">
      <text>
        <r>
          <rPr>
            <sz val="9"/>
            <color indexed="81"/>
            <rFont val="Tahoma"/>
            <family val="2"/>
          </rPr>
          <t xml:space="preserve">10/7,21,31
</t>
        </r>
      </text>
    </comment>
    <comment ref="Q33" authorId="0" shapeId="0" xr:uid="{BF29EDFF-DC1E-4F28-AF15-FA8D137BBA87}">
      <text>
        <r>
          <rPr>
            <sz val="9"/>
            <color indexed="81"/>
            <rFont val="Tahoma"/>
            <family val="2"/>
          </rPr>
          <t xml:space="preserve">11/5.14.18.28
</t>
        </r>
      </text>
    </comment>
    <comment ref="N37" authorId="0" shapeId="0" xr:uid="{496350AD-CBEA-4A7B-A0C1-49072EEEBFB9}">
      <text>
        <r>
          <rPr>
            <sz val="9"/>
            <color indexed="81"/>
            <rFont val="Tahoma"/>
            <family val="2"/>
          </rPr>
          <t xml:space="preserve">8/4*2,22,23
</t>
        </r>
      </text>
    </comment>
    <comment ref="O37" authorId="0" shapeId="0" xr:uid="{1F5F2F89-A768-4B5C-9887-5E052A404B3D}">
      <text>
        <r>
          <rPr>
            <sz val="9"/>
            <color indexed="81"/>
            <rFont val="Tahoma"/>
            <family val="2"/>
          </rPr>
          <t xml:space="preserve">9/17,24
</t>
        </r>
      </text>
    </comment>
    <comment ref="Q37" authorId="0" shapeId="0" xr:uid="{413FB03D-3845-4C29-A4D5-6E685356F141}">
      <text>
        <r>
          <rPr>
            <sz val="9"/>
            <color indexed="81"/>
            <rFont val="Tahoma"/>
            <family val="2"/>
          </rPr>
          <t>10/8,13,14,15,16,22,29
11/5.19.22.26</t>
        </r>
      </text>
    </comment>
    <comment ref="G41" authorId="0" shapeId="0" xr:uid="{6059574C-8A30-4DEB-88E7-E3BB5BA56E47}">
      <text>
        <r>
          <rPr>
            <sz val="9"/>
            <color indexed="81"/>
            <rFont val="Tahoma"/>
            <family val="2"/>
          </rPr>
          <t>1/21,24
2/3,6,7,8,10</t>
        </r>
      </text>
    </comment>
    <comment ref="F42" authorId="0" shapeId="0" xr:uid="{B7252258-9BE6-4EB2-BDCC-660AE5A67E3C}">
      <text>
        <r>
          <rPr>
            <sz val="9"/>
            <color indexed="81"/>
            <rFont val="Tahoma"/>
            <family val="2"/>
          </rPr>
          <t>1/21,22,23,24
2/10</t>
        </r>
      </text>
    </comment>
    <comment ref="H48" authorId="0" shapeId="0" xr:uid="{B906E26C-CCA1-4681-9A7C-4EA0EB6EF4E8}">
      <text>
        <r>
          <rPr>
            <sz val="9"/>
            <color indexed="81"/>
            <rFont val="Tahoma"/>
            <family val="2"/>
          </rPr>
          <t xml:space="preserve">2/14
</t>
        </r>
      </text>
    </comment>
    <comment ref="I48" authorId="0" shapeId="0" xr:uid="{34EEE476-9C26-4468-96A9-958D8DCA7189}">
      <text>
        <r>
          <rPr>
            <sz val="9"/>
            <color indexed="81"/>
            <rFont val="Tahoma"/>
            <family val="2"/>
          </rPr>
          <t xml:space="preserve">3/14,19,21,28
</t>
        </r>
      </text>
    </comment>
    <comment ref="J48" authorId="0" shapeId="0" xr:uid="{D52BE6B0-8232-4409-B106-1AF3F1EEB5B3}">
      <text>
        <r>
          <rPr>
            <sz val="9"/>
            <color indexed="81"/>
            <rFont val="Tahoma"/>
            <family val="2"/>
          </rPr>
          <t xml:space="preserve">4/11,18,25
</t>
        </r>
      </text>
    </comment>
    <comment ref="K48" authorId="0" shapeId="0" xr:uid="{88FBE60E-8C8A-42F3-A7BD-A862161EEB5D}">
      <text>
        <r>
          <rPr>
            <sz val="9"/>
            <color indexed="81"/>
            <rFont val="Tahoma"/>
            <family val="2"/>
          </rPr>
          <t xml:space="preserve">5/2
</t>
        </r>
      </text>
    </comment>
    <comment ref="L48" authorId="0" shapeId="0" xr:uid="{A0F4E51F-77EB-47E4-AF06-741AC585F7CB}">
      <text>
        <r>
          <rPr>
            <sz val="9"/>
            <color indexed="81"/>
            <rFont val="Tahoma"/>
            <family val="2"/>
          </rPr>
          <t xml:space="preserve">6/6,10,11
</t>
        </r>
      </text>
    </comment>
    <comment ref="M48" authorId="0" shapeId="0" xr:uid="{B3A4EA00-C9DB-4CCD-8BDF-414C7E9010A2}">
      <text>
        <r>
          <rPr>
            <sz val="9"/>
            <color indexed="81"/>
            <rFont val="Tahoma"/>
            <family val="2"/>
          </rPr>
          <t>7/30(</t>
        </r>
        <r>
          <rPr>
            <sz val="9"/>
            <color indexed="81"/>
            <rFont val="細明體"/>
            <family val="3"/>
            <charset val="136"/>
          </rPr>
          <t>上下午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P48" authorId="0" shapeId="0" xr:uid="{1A72606C-D49A-4D1C-A737-E62B8BEA0BA8}">
      <text>
        <r>
          <rPr>
            <sz val="9"/>
            <color indexed="81"/>
            <rFont val="Tahoma"/>
            <family val="2"/>
          </rPr>
          <t xml:space="preserve">9/26,27
</t>
        </r>
      </text>
    </comment>
    <comment ref="E49" authorId="0" shapeId="0" xr:uid="{3C25AE05-F263-4ADA-895D-4D2AC2219DF3}">
      <text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B351BB8-CCEA-4A83-9B43-2266ABFF9223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月分月費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7" authorId="0" shapeId="0" xr:uid="{84C40455-DF5A-44F1-AFAF-49E1F44DB278}">
      <text>
        <r>
          <rPr>
            <sz val="9"/>
            <color indexed="81"/>
            <rFont val="Tahoma"/>
            <family val="2"/>
          </rPr>
          <t xml:space="preserve">1/2,3
</t>
        </r>
      </text>
    </comment>
    <comment ref="G66" authorId="0" shapeId="0" xr:uid="{F061EBE1-4880-4FA2-8883-ABBC5EBD4005}">
      <text>
        <r>
          <rPr>
            <sz val="9"/>
            <color indexed="81"/>
            <rFont val="Tahoma"/>
            <family val="2"/>
          </rPr>
          <t xml:space="preserve">1/21,22,23,24
</t>
        </r>
      </text>
    </comment>
    <comment ref="H66" authorId="0" shapeId="0" xr:uid="{8EF9740A-7EEE-4FC3-82E2-75E8A935DC41}">
      <text>
        <r>
          <rPr>
            <sz val="9"/>
            <color indexed="81"/>
            <rFont val="Tahoma"/>
            <family val="2"/>
          </rPr>
          <t>3/7(2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G67" authorId="0" shapeId="0" xr:uid="{70882149-24B1-4312-A026-56C9189E9B21}">
      <text>
        <r>
          <rPr>
            <sz val="9"/>
            <color indexed="81"/>
            <rFont val="Tahoma"/>
            <family val="2"/>
          </rPr>
          <t xml:space="preserve">1/21,22,23
</t>
        </r>
      </text>
    </comment>
    <comment ref="G68" authorId="0" shapeId="0" xr:uid="{C9F1E7D1-95CD-4FF1-96CA-8D719C789ED5}">
      <text>
        <r>
          <rPr>
            <b/>
            <sz val="9"/>
            <color indexed="81"/>
            <rFont val="Tahoma"/>
            <family val="2"/>
          </rPr>
          <t>12/21,24,28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8" authorId="0" shapeId="0" xr:uid="{C66AC959-CDF4-4D35-BD29-5C27C2A10679}">
      <text>
        <r>
          <rPr>
            <sz val="9"/>
            <color indexed="81"/>
            <rFont val="Tahoma"/>
            <family val="2"/>
          </rPr>
          <t xml:space="preserve">7/26
</t>
        </r>
      </text>
    </comment>
    <comment ref="O68" authorId="0" shapeId="0" xr:uid="{3D04B85B-3D81-42C2-8FDA-31D2FFC52091}">
      <text>
        <r>
          <rPr>
            <sz val="9"/>
            <color indexed="81"/>
            <rFont val="Tahoma"/>
            <family val="2"/>
          </rPr>
          <t xml:space="preserve">9/6,9,16,20,23,30
</t>
        </r>
      </text>
    </comment>
    <comment ref="P68" authorId="0" shapeId="0" xr:uid="{B38B7278-1BA8-46B1-ADCB-66414C787DF5}">
      <text>
        <r>
          <rPr>
            <sz val="9"/>
            <color indexed="81"/>
            <rFont val="Tahoma"/>
            <family val="2"/>
          </rPr>
          <t xml:space="preserve">10/4,7,14,18,21,28
</t>
        </r>
      </text>
    </comment>
    <comment ref="Q68" authorId="0" shapeId="0" xr:uid="{DBD23692-72F9-4AE8-B0F2-65629E98F430}">
      <text>
        <r>
          <rPr>
            <sz val="9"/>
            <color indexed="81"/>
            <rFont val="Tahoma"/>
            <family val="2"/>
          </rPr>
          <t xml:space="preserve">11/8.18,22.25.29
</t>
        </r>
      </text>
    </comment>
    <comment ref="E69" authorId="0" shapeId="0" xr:uid="{84FD6B84-CDC9-44D5-83C0-0860766F6826}">
      <text>
        <r>
          <rPr>
            <sz val="9"/>
            <color indexed="81"/>
            <rFont val="Tahoma"/>
            <family val="2"/>
          </rPr>
          <t>11/9,16
12/14,21,28</t>
        </r>
      </text>
    </comment>
    <comment ref="H69" authorId="0" shapeId="0" xr:uid="{A11A36DB-F09B-46EB-9A89-F83670A35DA2}">
      <text>
        <r>
          <rPr>
            <sz val="9"/>
            <color indexed="81"/>
            <rFont val="Tahoma"/>
            <family val="2"/>
          </rPr>
          <t xml:space="preserve">2/22
</t>
        </r>
      </text>
    </comment>
    <comment ref="I69" authorId="0" shapeId="0" xr:uid="{7DFEA806-506C-4054-B5AE-CCC0222E04AE}">
      <text>
        <r>
          <rPr>
            <sz val="9"/>
            <color indexed="81"/>
            <rFont val="Tahoma"/>
            <family val="2"/>
          </rPr>
          <t xml:space="preserve">3/8,15,29
</t>
        </r>
      </text>
    </comment>
    <comment ref="J69" authorId="0" shapeId="0" xr:uid="{6E62962E-A18B-498A-9F3E-0F630B4B460E}">
      <text>
        <r>
          <rPr>
            <sz val="9"/>
            <color indexed="81"/>
            <rFont val="Tahoma"/>
            <family val="2"/>
          </rPr>
          <t xml:space="preserve">4/5,12,19,26
</t>
        </r>
      </text>
    </comment>
    <comment ref="K69" authorId="0" shapeId="0" xr:uid="{D202924C-BE19-4DB6-9B32-F52F474DE970}">
      <text>
        <r>
          <rPr>
            <sz val="9"/>
            <color indexed="81"/>
            <rFont val="Tahoma"/>
            <family val="2"/>
          </rPr>
          <t xml:space="preserve">5/3,10,17
</t>
        </r>
      </text>
    </comment>
    <comment ref="L69" authorId="0" shapeId="0" xr:uid="{0E39040E-C053-4DD8-9060-74A6DE940410}">
      <text>
        <r>
          <rPr>
            <sz val="9"/>
            <color indexed="81"/>
            <rFont val="Tahoma"/>
            <family val="2"/>
          </rPr>
          <t xml:space="preserve">6/7,14,21,28
</t>
        </r>
      </text>
    </comment>
    <comment ref="M69" authorId="0" shapeId="0" xr:uid="{E29234D7-C5DD-42AF-A3B8-B75BC08F2DFC}">
      <text>
        <r>
          <rPr>
            <sz val="9"/>
            <color indexed="81"/>
            <rFont val="Tahoma"/>
            <family val="2"/>
          </rPr>
          <t>7/12,19,26,29(</t>
        </r>
        <r>
          <rPr>
            <sz val="9"/>
            <color indexed="81"/>
            <rFont val="細明體"/>
            <family val="3"/>
            <charset val="136"/>
          </rPr>
          <t>上下午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O69" authorId="0" shapeId="0" xr:uid="{74F4EF6F-B6E2-4B33-B87F-EE8AD651EC5F}">
      <text>
        <r>
          <rPr>
            <sz val="9"/>
            <color indexed="81"/>
            <rFont val="Tahoma"/>
            <family val="2"/>
          </rPr>
          <t xml:space="preserve">9/6,13,20
</t>
        </r>
      </text>
    </comment>
    <comment ref="P69" authorId="0" shapeId="0" xr:uid="{44D5D5FF-BB70-4435-8F37-EA5FAD0A8DD2}">
      <text>
        <r>
          <rPr>
            <b/>
            <sz val="9"/>
            <color indexed="81"/>
            <rFont val="Tahoma"/>
            <family val="2"/>
          </rPr>
          <t>10/4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9" authorId="0" shapeId="0" xr:uid="{AE1E9224-AD0C-47D8-BA9B-63E1CDC89850}">
      <text>
        <r>
          <rPr>
            <sz val="9"/>
            <color indexed="81"/>
            <rFont val="Tahoma"/>
            <family val="2"/>
          </rPr>
          <t xml:space="preserve">11/1,8
</t>
        </r>
      </text>
    </comment>
    <comment ref="E113" authorId="0" shapeId="0" xr:uid="{1E5917F6-5D04-43F4-8FBC-A4BD23CF9525}">
      <text>
        <r>
          <rPr>
            <sz val="9"/>
            <color indexed="81"/>
            <rFont val="Tahoma"/>
            <family val="2"/>
          </rPr>
          <t xml:space="preserve">12/5,12
</t>
        </r>
      </text>
    </comment>
    <comment ref="G113" authorId="0" shapeId="0" xr:uid="{AFBA39C4-CB36-4FCC-AC51-336248F682D1}">
      <text>
        <r>
          <rPr>
            <sz val="9"/>
            <color indexed="81"/>
            <rFont val="Tahoma"/>
            <family val="2"/>
          </rPr>
          <t xml:space="preserve">1/9,16,21,24
</t>
        </r>
      </text>
    </comment>
    <comment ref="J113" authorId="0" shapeId="0" xr:uid="{6C098163-42DC-44F4-8F14-F61C9249633F}">
      <text>
        <r>
          <rPr>
            <sz val="9"/>
            <color indexed="81"/>
            <rFont val="Tahoma"/>
            <family val="2"/>
          </rPr>
          <t xml:space="preserve">4/22,29
</t>
        </r>
      </text>
    </comment>
    <comment ref="K113" authorId="0" shapeId="0" xr:uid="{32E033D3-CED7-42D1-A678-E2F5BC3A19E6}">
      <text>
        <r>
          <rPr>
            <sz val="9"/>
            <color indexed="81"/>
            <rFont val="Tahoma"/>
            <family val="2"/>
          </rPr>
          <t xml:space="preserve">5/6,9
</t>
        </r>
      </text>
    </comment>
    <comment ref="M113" authorId="0" shapeId="0" xr:uid="{B7CA0E10-44FF-45EB-90FE-DBA99EBB839E}">
      <text>
        <r>
          <rPr>
            <sz val="9"/>
            <color indexed="81"/>
            <rFont val="Tahoma"/>
            <family val="2"/>
          </rPr>
          <t xml:space="preserve">7/21,2324,25,28,30,31
</t>
        </r>
      </text>
    </comment>
    <comment ref="E114" authorId="0" shapeId="0" xr:uid="{2016C465-230A-484C-83AE-1D3CE165D68B}">
      <text>
        <r>
          <rPr>
            <sz val="9"/>
            <color indexed="81"/>
            <rFont val="Tahoma"/>
            <family val="2"/>
          </rPr>
          <t xml:space="preserve">11/9,16,23
</t>
        </r>
      </text>
    </comment>
    <comment ref="H114" authorId="0" shapeId="0" xr:uid="{15B9931C-389E-441B-A824-805F49AB4AB2}">
      <text>
        <r>
          <rPr>
            <sz val="9"/>
            <color indexed="81"/>
            <rFont val="Tahoma"/>
            <family val="2"/>
          </rPr>
          <t xml:space="preserve">2/15,22
</t>
        </r>
      </text>
    </comment>
    <comment ref="I114" authorId="0" shapeId="0" xr:uid="{D934D8D1-7AFC-40B6-8D24-C1EF88D5CE1F}">
      <text>
        <r>
          <rPr>
            <sz val="9"/>
            <color indexed="81"/>
            <rFont val="Tahoma"/>
            <family val="2"/>
          </rPr>
          <t xml:space="preserve">3/8,15,22,29
</t>
        </r>
      </text>
    </comment>
    <comment ref="K114" authorId="0" shapeId="0" xr:uid="{1D0F355A-8D35-4FBD-8CCD-B9ED9CDC8267}">
      <text>
        <r>
          <rPr>
            <sz val="9"/>
            <color indexed="81"/>
            <rFont val="Tahoma"/>
            <family val="2"/>
          </rPr>
          <t xml:space="preserve">4/19,26
</t>
        </r>
      </text>
    </comment>
    <comment ref="P114" authorId="0" shapeId="0" xr:uid="{4D3CB35A-8B11-4B54-8B63-A241E84458D4}">
      <text>
        <r>
          <rPr>
            <sz val="9"/>
            <color indexed="81"/>
            <rFont val="Tahoma"/>
            <family val="2"/>
          </rPr>
          <t xml:space="preserve">9/6,13,20,27
</t>
        </r>
      </text>
    </comment>
    <comment ref="E115" authorId="0" shapeId="0" xr:uid="{BD8BC345-D896-45D3-8638-E811FE712DA9}">
      <text>
        <r>
          <rPr>
            <sz val="9"/>
            <color indexed="81"/>
            <rFont val="Tahoma"/>
            <family val="2"/>
          </rPr>
          <t xml:space="preserve">12/28
</t>
        </r>
      </text>
    </comment>
    <comment ref="H115" authorId="0" shapeId="0" xr:uid="{B834CF0D-0823-4619-BCEB-39487D34FCED}">
      <text>
        <r>
          <rPr>
            <sz val="9"/>
            <color indexed="81"/>
            <rFont val="Tahoma"/>
            <family val="2"/>
          </rPr>
          <t xml:space="preserve">1/18
</t>
        </r>
      </text>
    </comment>
    <comment ref="M115" authorId="0" shapeId="0" xr:uid="{395AE4B1-FD0C-4B5D-A55C-07044F8B1BF5}">
      <text>
        <r>
          <rPr>
            <sz val="9"/>
            <color indexed="81"/>
            <rFont val="Tahoma"/>
            <family val="2"/>
          </rPr>
          <t xml:space="preserve">7/12,19,26
</t>
        </r>
      </text>
    </comment>
    <comment ref="E116" authorId="0" shapeId="0" xr:uid="{B73618C8-68CB-4068-A7B0-63AAE9D4A44A}">
      <text>
        <r>
          <rPr>
            <sz val="9"/>
            <color indexed="81"/>
            <rFont val="Tahoma"/>
            <family val="2"/>
          </rPr>
          <t>10/5,12,19,26
11/2,9</t>
        </r>
      </text>
    </comment>
    <comment ref="G116" authorId="0" shapeId="0" xr:uid="{EBC5F482-DD95-48FB-85F5-FB057120AC6C}">
      <text>
        <r>
          <rPr>
            <sz val="9"/>
            <color indexed="81"/>
            <rFont val="Tahoma"/>
            <family val="2"/>
          </rPr>
          <t xml:space="preserve">1/4,11,18
</t>
        </r>
      </text>
    </comment>
    <comment ref="H116" authorId="0" shapeId="0" xr:uid="{6C6CBDF0-AE41-4A03-B7BB-462BA4C97359}">
      <text>
        <r>
          <rPr>
            <sz val="9"/>
            <color indexed="81"/>
            <rFont val="Tahoma"/>
            <family val="2"/>
          </rPr>
          <t xml:space="preserve">2/15,22
</t>
        </r>
      </text>
    </comment>
    <comment ref="I116" authorId="0" shapeId="0" xr:uid="{BCE88B33-39AE-453F-915C-14743E737255}">
      <text>
        <r>
          <rPr>
            <sz val="9"/>
            <color indexed="81"/>
            <rFont val="Tahoma"/>
            <family val="2"/>
          </rPr>
          <t xml:space="preserve">3/8,15,22
</t>
        </r>
      </text>
    </comment>
    <comment ref="K116" authorId="0" shapeId="0" xr:uid="{490B6BE9-A097-43C0-99D7-36FD6B099130}">
      <text>
        <r>
          <rPr>
            <sz val="9"/>
            <color indexed="81"/>
            <rFont val="Tahoma"/>
            <family val="2"/>
          </rPr>
          <t xml:space="preserve">4/12,19,26
</t>
        </r>
      </text>
    </comment>
    <comment ref="L116" authorId="0" shapeId="0" xr:uid="{5FE77ED9-457B-4FFA-946C-A064262E74B2}">
      <text>
        <r>
          <rPr>
            <sz val="9"/>
            <color indexed="81"/>
            <rFont val="Tahoma"/>
            <family val="2"/>
          </rPr>
          <t xml:space="preserve">5/3,10 
6/7,14,21,28
</t>
        </r>
      </text>
    </comment>
    <comment ref="M116" authorId="0" shapeId="0" xr:uid="{9CDF0663-58F2-400C-BE4A-49C76953694A}">
      <text>
        <r>
          <rPr>
            <sz val="9"/>
            <color indexed="81"/>
            <rFont val="Tahoma"/>
            <family val="2"/>
          </rPr>
          <t xml:space="preserve">7/12,19
</t>
        </r>
      </text>
    </comment>
    <comment ref="N116" authorId="0" shapeId="0" xr:uid="{7F777E3C-411C-4A0D-8285-A1CACEA4A774}">
      <text>
        <r>
          <rPr>
            <sz val="9"/>
            <color indexed="81"/>
            <rFont val="Tahoma"/>
            <family val="2"/>
          </rPr>
          <t xml:space="preserve">8/2,16,30
</t>
        </r>
      </text>
    </comment>
    <comment ref="O116" authorId="0" shapeId="0" xr:uid="{352E5468-F825-43A5-93DA-4BAF84E37E42}">
      <text>
        <r>
          <rPr>
            <sz val="9"/>
            <color indexed="81"/>
            <rFont val="Tahoma"/>
            <family val="2"/>
          </rPr>
          <t xml:space="preserve">9/6,20
</t>
        </r>
      </text>
    </comment>
    <comment ref="Q116" authorId="0" shapeId="0" xr:uid="{A566DE5D-6B71-46A3-A8AF-23E6B085C378}">
      <text>
        <r>
          <rPr>
            <sz val="9"/>
            <color indexed="81"/>
            <rFont val="Tahoma"/>
            <family val="2"/>
          </rPr>
          <t xml:space="preserve">10/4.18
</t>
        </r>
      </text>
    </comment>
    <comment ref="E117" authorId="0" shapeId="0" xr:uid="{130E2445-0C0A-4EE6-B1F1-475344AD4364}">
      <text>
        <r>
          <rPr>
            <sz val="9"/>
            <color indexed="81"/>
            <rFont val="Tahoma"/>
            <family val="2"/>
          </rPr>
          <t xml:space="preserve">12/14,21,28
</t>
        </r>
      </text>
    </comment>
    <comment ref="F117" authorId="0" shapeId="0" xr:uid="{65A4218D-3D7A-4DBA-B0CA-A0FABE34CD33}">
      <text>
        <r>
          <rPr>
            <sz val="9"/>
            <color indexed="81"/>
            <rFont val="Tahoma"/>
            <family val="2"/>
          </rPr>
          <t xml:space="preserve">1/4,18,22,24
</t>
        </r>
      </text>
    </comment>
    <comment ref="H117" authorId="0" shapeId="0" xr:uid="{AF009F52-3462-4AEA-A837-9D93F1318902}">
      <text>
        <r>
          <rPr>
            <sz val="9"/>
            <color indexed="81"/>
            <rFont val="Tahoma"/>
            <family val="2"/>
          </rPr>
          <t xml:space="preserve">2/5,7,10,19
</t>
        </r>
      </text>
    </comment>
    <comment ref="I117" authorId="0" shapeId="0" xr:uid="{C241CBF1-B596-4BF8-9F91-9CD89CC4183F}">
      <text>
        <r>
          <rPr>
            <sz val="9"/>
            <color indexed="81"/>
            <rFont val="Tahoma"/>
            <family val="2"/>
          </rPr>
          <t xml:space="preserve">3/15,22,29
</t>
        </r>
      </text>
    </comment>
    <comment ref="J117" authorId="0" shapeId="0" xr:uid="{A11EB41F-83C4-4DFF-AF8F-133EB9A0BA67}">
      <text>
        <r>
          <rPr>
            <sz val="9"/>
            <color indexed="81"/>
            <rFont val="Tahoma"/>
            <family val="2"/>
          </rPr>
          <t xml:space="preserve">4/5,12,19,26
</t>
        </r>
      </text>
    </comment>
    <comment ref="K117" authorId="0" shapeId="0" xr:uid="{D1A3A9AC-8825-4BBE-BBB9-0D18C33FC688}">
      <text>
        <r>
          <rPr>
            <sz val="9"/>
            <color indexed="81"/>
            <rFont val="Tahoma"/>
            <family val="2"/>
          </rPr>
          <t xml:space="preserve">5/10
</t>
        </r>
      </text>
    </comment>
    <comment ref="L117" authorId="0" shapeId="0" xr:uid="{BC7B1C82-8DDA-4619-B9F5-605A341DB8CB}">
      <text>
        <r>
          <rPr>
            <sz val="9"/>
            <color indexed="81"/>
            <rFont val="Tahoma"/>
            <family val="2"/>
          </rPr>
          <t xml:space="preserve">6/7,21,28
</t>
        </r>
      </text>
    </comment>
    <comment ref="E118" authorId="0" shapeId="0" xr:uid="{F76AE3DF-4321-4250-8E40-FB1A57C00960}">
      <text>
        <r>
          <rPr>
            <sz val="9"/>
            <color indexed="81"/>
            <rFont val="Tahoma"/>
            <family val="2"/>
          </rPr>
          <t xml:space="preserve">12/14,21,28
</t>
        </r>
      </text>
    </comment>
    <comment ref="F118" authorId="0" shapeId="0" xr:uid="{1D8381B6-13BC-4BCA-A8F6-B64ACD5F6023}">
      <text>
        <r>
          <rPr>
            <sz val="9"/>
            <color indexed="81"/>
            <rFont val="Tahoma"/>
            <family val="2"/>
          </rPr>
          <t xml:space="preserve">1/4,18,22,24
</t>
        </r>
      </text>
    </comment>
    <comment ref="H118" authorId="0" shapeId="0" xr:uid="{748AB539-9836-498F-B8CB-8ACF5A1E39FE}">
      <text>
        <r>
          <rPr>
            <sz val="9"/>
            <color indexed="81"/>
            <rFont val="Tahoma"/>
            <family val="2"/>
          </rPr>
          <t xml:space="preserve">2/5,7,10,19
</t>
        </r>
      </text>
    </comment>
    <comment ref="I118" authorId="0" shapeId="0" xr:uid="{580B20FF-3BB3-4BBD-9298-250B642654A5}">
      <text>
        <r>
          <rPr>
            <sz val="9"/>
            <color indexed="81"/>
            <rFont val="Tahoma"/>
            <family val="2"/>
          </rPr>
          <t xml:space="preserve">3/15,22,29
</t>
        </r>
      </text>
    </comment>
    <comment ref="J118" authorId="0" shapeId="0" xr:uid="{6B7D3D90-3F44-42E7-BD45-58E105F1B610}">
      <text>
        <r>
          <rPr>
            <sz val="9"/>
            <color indexed="81"/>
            <rFont val="Tahoma"/>
            <family val="2"/>
          </rPr>
          <t xml:space="preserve">4/5,12,19,26
</t>
        </r>
      </text>
    </comment>
    <comment ref="K118" authorId="0" shapeId="0" xr:uid="{86815139-6473-41FD-8A3E-F8DE13ED3B12}">
      <text>
        <r>
          <rPr>
            <sz val="9"/>
            <color indexed="81"/>
            <rFont val="Tahoma"/>
            <family val="2"/>
          </rPr>
          <t xml:space="preserve">5/17
</t>
        </r>
      </text>
    </comment>
    <comment ref="L118" authorId="0" shapeId="0" xr:uid="{160FE8F2-3251-462D-9615-2CCBF9D2FA2A}">
      <text>
        <r>
          <rPr>
            <sz val="9"/>
            <color indexed="81"/>
            <rFont val="Tahoma"/>
            <family val="2"/>
          </rPr>
          <t xml:space="preserve">6/7,21,28
</t>
        </r>
      </text>
    </comment>
    <comment ref="H120" authorId="0" shapeId="0" xr:uid="{C20E68B6-C95D-45BA-93F9-38E5E93F2AD1}">
      <text>
        <r>
          <rPr>
            <sz val="9"/>
            <color indexed="81"/>
            <rFont val="Tahoma"/>
            <family val="2"/>
          </rPr>
          <t xml:space="preserve">11/9
</t>
        </r>
      </text>
    </comment>
    <comment ref="J120" authorId="0" shapeId="0" xr:uid="{9CF94529-9A5F-4C3E-A127-776D9B3E9428}">
      <text>
        <r>
          <rPr>
            <sz val="9"/>
            <color indexed="81"/>
            <rFont val="Tahoma"/>
            <family val="2"/>
          </rPr>
          <t>2/22
3/15,29</t>
        </r>
      </text>
    </comment>
    <comment ref="L120" authorId="0" shapeId="0" xr:uid="{34235559-E933-4DD6-8DA0-71A3381BCB54}">
      <text>
        <r>
          <rPr>
            <sz val="9"/>
            <color indexed="81"/>
            <rFont val="Tahoma"/>
            <family val="2"/>
          </rPr>
          <t xml:space="preserve">5/17
</t>
        </r>
      </text>
    </comment>
    <comment ref="Q120" authorId="0" shapeId="0" xr:uid="{97D1AD86-0538-4EE6-8FEA-BEE4FF19BA36}">
      <text>
        <r>
          <rPr>
            <sz val="9"/>
            <color indexed="81"/>
            <rFont val="Tahoma"/>
            <family val="2"/>
          </rPr>
          <t>9/13.27
8</t>
        </r>
        <r>
          <rPr>
            <sz val="9"/>
            <color indexed="81"/>
            <rFont val="細明體"/>
            <family val="3"/>
            <charset val="136"/>
          </rPr>
          <t>月暑訓</t>
        </r>
        <r>
          <rPr>
            <sz val="9"/>
            <color indexed="81"/>
            <rFont val="Tahoma"/>
            <family val="2"/>
          </rPr>
          <t>3600</t>
        </r>
        <r>
          <rPr>
            <sz val="9"/>
            <color indexed="81"/>
            <rFont val="細明體"/>
            <family val="3"/>
            <charset val="136"/>
          </rPr>
          <t>啽</t>
        </r>
      </text>
    </comment>
    <comment ref="E121" authorId="0" shapeId="0" xr:uid="{96C331AF-FC8F-4999-829A-58B1C517B2BA}">
      <text>
        <r>
          <rPr>
            <sz val="9"/>
            <color indexed="81"/>
            <rFont val="Tahoma"/>
            <family val="2"/>
          </rPr>
          <t>11/2,16,23
12/14,28</t>
        </r>
      </text>
    </comment>
    <comment ref="H121" authorId="0" shapeId="0" xr:uid="{E3BE3D14-3980-4244-9E1F-79D4D533EF7C}">
      <text>
        <r>
          <rPr>
            <sz val="9"/>
            <color indexed="81"/>
            <rFont val="Tahoma"/>
            <family val="2"/>
          </rPr>
          <t xml:space="preserve">1/4,11,18
</t>
        </r>
      </text>
    </comment>
    <comment ref="J121" authorId="0" shapeId="0" xr:uid="{21976431-4E04-4206-A7AA-BE4620051097}">
      <text>
        <r>
          <rPr>
            <sz val="9"/>
            <color indexed="81"/>
            <rFont val="Tahoma"/>
            <family val="2"/>
          </rPr>
          <t>2/22
3/8,15,22</t>
        </r>
      </text>
    </comment>
    <comment ref="K121" authorId="0" shapeId="0" xr:uid="{CD54FDCB-CB33-452A-BED8-2FB52D418AD8}">
      <text>
        <r>
          <rPr>
            <sz val="9"/>
            <color indexed="81"/>
            <rFont val="Tahoma"/>
            <family val="2"/>
          </rPr>
          <t xml:space="preserve">4/5,26 
5/3,17
</t>
        </r>
      </text>
    </comment>
    <comment ref="M121" authorId="0" shapeId="0" xr:uid="{270CE35D-F877-4AB1-9DE0-9F41DAA02448}">
      <text>
        <r>
          <rPr>
            <sz val="9"/>
            <color indexed="81"/>
            <rFont val="Tahoma"/>
            <family val="2"/>
          </rPr>
          <t xml:space="preserve">6/7,8/30
</t>
        </r>
      </text>
    </comment>
    <comment ref="O121" authorId="0" shapeId="0" xr:uid="{2723F311-C980-4F95-935A-E5A60CF43DD0}">
      <text>
        <r>
          <rPr>
            <sz val="9"/>
            <color indexed="81"/>
            <rFont val="Tahoma"/>
            <family val="2"/>
          </rPr>
          <t xml:space="preserve">9/6,13,20,27
</t>
        </r>
      </text>
    </comment>
    <comment ref="F122" authorId="0" shapeId="0" xr:uid="{6EC0EE7D-6CF4-4087-9705-BC0C0CB9C6B6}">
      <text>
        <r>
          <rPr>
            <sz val="9"/>
            <color indexed="81"/>
            <rFont val="Tahoma"/>
            <family val="2"/>
          </rPr>
          <t xml:space="preserve">12/14.21.28
</t>
        </r>
      </text>
    </comment>
    <comment ref="H122" authorId="0" shapeId="0" xr:uid="{AF336430-F7F2-4CDD-8A49-4C0251D4B5B3}">
      <text>
        <r>
          <rPr>
            <sz val="9"/>
            <color indexed="81"/>
            <rFont val="Tahoma"/>
            <family val="2"/>
          </rPr>
          <t xml:space="preserve">1/4,11,18
</t>
        </r>
      </text>
    </comment>
    <comment ref="I122" authorId="0" shapeId="0" xr:uid="{50145120-5204-4D9F-AE61-F23771A7AAA8}">
      <text>
        <r>
          <rPr>
            <sz val="9"/>
            <color indexed="81"/>
            <rFont val="Tahoma"/>
            <family val="2"/>
          </rPr>
          <t xml:space="preserve">2/15,22 
3/8,15,22,29
</t>
        </r>
      </text>
    </comment>
    <comment ref="J122" authorId="0" shapeId="0" xr:uid="{BEA57A06-0D11-4B0A-8C15-46AF8866FDEA}">
      <text>
        <r>
          <rPr>
            <sz val="9"/>
            <color indexed="81"/>
            <rFont val="Tahoma"/>
            <family val="2"/>
          </rPr>
          <t xml:space="preserve">4/12,19,26
</t>
        </r>
      </text>
    </comment>
    <comment ref="K122" authorId="0" shapeId="0" xr:uid="{D9998C73-81D6-4332-A8EF-FF95ED10E115}">
      <text>
        <r>
          <rPr>
            <sz val="9"/>
            <color indexed="81"/>
            <rFont val="Tahoma"/>
            <family val="2"/>
          </rPr>
          <t xml:space="preserve">5/3,10,17
</t>
        </r>
      </text>
    </comment>
    <comment ref="N122" authorId="0" shapeId="0" xr:uid="{F4265C16-E5FF-40AC-BB38-9128775C8055}">
      <text>
        <r>
          <rPr>
            <sz val="9"/>
            <color indexed="81"/>
            <rFont val="Tahoma"/>
            <family val="2"/>
          </rPr>
          <t xml:space="preserve">6/7,14,21
</t>
        </r>
      </text>
    </comment>
    <comment ref="P122" authorId="0" shapeId="0" xr:uid="{151A843A-9D49-464B-91EB-CCD3372BB548}">
      <text>
        <r>
          <rPr>
            <sz val="9"/>
            <color indexed="81"/>
            <rFont val="Tahoma"/>
            <family val="2"/>
          </rPr>
          <t xml:space="preserve">9/6,13,20
</t>
        </r>
      </text>
    </comment>
    <comment ref="Q122" authorId="0" shapeId="0" xr:uid="{D7AD0429-98DE-4C5E-A9A7-9F00E75E55CE}">
      <text>
        <r>
          <rPr>
            <b/>
            <sz val="9"/>
            <color indexed="81"/>
            <rFont val="Tahoma"/>
            <family val="2"/>
          </rPr>
          <t>10/4,18 
11/8,22,29</t>
        </r>
      </text>
    </comment>
    <comment ref="F123" authorId="0" shapeId="0" xr:uid="{6635D552-8F91-4C01-863C-40B06B596667}">
      <text>
        <r>
          <rPr>
            <sz val="9"/>
            <color indexed="81"/>
            <rFont val="Tahoma"/>
            <family val="2"/>
          </rPr>
          <t xml:space="preserve">12/21
</t>
        </r>
      </text>
    </comment>
    <comment ref="G123" authorId="0" shapeId="0" xr:uid="{431CF5F1-5F29-41CA-BD7E-0824698D0CD9}">
      <text>
        <r>
          <rPr>
            <sz val="9"/>
            <color indexed="81"/>
            <rFont val="Tahoma"/>
            <family val="2"/>
          </rPr>
          <t xml:space="preserve">1/14
</t>
        </r>
      </text>
    </comment>
    <comment ref="N123" authorId="0" shapeId="0" xr:uid="{28D01BEB-6431-4A9D-9E8C-771BCE80A649}">
      <text>
        <r>
          <rPr>
            <sz val="9"/>
            <color indexed="81"/>
            <rFont val="Tahoma"/>
            <family val="2"/>
          </rPr>
          <t xml:space="preserve">2/8,18
</t>
        </r>
      </text>
    </comment>
    <comment ref="F124" authorId="0" shapeId="0" xr:uid="{437F6B06-8286-4ABD-8551-1806589B263B}">
      <text>
        <r>
          <rPr>
            <sz val="9"/>
            <color indexed="81"/>
            <rFont val="Tahoma"/>
            <family val="2"/>
          </rPr>
          <t xml:space="preserve">1/21,22,23,24
</t>
        </r>
      </text>
    </comment>
    <comment ref="G125" authorId="0" shapeId="0" xr:uid="{A567B312-30C1-407B-8634-9546697F9AF9}">
      <text>
        <r>
          <rPr>
            <sz val="9"/>
            <color indexed="81"/>
            <rFont val="Tahoma"/>
            <family val="2"/>
          </rPr>
          <t xml:space="preserve">1/11,18,25
</t>
        </r>
      </text>
    </comment>
    <comment ref="H125" authorId="0" shapeId="0" xr:uid="{AC6DF0D2-EAA0-4DF0-AF7B-EF145F900588}">
      <text>
        <r>
          <rPr>
            <sz val="9"/>
            <color indexed="81"/>
            <rFont val="Tahoma"/>
            <family val="2"/>
          </rPr>
          <t xml:space="preserve">2/15,22
</t>
        </r>
      </text>
    </comment>
    <comment ref="I125" authorId="0" shapeId="0" xr:uid="{1DF492E4-6DA5-4E09-A788-D9BBE3AFF50A}">
      <text>
        <r>
          <rPr>
            <sz val="9"/>
            <color indexed="81"/>
            <rFont val="Tahoma"/>
            <family val="2"/>
          </rPr>
          <t xml:space="preserve">3/8,15,22,29
</t>
        </r>
      </text>
    </comment>
    <comment ref="J125" authorId="0" shapeId="0" xr:uid="{54985E63-DEC8-48C6-A74B-55C5DD1017B8}">
      <text>
        <r>
          <rPr>
            <sz val="9"/>
            <color indexed="81"/>
            <rFont val="Tahoma"/>
            <family val="2"/>
          </rPr>
          <t xml:space="preserve">4/5,19,26
</t>
        </r>
      </text>
    </comment>
    <comment ref="K125" authorId="0" shapeId="0" xr:uid="{38C2388F-0DE1-4BA6-B293-A5EAEAB03065}">
      <text>
        <r>
          <rPr>
            <sz val="9"/>
            <color indexed="81"/>
            <rFont val="Tahoma"/>
            <family val="2"/>
          </rPr>
          <t xml:space="preserve">5/3,10
</t>
        </r>
      </text>
    </comment>
    <comment ref="L125" authorId="0" shapeId="0" xr:uid="{C9F2B09D-86D7-4911-9865-2B0539665AE6}">
      <text>
        <r>
          <rPr>
            <sz val="9"/>
            <color indexed="81"/>
            <rFont val="Tahoma"/>
            <family val="2"/>
          </rPr>
          <t xml:space="preserve">6/7,28
</t>
        </r>
      </text>
    </comment>
    <comment ref="M125" authorId="0" shapeId="0" xr:uid="{1F63D0B8-903E-4DDE-996B-3E962571BC8C}">
      <text>
        <r>
          <rPr>
            <sz val="9"/>
            <color indexed="81"/>
            <rFont val="Tahoma"/>
            <family val="2"/>
          </rPr>
          <t xml:space="preserve">7/19,26
</t>
        </r>
      </text>
    </comment>
    <comment ref="N125" authorId="0" shapeId="0" xr:uid="{F5117BB3-9B61-4142-B911-CE53DD259FA3}">
      <text>
        <r>
          <rPr>
            <sz val="9"/>
            <color indexed="81"/>
            <rFont val="Tahoma"/>
            <family val="2"/>
          </rPr>
          <t xml:space="preserve">8/9,16,23,30
</t>
        </r>
      </text>
    </comment>
    <comment ref="P125" authorId="0" shapeId="0" xr:uid="{734DBF84-9948-43B4-9C11-37B107CE79B3}">
      <text>
        <r>
          <rPr>
            <sz val="9"/>
            <color indexed="81"/>
            <rFont val="Tahoma"/>
            <family val="2"/>
          </rPr>
          <t xml:space="preserve">9/6,13,20
</t>
        </r>
      </text>
    </comment>
    <comment ref="Q125" authorId="0" shapeId="0" xr:uid="{4D5BAAE6-8A81-4801-A999-C13F96E63C79}">
      <text>
        <r>
          <rPr>
            <sz val="9"/>
            <color indexed="81"/>
            <rFont val="Tahoma"/>
            <family val="2"/>
          </rPr>
          <t xml:space="preserve">10/4,18
</t>
        </r>
      </text>
    </comment>
    <comment ref="H126" authorId="0" shapeId="0" xr:uid="{D6AB07CA-D8BB-4B54-A1D8-1F7F0E442540}">
      <text>
        <r>
          <rPr>
            <sz val="9"/>
            <color indexed="81"/>
            <rFont val="Tahoma"/>
            <family val="2"/>
          </rPr>
          <t>1/25
3/8</t>
        </r>
      </text>
    </comment>
    <comment ref="H127" authorId="0" shapeId="0" xr:uid="{5616290B-9DE2-4E0B-9362-A105ECA931CC}">
      <text>
        <r>
          <rPr>
            <sz val="9"/>
            <color indexed="81"/>
            <rFont val="Tahoma"/>
            <family val="2"/>
          </rPr>
          <t xml:space="preserve">3/8
</t>
        </r>
      </text>
    </comment>
  </commentList>
</comments>
</file>

<file path=xl/sharedStrings.xml><?xml version="1.0" encoding="utf-8"?>
<sst xmlns="http://schemas.openxmlformats.org/spreadsheetml/2006/main" count="854" uniqueCount="632">
  <si>
    <t>月</t>
  </si>
  <si>
    <t>日</t>
  </si>
  <si>
    <t>摘要</t>
  </si>
  <si>
    <t>收入</t>
  </si>
  <si>
    <t>支出</t>
  </si>
  <si>
    <t>餘額</t>
  </si>
  <si>
    <t>備註</t>
  </si>
  <si>
    <t>1月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</si>
  <si>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</si>
  <si>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</si>
  <si>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</si>
  <si>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</si>
  <si>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</si>
  <si>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</si>
  <si>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</si>
  <si>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</si>
  <si>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</si>
  <si>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</si>
  <si>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總計</t>
  </si>
  <si>
    <t>比率</t>
  </si>
  <si>
    <t>學費收入</t>
  </si>
  <si>
    <t>其他收入</t>
  </si>
  <si>
    <t>收入總額</t>
  </si>
  <si>
    <t>薪資支出</t>
  </si>
  <si>
    <t>文具用品</t>
  </si>
  <si>
    <t>差旅費</t>
  </si>
  <si>
    <t>郵電費</t>
  </si>
  <si>
    <t>修繕費</t>
  </si>
  <si>
    <t>餐費(宿)</t>
  </si>
  <si>
    <t>訓練費(球)</t>
  </si>
  <si>
    <t>獎金支出</t>
  </si>
  <si>
    <t>其他費用</t>
  </si>
  <si>
    <t>支出總額</t>
  </si>
  <si>
    <t>收支相抵</t>
    <phoneticPr fontId="2" type="noConversion"/>
  </si>
  <si>
    <t>項次</t>
  </si>
  <si>
    <t>年級</t>
  </si>
  <si>
    <t>學生姓名</t>
  </si>
  <si>
    <t>一月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</si>
  <si>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</si>
  <si>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</si>
  <si>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</si>
  <si>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</si>
  <si>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</si>
  <si>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</si>
  <si>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</si>
  <si>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</si>
  <si>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</si>
  <si>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蘇子承</t>
  </si>
  <si>
    <t>教練姓名</t>
  </si>
  <si>
    <t>合計</t>
  </si>
  <si>
    <t>許晉得</t>
  </si>
  <si>
    <t>邱鴻祥</t>
  </si>
  <si>
    <t>羅婉玲</t>
  </si>
  <si>
    <t>薪資總額</t>
  </si>
  <si>
    <t>班別</t>
    <phoneticPr fontId="2" type="noConversion"/>
  </si>
  <si>
    <t>高湘惟</t>
    <phoneticPr fontId="2" type="noConversion"/>
  </si>
  <si>
    <t>匯費</t>
    <phoneticPr fontId="2" type="noConversion"/>
  </si>
  <si>
    <t>莊秉衡</t>
    <phoneticPr fontId="16" type="noConversion"/>
  </si>
  <si>
    <t>寒訓</t>
    <phoneticPr fontId="2" type="noConversion"/>
  </si>
  <si>
    <t>四月</t>
    <phoneticPr fontId="2" type="noConversion"/>
  </si>
  <si>
    <t>五月</t>
    <phoneticPr fontId="2" type="noConversion"/>
  </si>
  <si>
    <t>六月</t>
    <phoneticPr fontId="2" type="noConversion"/>
  </si>
  <si>
    <t>交通費</t>
    <phoneticPr fontId="2" type="noConversion"/>
  </si>
  <si>
    <t>電費</t>
    <phoneticPr fontId="2" type="noConversion"/>
  </si>
  <si>
    <t>羅子宸</t>
    <phoneticPr fontId="16" type="noConversion"/>
  </si>
  <si>
    <t>林群倫</t>
    <phoneticPr fontId="16" type="noConversion"/>
  </si>
  <si>
    <t>二月</t>
    <phoneticPr fontId="2" type="noConversion"/>
  </si>
  <si>
    <t>三月</t>
    <phoneticPr fontId="2" type="noConversion"/>
  </si>
  <si>
    <t>＋</t>
    <phoneticPr fontId="2" type="noConversion"/>
  </si>
  <si>
    <t>寒訓＋二月</t>
    <phoneticPr fontId="2" type="noConversion"/>
  </si>
  <si>
    <t>張元祈</t>
    <phoneticPr fontId="2" type="noConversion"/>
  </si>
  <si>
    <t>三月</t>
    <phoneticPr fontId="2" type="noConversion"/>
  </si>
  <si>
    <t>盧筠杰</t>
    <phoneticPr fontId="16" type="noConversion"/>
  </si>
  <si>
    <t>劉貞妤</t>
    <phoneticPr fontId="16" type="noConversion"/>
  </si>
  <si>
    <t>廖楷淯</t>
    <phoneticPr fontId="2" type="noConversion"/>
  </si>
  <si>
    <t>顏椲珣</t>
    <phoneticPr fontId="2" type="noConversion"/>
  </si>
  <si>
    <t>高鈺蓉</t>
    <phoneticPr fontId="2" type="noConversion"/>
  </si>
  <si>
    <t>李依瑾</t>
    <phoneticPr fontId="16" type="noConversion"/>
  </si>
  <si>
    <t>盧易宏</t>
    <phoneticPr fontId="2" type="noConversion"/>
  </si>
  <si>
    <t>黃貞喜</t>
    <phoneticPr fontId="2" type="noConversion"/>
  </si>
  <si>
    <t>李漢莛</t>
    <phoneticPr fontId="2" type="noConversion"/>
  </si>
  <si>
    <t>羅允蔚</t>
    <phoneticPr fontId="2" type="noConversion"/>
  </si>
  <si>
    <t>林逸芮</t>
    <phoneticPr fontId="2" type="noConversion"/>
  </si>
  <si>
    <t>胡茗心</t>
    <phoneticPr fontId="2" type="noConversion"/>
  </si>
  <si>
    <t>林牧謙</t>
    <phoneticPr fontId="2" type="noConversion"/>
  </si>
  <si>
    <t>黃圓量</t>
    <phoneticPr fontId="2" type="noConversion"/>
  </si>
  <si>
    <t>劉履善</t>
    <phoneticPr fontId="2" type="noConversion"/>
  </si>
  <si>
    <t>梁逸廷</t>
    <phoneticPr fontId="2" type="noConversion"/>
  </si>
  <si>
    <t>顏敬恆</t>
    <phoneticPr fontId="2" type="noConversion"/>
  </si>
  <si>
    <t>顏敬庭</t>
    <phoneticPr fontId="2" type="noConversion"/>
  </si>
  <si>
    <t>楊欣桐</t>
    <phoneticPr fontId="2" type="noConversion"/>
  </si>
  <si>
    <t>楊舒云</t>
    <phoneticPr fontId="2" type="noConversion"/>
  </si>
  <si>
    <t xml:space="preserve"> 陳楷恩 </t>
    <phoneticPr fontId="2" type="noConversion"/>
  </si>
  <si>
    <t>陳昱丞</t>
    <phoneticPr fontId="2" type="noConversion"/>
  </si>
  <si>
    <t>總計</t>
    <phoneticPr fontId="2" type="noConversion"/>
  </si>
  <si>
    <t>傅冠勳</t>
    <phoneticPr fontId="2" type="noConversion"/>
  </si>
  <si>
    <t>一月</t>
    <phoneticPr fontId="2" type="noConversion"/>
  </si>
  <si>
    <t>十二月</t>
    <phoneticPr fontId="2" type="noConversion"/>
  </si>
  <si>
    <t>邱敬能</t>
  </si>
  <si>
    <t>林昱琁</t>
    <phoneticPr fontId="2" type="noConversion"/>
  </si>
  <si>
    <t>呂奕甫</t>
    <phoneticPr fontId="2" type="noConversion"/>
  </si>
  <si>
    <r>
      <t>2</t>
    </r>
    <r>
      <rPr>
        <sz val="14"/>
        <color rgb="FF000000"/>
        <rFont val="微軟正黑體"/>
        <family val="2"/>
        <charset val="136"/>
      </rPr>
      <t>月</t>
    </r>
    <r>
      <rPr>
        <sz val="14"/>
        <color indexed="8"/>
        <rFont val="Songti TC Regular"/>
        <family val="3"/>
        <charset val="136"/>
      </rPr>
      <t>+寒訓</t>
    </r>
    <phoneticPr fontId="2" type="noConversion"/>
  </si>
  <si>
    <t>王星皓</t>
    <phoneticPr fontId="16" type="noConversion"/>
  </si>
  <si>
    <t>黃子芯</t>
    <phoneticPr fontId="16" type="noConversion"/>
  </si>
  <si>
    <t>許立臻</t>
    <phoneticPr fontId="2" type="noConversion"/>
  </si>
  <si>
    <t>吳畇鱳</t>
  </si>
  <si>
    <t>陳又綸</t>
    <phoneticPr fontId="2" type="noConversion"/>
  </si>
  <si>
    <t>梁采甯</t>
    <phoneticPr fontId="2" type="noConversion"/>
  </si>
  <si>
    <t>林柏睿</t>
    <phoneticPr fontId="2" type="noConversion"/>
  </si>
  <si>
    <t>施沛平</t>
    <phoneticPr fontId="2" type="noConversion"/>
  </si>
  <si>
    <t>七月暑訓</t>
    <phoneticPr fontId="2" type="noConversion"/>
  </si>
  <si>
    <t>八月暑訓</t>
    <phoneticPr fontId="2" type="noConversion"/>
  </si>
  <si>
    <t>暫付款</t>
    <phoneticPr fontId="2" type="noConversion"/>
  </si>
  <si>
    <t>翁羚瑄</t>
    <phoneticPr fontId="2" type="noConversion"/>
  </si>
  <si>
    <t>高浤鈞</t>
    <phoneticPr fontId="2" type="noConversion"/>
  </si>
  <si>
    <t>張倢菱</t>
    <phoneticPr fontId="2" type="noConversion"/>
  </si>
  <si>
    <t>王姿云</t>
    <phoneticPr fontId="2" type="noConversion"/>
  </si>
  <si>
    <t>趙嘉甫</t>
    <phoneticPr fontId="2" type="noConversion"/>
  </si>
  <si>
    <t>順序</t>
    <phoneticPr fontId="2" type="noConversion"/>
  </si>
  <si>
    <t>羅允曄</t>
    <phoneticPr fontId="2" type="noConversion"/>
  </si>
  <si>
    <t>唐筠熙</t>
    <phoneticPr fontId="2" type="noConversion"/>
  </si>
  <si>
    <t>陳妍安</t>
    <phoneticPr fontId="2" type="noConversion"/>
  </si>
  <si>
    <t>陳亞駿</t>
    <phoneticPr fontId="2" type="noConversion"/>
  </si>
  <si>
    <t>陳亞祥</t>
    <phoneticPr fontId="2" type="noConversion"/>
  </si>
  <si>
    <t>陳子謙</t>
    <phoneticPr fontId="2" type="noConversion"/>
  </si>
  <si>
    <t>113年度收支表</t>
    <phoneticPr fontId="2" type="noConversion"/>
  </si>
  <si>
    <t>宋承臻</t>
    <phoneticPr fontId="2" type="noConversion"/>
  </si>
  <si>
    <t>鄧皓元</t>
    <phoneticPr fontId="2" type="noConversion"/>
  </si>
  <si>
    <t>鄧詠欣</t>
    <phoneticPr fontId="2" type="noConversion"/>
  </si>
  <si>
    <t>鄭羽彤</t>
    <phoneticPr fontId="2" type="noConversion"/>
  </si>
  <si>
    <t>郭宥呈</t>
    <phoneticPr fontId="2" type="noConversion"/>
  </si>
  <si>
    <t>謝康倫</t>
    <phoneticPr fontId="2" type="noConversion"/>
  </si>
  <si>
    <t>王廷豪</t>
    <phoneticPr fontId="2" type="noConversion"/>
  </si>
  <si>
    <r>
      <t>114</t>
    </r>
    <r>
      <rPr>
        <sz val="14"/>
        <color indexed="8"/>
        <rFont val="細明體"/>
        <family val="3"/>
        <charset val="136"/>
      </rPr>
      <t>年教練薪資名單</t>
    </r>
    <phoneticPr fontId="2" type="noConversion"/>
  </si>
  <si>
    <r>
      <t>114</t>
    </r>
    <r>
      <rPr>
        <sz val="18"/>
        <color indexed="8"/>
        <rFont val="細明體"/>
        <family val="3"/>
        <charset val="136"/>
      </rPr>
      <t>年度收支表</t>
    </r>
    <phoneticPr fontId="2" type="noConversion"/>
  </si>
  <si>
    <t xml:space="preserve">114年日記帳 </t>
    <phoneticPr fontId="2" type="noConversion"/>
  </si>
  <si>
    <t>銀行支付-教練6名12月份薪資(含匯費60元)</t>
    <phoneticPr fontId="2" type="noConversion"/>
  </si>
  <si>
    <t>113年結餘</t>
    <phoneticPr fontId="2" type="noConversion"/>
  </si>
  <si>
    <t>莊博椉</t>
    <phoneticPr fontId="2" type="noConversion"/>
  </si>
  <si>
    <t>莊喬媗</t>
    <phoneticPr fontId="2" type="noConversion"/>
  </si>
  <si>
    <t>楊千綸</t>
    <phoneticPr fontId="2" type="noConversion"/>
  </si>
  <si>
    <t>李惟逸</t>
    <phoneticPr fontId="2" type="noConversion"/>
  </si>
  <si>
    <t>陳定宏</t>
    <phoneticPr fontId="2" type="noConversion"/>
  </si>
  <si>
    <t>馮筠凱</t>
    <phoneticPr fontId="2" type="noConversion"/>
  </si>
  <si>
    <t>邱俞潔</t>
    <phoneticPr fontId="2" type="noConversion"/>
  </si>
  <si>
    <t>黃炳森</t>
    <phoneticPr fontId="2" type="noConversion"/>
  </si>
  <si>
    <t>孫晟睿</t>
    <phoneticPr fontId="2" type="noConversion"/>
  </si>
  <si>
    <t>周柏呈</t>
    <phoneticPr fontId="2" type="noConversion"/>
  </si>
  <si>
    <t>陳睿曦</t>
    <phoneticPr fontId="2" type="noConversion"/>
  </si>
  <si>
    <t>陳芯緹</t>
    <phoneticPr fontId="2" type="noConversion"/>
  </si>
  <si>
    <t>陳詠晴</t>
    <phoneticPr fontId="2" type="noConversion"/>
  </si>
  <si>
    <t>陳楚翔</t>
    <phoneticPr fontId="2" type="noConversion"/>
  </si>
  <si>
    <t>郭承安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</si>
  <si>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</si>
  <si>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</si>
  <si>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</si>
  <si>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</si>
  <si>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</si>
  <si>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</si>
  <si>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</si>
  <si>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</si>
  <si>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</si>
  <si>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</si>
  <si>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</si>
  <si>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</si>
  <si>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</si>
  <si>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</si>
  <si>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</si>
  <si>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</si>
  <si>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</si>
  <si>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</si>
  <si>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</si>
  <si>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</si>
  <si>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</si>
  <si>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</si>
  <si>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</si>
  <si>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</si>
  <si>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</si>
  <si>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</si>
  <si>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</si>
  <si>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</si>
  <si>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</si>
  <si>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</si>
  <si>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31</t>
    <phoneticPr fontId="2" type="noConversion"/>
  </si>
  <si>
    <t>32</t>
    <phoneticPr fontId="2" type="noConversion"/>
  </si>
  <si>
    <t>33</t>
    <phoneticPr fontId="2" type="noConversion"/>
  </si>
  <si>
    <t>34</t>
    <phoneticPr fontId="2" type="noConversion"/>
  </si>
  <si>
    <t>35</t>
    <phoneticPr fontId="2" type="noConversion"/>
  </si>
  <si>
    <t>36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</si>
  <si>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</si>
  <si>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</si>
  <si>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</si>
  <si>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</si>
  <si>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</si>
  <si>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</si>
  <si>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</si>
  <si>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</si>
  <si>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</si>
  <si>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</si>
  <si>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47</t>
    <phoneticPr fontId="2" type="noConversion"/>
  </si>
  <si>
    <t>48</t>
    <phoneticPr fontId="2" type="noConversion"/>
  </si>
  <si>
    <t>49</t>
    <phoneticPr fontId="2" type="noConversion"/>
  </si>
  <si>
    <t>50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</si>
  <si>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</si>
  <si>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</si>
  <si>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</si>
  <si>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54</t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</si>
  <si>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</si>
  <si>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</si>
  <si>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</si>
  <si>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58</t>
    <phoneticPr fontId="2" type="noConversion"/>
  </si>
  <si>
    <t>59</t>
    <phoneticPr fontId="2" type="noConversion"/>
  </si>
  <si>
    <t>60</t>
    <phoneticPr fontId="2" type="noConversion"/>
  </si>
  <si>
    <t>61</t>
    <phoneticPr fontId="2" type="noConversion"/>
  </si>
  <si>
    <t>62</t>
    <phoneticPr fontId="2" type="noConversion"/>
  </si>
  <si>
    <t>63</t>
    <phoneticPr fontId="2" type="noConversion"/>
  </si>
  <si>
    <t>64</t>
    <phoneticPr fontId="2" type="noConversion"/>
  </si>
  <si>
    <t>65</t>
    <phoneticPr fontId="2" type="noConversion"/>
  </si>
  <si>
    <t>66</t>
    <phoneticPr fontId="2" type="noConversion"/>
  </si>
  <si>
    <t>賴品瑋</t>
    <phoneticPr fontId="2" type="noConversion"/>
  </si>
  <si>
    <t>賴彥瑋</t>
    <phoneticPr fontId="2" type="noConversion"/>
  </si>
  <si>
    <t>收費袋*3</t>
    <phoneticPr fontId="2" type="noConversion"/>
  </si>
  <si>
    <t>現金收入-王庭豪(10/5,12,19,26)計次400*4</t>
    <phoneticPr fontId="2" type="noConversion"/>
  </si>
  <si>
    <t>現金收入-呂奕辰(11/9,16)計次400*2</t>
    <phoneticPr fontId="2" type="noConversion"/>
  </si>
  <si>
    <t>現金收入-楊詠晴(11/2,16,23)計次400*3</t>
    <phoneticPr fontId="2" type="noConversion"/>
  </si>
  <si>
    <t>銀行收入-張元祈</t>
    <phoneticPr fontId="2" type="noConversion"/>
  </si>
  <si>
    <t>銀行收入-黃貞喜+黃圓量</t>
    <phoneticPr fontId="2" type="noConversion"/>
  </si>
  <si>
    <t>銀行支出-體促會交通費</t>
    <phoneticPr fontId="2" type="noConversion"/>
  </si>
  <si>
    <t>呂奕辰</t>
    <phoneticPr fontId="2" type="noConversion"/>
  </si>
  <si>
    <t>楊詠晴</t>
    <phoneticPr fontId="2" type="noConversion"/>
  </si>
  <si>
    <t>113年體促會交通費</t>
    <phoneticPr fontId="2" type="noConversion"/>
  </si>
  <si>
    <t>銀行收入-莊秉衡</t>
    <phoneticPr fontId="2" type="noConversion"/>
  </si>
  <si>
    <t>銀行收入-陳亞祥+陳亞駿</t>
    <phoneticPr fontId="2" type="noConversion"/>
  </si>
  <si>
    <t>銀行收入-顏椲珣</t>
    <phoneticPr fontId="2" type="noConversion"/>
  </si>
  <si>
    <t>現金收入-林昱琁+林逸芮</t>
    <phoneticPr fontId="2" type="noConversion"/>
  </si>
  <si>
    <t>現金退-鄧皓元+鄧詠欣</t>
    <phoneticPr fontId="2" type="noConversion"/>
  </si>
  <si>
    <t>多匯1500元</t>
    <phoneticPr fontId="2" type="noConversion"/>
  </si>
  <si>
    <t>未扣幹部減免100元</t>
    <phoneticPr fontId="2" type="noConversion"/>
  </si>
  <si>
    <t>現金支出-113年體促會選手30*100元</t>
    <phoneticPr fontId="2" type="noConversion"/>
  </si>
  <si>
    <t>現金支出-教練團春節紅包6*2000元</t>
    <phoneticPr fontId="2" type="noConversion"/>
  </si>
  <si>
    <t>113年體促會選手30位*100元</t>
    <phoneticPr fontId="2" type="noConversion"/>
  </si>
  <si>
    <t>113年體促會四年級男,女童組榮獲第一名-教練團獎金</t>
    <phoneticPr fontId="2" type="noConversion"/>
  </si>
  <si>
    <t>現金收入-莊博椉(12月月費)</t>
    <phoneticPr fontId="2" type="noConversion"/>
  </si>
  <si>
    <t>銀行收入-施沛平</t>
    <phoneticPr fontId="2" type="noConversion"/>
  </si>
  <si>
    <t>現金支出-113年體促會四年級男,女童組榮獲第一名教練團獎金</t>
    <phoneticPr fontId="2" type="noConversion"/>
  </si>
  <si>
    <t>銀行收入-廖楷淯</t>
    <phoneticPr fontId="2" type="noConversion"/>
  </si>
  <si>
    <t>現金收入-第39屆生達盃+113年體促會午餐退費</t>
    <phoneticPr fontId="2" type="noConversion"/>
  </si>
  <si>
    <t>銀行收入-宋承臻</t>
    <phoneticPr fontId="2" type="noConversion"/>
  </si>
  <si>
    <t>陳芊妤</t>
    <phoneticPr fontId="2" type="noConversion"/>
  </si>
  <si>
    <t>潘杰熙</t>
    <phoneticPr fontId="2" type="noConversion"/>
  </si>
  <si>
    <t>67</t>
    <phoneticPr fontId="2" type="noConversion"/>
  </si>
  <si>
    <t>請假</t>
    <phoneticPr fontId="2" type="noConversion"/>
  </si>
  <si>
    <t>現金收入-會長(筠凱爸)贊助</t>
    <phoneticPr fontId="2" type="noConversion"/>
  </si>
  <si>
    <t>陳可芯</t>
    <phoneticPr fontId="2" type="noConversion"/>
  </si>
  <si>
    <t xml:space="preserve">現金一批(1月月費) </t>
    <phoneticPr fontId="2" type="noConversion"/>
  </si>
  <si>
    <t>銀行支出-歐克盃-高年級男,女生+中年級女生午餐費</t>
    <phoneticPr fontId="2" type="noConversion"/>
  </si>
  <si>
    <t>銀行支出-教練7名1月份薪資(含匯費75)元</t>
    <phoneticPr fontId="2" type="noConversion"/>
  </si>
  <si>
    <t>銀行支出-歐克盃-高年級男餐費</t>
    <phoneticPr fontId="2" type="noConversion"/>
  </si>
  <si>
    <t>1/23~25日歐克盃餐費</t>
    <phoneticPr fontId="2" type="noConversion"/>
  </si>
  <si>
    <t>銀行支出-歐克盃教練交通費</t>
    <phoneticPr fontId="2" type="noConversion"/>
  </si>
  <si>
    <t>銀行支出-歐克盃-中年級男,女生午餐費</t>
    <phoneticPr fontId="2" type="noConversion"/>
  </si>
  <si>
    <t>銀行收入-廖楷淯+施沛平</t>
    <phoneticPr fontId="2" type="noConversion"/>
  </si>
  <si>
    <t>銀行收入-莊秉衡+張元祈</t>
    <phoneticPr fontId="2" type="noConversion"/>
  </si>
  <si>
    <t>上年度結餘325234元</t>
    <phoneticPr fontId="2" type="noConversion"/>
  </si>
  <si>
    <t>1/23~25日歐克盃交通費</t>
    <phoneticPr fontId="2" type="noConversion"/>
  </si>
  <si>
    <t>1/23~25日歐克盃報名費</t>
    <phoneticPr fontId="2" type="noConversion"/>
  </si>
  <si>
    <t>陳品睿</t>
    <phoneticPr fontId="2" type="noConversion"/>
  </si>
  <si>
    <t>霍乙豪</t>
    <phoneticPr fontId="2" type="noConversion"/>
  </si>
  <si>
    <t>林詠恩</t>
    <phoneticPr fontId="2" type="noConversion"/>
  </si>
  <si>
    <t>黃稕程</t>
    <phoneticPr fontId="2" type="noConversion"/>
  </si>
  <si>
    <t>郭柏均</t>
    <phoneticPr fontId="2" type="noConversion"/>
  </si>
  <si>
    <t>郭柏宏</t>
    <phoneticPr fontId="2" type="noConversion"/>
  </si>
  <si>
    <t>邱若棠</t>
    <phoneticPr fontId="2" type="noConversion"/>
  </si>
  <si>
    <t>蔡智允</t>
    <phoneticPr fontId="2" type="noConversion"/>
  </si>
  <si>
    <t>黃奕脩</t>
    <phoneticPr fontId="2" type="noConversion"/>
  </si>
  <si>
    <t>68</t>
    <phoneticPr fontId="2" type="noConversion"/>
  </si>
  <si>
    <t>69</t>
    <phoneticPr fontId="2" type="noConversion"/>
  </si>
  <si>
    <t>70</t>
    <phoneticPr fontId="2" type="noConversion"/>
  </si>
  <si>
    <t>71</t>
    <phoneticPr fontId="2" type="noConversion"/>
  </si>
  <si>
    <t>72</t>
    <phoneticPr fontId="2" type="noConversion"/>
  </si>
  <si>
    <t>73</t>
    <phoneticPr fontId="2" type="noConversion"/>
  </si>
  <si>
    <t>74</t>
    <phoneticPr fontId="2" type="noConversion"/>
  </si>
  <si>
    <t>75</t>
    <phoneticPr fontId="2" type="noConversion"/>
  </si>
  <si>
    <t>銀行收入-鄧皓元+鄧詠欣</t>
    <phoneticPr fontId="2" type="noConversion"/>
  </si>
  <si>
    <t>銀行收入-鄧皓元+鄧詠欣(寒訓)</t>
    <phoneticPr fontId="2" type="noConversion"/>
  </si>
  <si>
    <t>3500</t>
    <phoneticPr fontId="2" type="noConversion"/>
  </si>
  <si>
    <t>7000</t>
    <phoneticPr fontId="2" type="noConversion"/>
  </si>
  <si>
    <t>5600</t>
    <phoneticPr fontId="2" type="noConversion"/>
  </si>
  <si>
    <t>現金一批(寒訓)</t>
    <phoneticPr fontId="2" type="noConversion"/>
  </si>
  <si>
    <t>銀行支出-南亞OT1/2</t>
    <phoneticPr fontId="2" type="noConversion"/>
  </si>
  <si>
    <t>銀行支出-歐克盃報名費</t>
    <phoneticPr fontId="2" type="noConversion"/>
  </si>
  <si>
    <t>173200</t>
    <phoneticPr fontId="2" type="noConversion"/>
  </si>
  <si>
    <t>尹荀</t>
    <phoneticPr fontId="2" type="noConversion"/>
  </si>
  <si>
    <t>76</t>
    <phoneticPr fontId="2" type="noConversion"/>
  </si>
  <si>
    <t>不參加</t>
    <phoneticPr fontId="2" type="noConversion"/>
  </si>
  <si>
    <t>現金收入-呂奕辰(12/14,21,28)計次400*3</t>
    <phoneticPr fontId="2" type="noConversion"/>
  </si>
  <si>
    <t>多匯1100元</t>
    <phoneticPr fontId="2" type="noConversion"/>
  </si>
  <si>
    <t>銀行收入-鄧皓元+鄧詠欣(2月月費)</t>
    <phoneticPr fontId="2" type="noConversion"/>
  </si>
  <si>
    <t>退鄧皓元+鄧詠欣</t>
    <phoneticPr fontId="2" type="noConversion"/>
  </si>
  <si>
    <t>現金收入-陳芊妤(12/14,21,28)計次400*3</t>
    <phoneticPr fontId="2" type="noConversion"/>
  </si>
  <si>
    <t>現金收入-馮筠凱(寒訓)+贊助$500</t>
    <phoneticPr fontId="2" type="noConversion"/>
  </si>
  <si>
    <t>2月繳</t>
    <phoneticPr fontId="2" type="noConversion"/>
  </si>
  <si>
    <t>現金收入-羅子宸</t>
    <phoneticPr fontId="2" type="noConversion"/>
  </si>
  <si>
    <t>現金收入-黃彥蓁(1/14)計次*1</t>
    <phoneticPr fontId="2" type="noConversion"/>
  </si>
  <si>
    <t>現金收入-郭承安(1/21,22,23)計次*3</t>
    <phoneticPr fontId="2" type="noConversion"/>
  </si>
  <si>
    <t>黃彥蓁</t>
    <phoneticPr fontId="2" type="noConversion"/>
  </si>
  <si>
    <t>現金支出-慶生蛋糕</t>
    <phoneticPr fontId="2" type="noConversion"/>
  </si>
  <si>
    <t>退隊</t>
    <phoneticPr fontId="2" type="noConversion"/>
  </si>
  <si>
    <t>計次</t>
    <phoneticPr fontId="2" type="noConversion"/>
  </si>
  <si>
    <t>李駿陞</t>
    <phoneticPr fontId="2" type="noConversion"/>
  </si>
  <si>
    <t>現金一批(2月月費)</t>
    <phoneticPr fontId="2" type="noConversion"/>
  </si>
  <si>
    <t>現金收入-馮筠凱+林牧謙</t>
    <phoneticPr fontId="2" type="noConversion"/>
  </si>
  <si>
    <t>現金收入-唐筠熙</t>
    <phoneticPr fontId="2" type="noConversion"/>
  </si>
  <si>
    <t>銀行支出-教練薪資(2月份)含匯費(60元)</t>
    <phoneticPr fontId="2" type="noConversion"/>
  </si>
  <si>
    <t>77</t>
    <phoneticPr fontId="2" type="noConversion"/>
  </si>
  <si>
    <t>銀行收入-施沛平(2月月費)</t>
    <phoneticPr fontId="2" type="noConversion"/>
  </si>
  <si>
    <t>銀行收入-廖楷淯+莊秉衡</t>
    <phoneticPr fontId="2" type="noConversion"/>
  </si>
  <si>
    <t>現金收入-陳楚翔+陳定宏(2月月費)</t>
    <phoneticPr fontId="2" type="noConversion"/>
  </si>
  <si>
    <t>現金收入-賴品瑋+賴彥瑋(2/5,7,10,19)計次400*4*2人</t>
    <phoneticPr fontId="2" type="noConversion"/>
  </si>
  <si>
    <t>現金收入-陳楚翔(1/21,22,23,24)計次400*4</t>
    <phoneticPr fontId="2" type="noConversion"/>
  </si>
  <si>
    <t>現金收入-顏敬恆+顏敬庭</t>
    <phoneticPr fontId="2" type="noConversion"/>
  </si>
  <si>
    <t>現金收入-楊詠晴(1/4,11,18)計次400*3</t>
    <phoneticPr fontId="2" type="noConversion"/>
  </si>
  <si>
    <t>現金收入-謝康倫(1/18)計次400*1</t>
    <phoneticPr fontId="2" type="noConversion"/>
  </si>
  <si>
    <t>現金收入-陳品睿(1/4,11,18)計次400*3</t>
    <phoneticPr fontId="2" type="noConversion"/>
  </si>
  <si>
    <t>現金收入-呂亦辰(2/22)計次400*1</t>
    <phoneticPr fontId="2" type="noConversion"/>
  </si>
  <si>
    <t>銀行支出-籃子+文具+影印招生單+影印卡(350)元</t>
    <phoneticPr fontId="2" type="noConversion"/>
  </si>
  <si>
    <t>3月繳</t>
    <phoneticPr fontId="2" type="noConversion"/>
  </si>
  <si>
    <t>蔡昀蓁</t>
    <phoneticPr fontId="2" type="noConversion"/>
  </si>
  <si>
    <t>蔡卉築</t>
    <phoneticPr fontId="2" type="noConversion"/>
  </si>
  <si>
    <t>廖苡岑</t>
    <phoneticPr fontId="2" type="noConversion"/>
  </si>
  <si>
    <t>現金收入-高湘惟+高鈺蓉+高浤鈞</t>
    <phoneticPr fontId="2" type="noConversion"/>
  </si>
  <si>
    <t>現金收入-王星皓(2月月費)</t>
    <phoneticPr fontId="2" type="noConversion"/>
  </si>
  <si>
    <t>銀行支出-製作海報(含匯費10元)</t>
    <phoneticPr fontId="2" type="noConversion"/>
  </si>
  <si>
    <t>現金收入-吳畇鱳(2/11,25)計次400*2</t>
    <phoneticPr fontId="2" type="noConversion"/>
  </si>
  <si>
    <t>現金收入-王廷豪(2/15,22)計次400*2</t>
    <phoneticPr fontId="2" type="noConversion"/>
  </si>
  <si>
    <t>現金收入-潘杰熙(2/15,22)計次400*2</t>
    <phoneticPr fontId="2" type="noConversion"/>
  </si>
  <si>
    <t>現金收入-廖苡岑(2/15,22)計次400*2</t>
    <phoneticPr fontId="2" type="noConversion"/>
  </si>
  <si>
    <t>現金一批(3月月費)</t>
    <phoneticPr fontId="2" type="noConversion"/>
  </si>
  <si>
    <t>張芷綺</t>
    <phoneticPr fontId="2" type="noConversion"/>
  </si>
  <si>
    <t>現金收入-蘇子承</t>
    <phoneticPr fontId="2" type="noConversion"/>
  </si>
  <si>
    <t>現金收入-林牧謙</t>
    <phoneticPr fontId="2" type="noConversion"/>
  </si>
  <si>
    <t>78</t>
    <phoneticPr fontId="2" type="noConversion"/>
  </si>
  <si>
    <t>會長(筠凱爸)贊助$600元</t>
    <phoneticPr fontId="2" type="noConversion"/>
  </si>
  <si>
    <t>現金收入-陳子謙(2/14)計次*1</t>
    <phoneticPr fontId="2" type="noConversion"/>
  </si>
  <si>
    <t>現金收入-王星皓</t>
    <phoneticPr fontId="2" type="noConversion"/>
  </si>
  <si>
    <t>現金收入-蔡昀蓁(1/25)計次400*1(人)+蔡卉築(3/8)400*2(人)</t>
    <phoneticPr fontId="2" type="noConversion"/>
  </si>
  <si>
    <t>林彥廷</t>
    <phoneticPr fontId="2" type="noConversion"/>
  </si>
  <si>
    <t>銀行支出-教練薪資(3月份)含匯費(75元)</t>
    <phoneticPr fontId="2" type="noConversion"/>
  </si>
  <si>
    <t>銀行收入-顏椲珣+宋承臻</t>
    <phoneticPr fontId="2" type="noConversion"/>
  </si>
  <si>
    <t>銀行收入-張元祈+莊秉衡</t>
    <phoneticPr fontId="2" type="noConversion"/>
  </si>
  <si>
    <t>銀行支出-影印費</t>
    <phoneticPr fontId="2" type="noConversion"/>
  </si>
  <si>
    <t>銀行支出-垃圾袋</t>
    <phoneticPr fontId="2" type="noConversion"/>
  </si>
  <si>
    <t>鄧又榮</t>
    <phoneticPr fontId="2" type="noConversion"/>
  </si>
  <si>
    <t>蔡享锝</t>
    <phoneticPr fontId="2" type="noConversion"/>
  </si>
  <si>
    <t>楊宥駿</t>
    <phoneticPr fontId="2" type="noConversion"/>
  </si>
  <si>
    <t>現金一批(4月份月費)</t>
    <phoneticPr fontId="2" type="noConversion"/>
  </si>
  <si>
    <t>現金收入-吳畇鱳(3/11)計次400*1</t>
    <phoneticPr fontId="2" type="noConversion"/>
  </si>
  <si>
    <t>銀行支出-小運會車資(4/26日)</t>
    <phoneticPr fontId="2" type="noConversion"/>
  </si>
  <si>
    <t>4/26日小運會交通費</t>
    <phoneticPr fontId="2" type="noConversion"/>
  </si>
  <si>
    <t>陳勝凱</t>
    <phoneticPr fontId="2" type="noConversion"/>
  </si>
  <si>
    <t>銀行支出-教練(4月份薪資)含匯費(90)元</t>
    <phoneticPr fontId="2" type="noConversion"/>
  </si>
  <si>
    <t>銀行支出-小運會(4/25-26日)餐費</t>
    <phoneticPr fontId="2" type="noConversion"/>
  </si>
  <si>
    <t>銀行收入-陳亞祥+陳亞駿(4月月費)</t>
    <phoneticPr fontId="2" type="noConversion"/>
  </si>
  <si>
    <t>5月繳</t>
    <phoneticPr fontId="2" type="noConversion"/>
  </si>
  <si>
    <t>現金收入-唐筠熙(4月月費)</t>
    <phoneticPr fontId="2" type="noConversion"/>
  </si>
  <si>
    <t>銀行收入-葉妮霓</t>
    <phoneticPr fontId="2" type="noConversion"/>
  </si>
  <si>
    <t>銀行支出-114年自由盃團體賽(四男)-教練*1名交通費</t>
    <phoneticPr fontId="2" type="noConversion"/>
  </si>
  <si>
    <t>葉妮霓</t>
    <phoneticPr fontId="2" type="noConversion"/>
  </si>
  <si>
    <t>銀行支出-114年自由盃團體賽(四男)-教練*1名餐宿費</t>
    <phoneticPr fontId="2" type="noConversion"/>
  </si>
  <si>
    <t>銀行支出-114年自由盃團體賽住宿補助300*4名選手</t>
    <phoneticPr fontId="2" type="noConversion"/>
  </si>
  <si>
    <t>114年自由盃團體賽5/3-5/5日教練*1名交通費</t>
    <phoneticPr fontId="2" type="noConversion"/>
  </si>
  <si>
    <t>114年自由盃團體賽5/3-5/5日教練*1名餐宿費</t>
    <phoneticPr fontId="2" type="noConversion"/>
  </si>
  <si>
    <t>114年自由盃團體賽5/3-5/5日住宿補助300元選手*4名</t>
    <phoneticPr fontId="2" type="noConversion"/>
  </si>
  <si>
    <r>
      <t>4/25-26</t>
    </r>
    <r>
      <rPr>
        <sz val="16"/>
        <color rgb="FF000000"/>
        <rFont val="細明體"/>
        <family val="3"/>
        <charset val="136"/>
      </rPr>
      <t>日小運會餐費</t>
    </r>
    <phoneticPr fontId="2" type="noConversion"/>
  </si>
  <si>
    <t>現金收入-小運會+自由盃團體賽午餐退費</t>
    <phoneticPr fontId="2" type="noConversion"/>
  </si>
  <si>
    <t>銀行支出-114年自由盃團體賽報名費</t>
    <phoneticPr fontId="2" type="noConversion"/>
  </si>
  <si>
    <t>銀行支出-114年自由盃團體賽(六男)-教練2名交通費</t>
    <phoneticPr fontId="2" type="noConversion"/>
  </si>
  <si>
    <t>銀行支出-114年自由盃團體賽(六男)-教練2名餐宿費</t>
    <phoneticPr fontId="2" type="noConversion"/>
  </si>
  <si>
    <t>114年自由盃團體賽報名費</t>
    <phoneticPr fontId="2" type="noConversion"/>
  </si>
  <si>
    <t>114年自由盃團體賽5/8-5/9日住宿補助300元選手*4名</t>
    <phoneticPr fontId="2" type="noConversion"/>
  </si>
  <si>
    <t>銀行支出-114年自由盃團體賽(六男)住宿補助300*4名選手</t>
    <phoneticPr fontId="2" type="noConversion"/>
  </si>
  <si>
    <t>黃證翰</t>
    <phoneticPr fontId="2" type="noConversion"/>
  </si>
  <si>
    <t>畢業</t>
    <phoneticPr fontId="2" type="noConversion"/>
  </si>
  <si>
    <t>現金一批(5月分月費)</t>
    <phoneticPr fontId="2" type="noConversion"/>
  </si>
  <si>
    <t>現金收入-林逸芮</t>
    <phoneticPr fontId="2" type="noConversion"/>
  </si>
  <si>
    <t>五月繳</t>
    <phoneticPr fontId="2" type="noConversion"/>
  </si>
  <si>
    <t>114年自由盃團體賽5/8-5/10日教練*2名交通費</t>
    <phoneticPr fontId="2" type="noConversion"/>
  </si>
  <si>
    <t>114年自由盃團體賽5/8-5/10日教練*2名餐宿費</t>
    <phoneticPr fontId="2" type="noConversion"/>
  </si>
  <si>
    <t>銀行支出-教練(5月份薪資)含匯費(90)元</t>
    <phoneticPr fontId="2" type="noConversion"/>
  </si>
  <si>
    <t>印刷海報</t>
    <phoneticPr fontId="2" type="noConversion"/>
  </si>
  <si>
    <t>銀行支出-影印暑訓通知單</t>
    <phoneticPr fontId="2" type="noConversion"/>
  </si>
  <si>
    <t>銀行支出-講師點心</t>
    <phoneticPr fontId="2" type="noConversion"/>
  </si>
  <si>
    <t>六月繳</t>
    <phoneticPr fontId="2" type="noConversion"/>
  </si>
  <si>
    <t>現金支出-小運會甲組男,女童第三名教練團獎金$3000元</t>
    <phoneticPr fontId="2" type="noConversion"/>
  </si>
  <si>
    <t>現金支出-畢業餐會西式點心</t>
    <phoneticPr fontId="2" type="noConversion"/>
  </si>
  <si>
    <t>現金支出-畢業餐會飲料(含提袋$13元)</t>
    <phoneticPr fontId="2" type="noConversion"/>
  </si>
  <si>
    <t>現金支出-紅包袋*2</t>
    <phoneticPr fontId="2" type="noConversion"/>
  </si>
  <si>
    <t>現金收入-畢業餐會家長自付$150*31=4650元</t>
    <phoneticPr fontId="2" type="noConversion"/>
  </si>
  <si>
    <t>現金支出-小運會甲組男,女童第三名選手16名*100元</t>
    <phoneticPr fontId="2" type="noConversion"/>
  </si>
  <si>
    <t>現金支出-端午節禮金-教練6名*1000元</t>
    <phoneticPr fontId="2" type="noConversion"/>
  </si>
  <si>
    <t>銀行支出-畢業餐會</t>
    <phoneticPr fontId="2" type="noConversion"/>
  </si>
  <si>
    <t>曾崇恩</t>
    <phoneticPr fontId="2" type="noConversion"/>
  </si>
  <si>
    <t>現金一批(6月月費)</t>
    <phoneticPr fontId="2" type="noConversion"/>
  </si>
  <si>
    <t>現金收入-莊博椉(5月月費)</t>
    <phoneticPr fontId="2" type="noConversion"/>
  </si>
  <si>
    <t>現金收入-馮筠凱(5月月費)+贊助$600</t>
    <phoneticPr fontId="2" type="noConversion"/>
  </si>
  <si>
    <t>銀行支出-耐熱插頭</t>
    <phoneticPr fontId="2" type="noConversion"/>
  </si>
  <si>
    <t>銀行利息</t>
    <phoneticPr fontId="2" type="noConversion"/>
  </si>
  <si>
    <t>現金支出-端午節禮盒2位教練</t>
    <phoneticPr fontId="2" type="noConversion"/>
  </si>
  <si>
    <t>現金收入-馮筠凱+贊助$600元</t>
    <phoneticPr fontId="2" type="noConversion"/>
  </si>
  <si>
    <t>現金收入-陳定宏(4月月費)</t>
    <phoneticPr fontId="2" type="noConversion"/>
  </si>
  <si>
    <t>現金收入-陳定宏(5月月費)</t>
    <phoneticPr fontId="2" type="noConversion"/>
  </si>
  <si>
    <t>銀行支出-教練6月份薪資含匯費(85)元</t>
    <phoneticPr fontId="2" type="noConversion"/>
  </si>
  <si>
    <t>現金收入-莊博椉(6月月費)</t>
    <phoneticPr fontId="2" type="noConversion"/>
  </si>
  <si>
    <t>劉威廷</t>
    <phoneticPr fontId="2" type="noConversion"/>
  </si>
  <si>
    <t>銀行收入-陳詠晴+陳睿曦</t>
    <phoneticPr fontId="2" type="noConversion"/>
  </si>
  <si>
    <t>114年上半年電費</t>
    <phoneticPr fontId="2" type="noConversion"/>
  </si>
  <si>
    <t>鉅明盃餐費+車資(含匯$15元)</t>
    <phoneticPr fontId="2" type="noConversion"/>
  </si>
  <si>
    <t>球隊需用品</t>
    <phoneticPr fontId="2" type="noConversion"/>
  </si>
  <si>
    <t>第九屆鉅明盃餐費</t>
    <phoneticPr fontId="2" type="noConversion"/>
  </si>
  <si>
    <t>第九屆鉅明盃交通費</t>
    <phoneticPr fontId="2" type="noConversion"/>
  </si>
  <si>
    <t>兆湘友誼賽FIN補給運動飲料</t>
    <phoneticPr fontId="2" type="noConversion"/>
  </si>
  <si>
    <t>有機膠水+無機膠水</t>
    <phoneticPr fontId="2" type="noConversion"/>
  </si>
  <si>
    <t>廖弘逸</t>
    <phoneticPr fontId="2" type="noConversion"/>
  </si>
  <si>
    <t>廖祐珩</t>
    <phoneticPr fontId="2" type="noConversion"/>
  </si>
  <si>
    <t>方于誠</t>
    <phoneticPr fontId="2" type="noConversion"/>
  </si>
  <si>
    <t>張正升</t>
    <phoneticPr fontId="2" type="noConversion"/>
  </si>
  <si>
    <t>張介凡</t>
    <phoneticPr fontId="2" type="noConversion"/>
  </si>
  <si>
    <t>鄭章傑</t>
    <phoneticPr fontId="2" type="noConversion"/>
  </si>
  <si>
    <t>盧巂硯</t>
    <phoneticPr fontId="2" type="noConversion"/>
  </si>
  <si>
    <t>蒲宥稼</t>
    <phoneticPr fontId="2" type="noConversion"/>
  </si>
  <si>
    <t>陳以勛</t>
    <phoneticPr fontId="2" type="noConversion"/>
  </si>
  <si>
    <t>簡苡丞</t>
    <phoneticPr fontId="2" type="noConversion"/>
  </si>
  <si>
    <t>許楀彬</t>
    <phoneticPr fontId="2" type="noConversion"/>
  </si>
  <si>
    <t>莊宇騰</t>
    <phoneticPr fontId="2" type="noConversion"/>
  </si>
  <si>
    <t>陳宥潔</t>
    <phoneticPr fontId="2" type="noConversion"/>
  </si>
  <si>
    <t>現金一批 (7月月費)</t>
    <phoneticPr fontId="2" type="noConversion"/>
  </si>
  <si>
    <t>家委會贊助</t>
    <phoneticPr fontId="2" type="noConversion"/>
  </si>
  <si>
    <t>現金收入-馮筠凱+贊助$500元</t>
    <phoneticPr fontId="2" type="noConversion"/>
  </si>
  <si>
    <t>現金收入-王廷豪(5/3,10//6/7,14,21,28)計次400*6</t>
    <phoneticPr fontId="2" type="noConversion"/>
  </si>
  <si>
    <t>現金收入-健瑋主任贊助</t>
    <phoneticPr fontId="2" type="noConversion"/>
  </si>
  <si>
    <t>7/30~8/1日南區菁英賽餐費</t>
    <phoneticPr fontId="2" type="noConversion"/>
  </si>
  <si>
    <r>
      <t>7/30~8/1</t>
    </r>
    <r>
      <rPr>
        <sz val="16"/>
        <color rgb="FF000000"/>
        <rFont val="微軟正黑體"/>
        <family val="2"/>
        <charset val="136"/>
      </rPr>
      <t>日南區菁英賽交通費</t>
    </r>
    <phoneticPr fontId="2" type="noConversion"/>
  </si>
  <si>
    <t>南區菁英賽餐費</t>
    <phoneticPr fontId="2" type="noConversion"/>
  </si>
  <si>
    <t>南區菁英賽交通費</t>
    <phoneticPr fontId="2" type="noConversion"/>
  </si>
  <si>
    <t>慶生蛋糕</t>
    <phoneticPr fontId="2" type="noConversion"/>
  </si>
  <si>
    <t>傅傳硯</t>
    <phoneticPr fontId="2" type="noConversion"/>
  </si>
  <si>
    <t>夏苡昕</t>
    <phoneticPr fontId="2" type="noConversion"/>
  </si>
  <si>
    <t>傅楷欣</t>
    <phoneticPr fontId="2" type="noConversion"/>
  </si>
  <si>
    <t>銀行支出-教練7月份薪資(含匯費$135元)</t>
    <phoneticPr fontId="2" type="noConversion"/>
  </si>
  <si>
    <t>總統盃-高男團體組錦標賽報名費</t>
    <phoneticPr fontId="2" type="noConversion"/>
  </si>
  <si>
    <t>銀行支出-3M絕緣膠帶</t>
    <phoneticPr fontId="2" type="noConversion"/>
  </si>
  <si>
    <t>現金收入-7/30-8/2日菁英賽搭乘遊覽車家長支付</t>
    <phoneticPr fontId="2" type="noConversion"/>
  </si>
  <si>
    <t>銀行支出-總統盃-高女團體組餐費</t>
    <phoneticPr fontId="2" type="noConversion"/>
  </si>
  <si>
    <t>銀行支出-總統盃高男餐費</t>
    <phoneticPr fontId="2" type="noConversion"/>
  </si>
  <si>
    <t>王星諺</t>
    <phoneticPr fontId="2" type="noConversion"/>
  </si>
  <si>
    <t>現金一批(8月月費)</t>
    <phoneticPr fontId="2" type="noConversion"/>
  </si>
  <si>
    <t>總統盃報名費</t>
    <phoneticPr fontId="2" type="noConversion"/>
  </si>
  <si>
    <r>
      <t>8/7</t>
    </r>
    <r>
      <rPr>
        <sz val="16"/>
        <color rgb="FF000000"/>
        <rFont val="微軟正黑體"/>
        <family val="2"/>
        <charset val="136"/>
      </rPr>
      <t>日總統盃教練</t>
    </r>
    <r>
      <rPr>
        <sz val="16"/>
        <color rgb="FF000000"/>
        <rFont val="Arial"/>
        <family val="2"/>
      </rPr>
      <t>1</t>
    </r>
    <r>
      <rPr>
        <sz val="16"/>
        <color rgb="FF000000"/>
        <rFont val="微軟正黑體"/>
        <family val="2"/>
        <charset val="136"/>
      </rPr>
      <t>位交通費</t>
    </r>
    <phoneticPr fontId="2" type="noConversion"/>
  </si>
  <si>
    <t>8月繳</t>
    <phoneticPr fontId="2" type="noConversion"/>
  </si>
  <si>
    <t>現金收入-宋承臻(7-8月)</t>
    <phoneticPr fontId="2" type="noConversion"/>
  </si>
  <si>
    <t>現金收入-王庭豪(7/12,19)計次400*2</t>
    <phoneticPr fontId="2" type="noConversion"/>
  </si>
  <si>
    <t>現金收入-謝康倫(7/12,19,26)計次400*3</t>
    <phoneticPr fontId="2" type="noConversion"/>
  </si>
  <si>
    <t>現金收入-廖苡岑(7/12,19,26)計次400*2</t>
    <phoneticPr fontId="2" type="noConversion"/>
  </si>
  <si>
    <t>現金收入-陳芊妤(7/26)計次400*1</t>
    <phoneticPr fontId="2" type="noConversion"/>
  </si>
  <si>
    <t>現金收入-楊詠晴(6/7,8/30)計次*2</t>
    <phoneticPr fontId="2" type="noConversion"/>
  </si>
  <si>
    <t>現金收入-黃子芯</t>
    <phoneticPr fontId="2" type="noConversion"/>
  </si>
  <si>
    <t>銀行支出-媽祖盃報名費</t>
    <phoneticPr fontId="2" type="noConversion"/>
  </si>
  <si>
    <t>銀行支出-文具用品</t>
    <phoneticPr fontId="2" type="noConversion"/>
  </si>
  <si>
    <t>銀行支出-新生招生單</t>
    <phoneticPr fontId="2" type="noConversion"/>
  </si>
  <si>
    <r>
      <t>8/24,26</t>
    </r>
    <r>
      <rPr>
        <sz val="16"/>
        <color rgb="FF000000"/>
        <rFont val="微軟正黑體"/>
        <family val="2"/>
        <charset val="136"/>
      </rPr>
      <t>媽祖盃高年級年男,女團賽教練</t>
    </r>
    <r>
      <rPr>
        <sz val="16"/>
        <color rgb="FF000000"/>
        <rFont val="Arial"/>
        <family val="2"/>
      </rPr>
      <t>3</t>
    </r>
    <r>
      <rPr>
        <sz val="16"/>
        <color rgb="FF000000"/>
        <rFont val="微軟正黑體"/>
        <family val="2"/>
        <charset val="136"/>
      </rPr>
      <t>位</t>
    </r>
    <phoneticPr fontId="2" type="noConversion"/>
  </si>
  <si>
    <r>
      <t>8/24,26</t>
    </r>
    <r>
      <rPr>
        <sz val="16"/>
        <color rgb="FF000000"/>
        <rFont val="微軟正黑體"/>
        <family val="2"/>
        <charset val="136"/>
      </rPr>
      <t>日媽祖盃高年級男,女團賽餐費</t>
    </r>
    <phoneticPr fontId="2" type="noConversion"/>
  </si>
  <si>
    <t>8/3-8/8日總統盃高年級男,女團賽餐費</t>
    <phoneticPr fontId="2" type="noConversion"/>
  </si>
  <si>
    <t>8/7日總統盃高女團體賽交通費-教練1位</t>
    <phoneticPr fontId="2" type="noConversion"/>
  </si>
  <si>
    <t>現金收入-高浤鈞</t>
    <phoneticPr fontId="2" type="noConversion"/>
  </si>
  <si>
    <t>現金收入-莊博椉</t>
    <phoneticPr fontId="2" type="noConversion"/>
  </si>
  <si>
    <r>
      <t>8/24</t>
    </r>
    <r>
      <rPr>
        <sz val="16"/>
        <color rgb="FF000000"/>
        <rFont val="Microsoft JhengHei UI"/>
        <family val="3"/>
        <charset val="136"/>
      </rPr>
      <t>日</t>
    </r>
    <r>
      <rPr>
        <sz val="16"/>
        <color indexed="8"/>
        <rFont val="細明體"/>
        <family val="3"/>
        <charset val="136"/>
      </rPr>
      <t>媽祖盃五年級組男,女生團體賽餐費</t>
    </r>
    <phoneticPr fontId="2" type="noConversion"/>
  </si>
  <si>
    <t>8/26日媽祖盃六年級組男,女生團體賽教練3位交通費</t>
    <phoneticPr fontId="2" type="noConversion"/>
  </si>
  <si>
    <t>現金收入-蒲宥稼</t>
    <phoneticPr fontId="2" type="noConversion"/>
  </si>
  <si>
    <t>8/20日媽祖盃團體二男團體賽餐費</t>
    <phoneticPr fontId="2" type="noConversion"/>
  </si>
  <si>
    <r>
      <t>8/20</t>
    </r>
    <r>
      <rPr>
        <sz val="16"/>
        <color rgb="FF000000"/>
        <rFont val="微軟正黑體"/>
        <family val="2"/>
        <charset val="136"/>
      </rPr>
      <t>日媽祖盃團體二男團體-教練1位交通費</t>
    </r>
    <phoneticPr fontId="2" type="noConversion"/>
  </si>
  <si>
    <r>
      <t>8/22</t>
    </r>
    <r>
      <rPr>
        <sz val="16"/>
        <color rgb="FF000000"/>
        <rFont val="微軟正黑體"/>
        <family val="2"/>
        <charset val="136"/>
      </rPr>
      <t>日媽祖盃三男團體賽-教練2位交通費</t>
    </r>
    <phoneticPr fontId="2" type="noConversion"/>
  </si>
  <si>
    <t>8/17-26日媽祖盃報名費</t>
    <phoneticPr fontId="2" type="noConversion"/>
  </si>
  <si>
    <r>
      <t>8/22</t>
    </r>
    <r>
      <rPr>
        <sz val="16"/>
        <color rgb="FF000000"/>
        <rFont val="微軟正黑體"/>
        <family val="2"/>
        <charset val="136"/>
      </rPr>
      <t>日媽祖盃三男團體賽餐費</t>
    </r>
    <phoneticPr fontId="2" type="noConversion"/>
  </si>
  <si>
    <t>銀行支出-教練8月份薪資(含匯費135元)</t>
    <phoneticPr fontId="2" type="noConversion"/>
  </si>
  <si>
    <t>銀行收入-施沛平+顏椲珣</t>
    <phoneticPr fontId="2" type="noConversion"/>
  </si>
  <si>
    <t>現金一批(9月月費)</t>
    <phoneticPr fontId="2" type="noConversion"/>
  </si>
  <si>
    <t>謝宇恩</t>
    <phoneticPr fontId="2" type="noConversion"/>
  </si>
  <si>
    <t>彭澤靖</t>
    <phoneticPr fontId="2" type="noConversion"/>
  </si>
  <si>
    <t>9月繳</t>
    <phoneticPr fontId="2" type="noConversion"/>
  </si>
  <si>
    <t>議長盃交通費</t>
    <phoneticPr fontId="2" type="noConversion"/>
  </si>
  <si>
    <t>議長盃午餐費</t>
    <phoneticPr fontId="2" type="noConversion"/>
  </si>
  <si>
    <t>洗手乳+螺絲</t>
    <phoneticPr fontId="2" type="noConversion"/>
  </si>
  <si>
    <t>梁采甯(8/4*2,22,23)計次400*4+梁逸廷(8/4)*2</t>
    <phoneticPr fontId="2" type="noConversion"/>
  </si>
  <si>
    <t>陳秉權</t>
    <phoneticPr fontId="2" type="noConversion"/>
  </si>
  <si>
    <t>現金收入-陳秉權</t>
    <phoneticPr fontId="2" type="noConversion"/>
  </si>
  <si>
    <t>議長盃男童組亞軍教練團獎金</t>
    <phoneticPr fontId="2" type="noConversion"/>
  </si>
  <si>
    <t>中秋節教練團禮金1000*6</t>
    <phoneticPr fontId="2" type="noConversion"/>
  </si>
  <si>
    <t>現金收入-陳楚翔</t>
    <phoneticPr fontId="2" type="noConversion"/>
  </si>
  <si>
    <t>現金收入-陳可芯(8月暑訓)</t>
    <phoneticPr fontId="2" type="noConversion"/>
  </si>
  <si>
    <t>現金收入-王星皓+唐筠熙</t>
    <phoneticPr fontId="2" type="noConversion"/>
  </si>
  <si>
    <t>現金收入-王星諺</t>
    <phoneticPr fontId="2" type="noConversion"/>
  </si>
  <si>
    <t>銀行支出-飲水機保養費</t>
    <phoneticPr fontId="2" type="noConversion"/>
  </si>
  <si>
    <t>現金收入-王廷豪(8/2,16,30)計次400*3</t>
    <phoneticPr fontId="2" type="noConversion"/>
  </si>
  <si>
    <t>JET盃-報名費</t>
    <phoneticPr fontId="2" type="noConversion"/>
  </si>
  <si>
    <t>JET盃-教練2位交通費</t>
    <phoneticPr fontId="2" type="noConversion"/>
  </si>
  <si>
    <t>銀行支出-教練9月份薪資(含匯費90元)</t>
    <phoneticPr fontId="2" type="noConversion"/>
  </si>
  <si>
    <t>JET盃-五男,五女,六女,六男餐費</t>
    <phoneticPr fontId="2" type="noConversion"/>
  </si>
  <si>
    <t>議長盃選手16名*100獎勵金</t>
    <phoneticPr fontId="2" type="noConversion"/>
  </si>
  <si>
    <t>9/13日議長盃餐費</t>
    <phoneticPr fontId="2" type="noConversion"/>
  </si>
  <si>
    <t>9/13日議長盃交通費</t>
    <phoneticPr fontId="2" type="noConversion"/>
  </si>
  <si>
    <t>9/13日議長盃選手16位*$100=1600元</t>
    <phoneticPr fontId="2" type="noConversion"/>
  </si>
  <si>
    <t>9/13日議長盃男童組團體賽亞軍教練團獎金</t>
    <phoneticPr fontId="2" type="noConversion"/>
  </si>
  <si>
    <t>9/27~30日JET盃餐費</t>
    <phoneticPr fontId="2" type="noConversion"/>
  </si>
  <si>
    <r>
      <t>9/27~30</t>
    </r>
    <r>
      <rPr>
        <sz val="16"/>
        <color rgb="FF000000"/>
        <rFont val="微軟正黑體"/>
        <family val="2"/>
        <charset val="136"/>
      </rPr>
      <t>日</t>
    </r>
    <r>
      <rPr>
        <sz val="16"/>
        <color rgb="FF000000"/>
        <rFont val="Arial"/>
        <family val="2"/>
      </rPr>
      <t>JET</t>
    </r>
    <r>
      <rPr>
        <sz val="16"/>
        <color rgb="FF000000"/>
        <rFont val="微軟正黑體"/>
        <family val="2"/>
        <charset val="136"/>
      </rPr>
      <t>盃教練2位交通費</t>
    </r>
    <phoneticPr fontId="2" type="noConversion"/>
  </si>
  <si>
    <r>
      <t>9/27~30</t>
    </r>
    <r>
      <rPr>
        <sz val="16"/>
        <color rgb="FF000000"/>
        <rFont val="微軟正黑體"/>
        <family val="2"/>
        <charset val="136"/>
      </rPr>
      <t>日</t>
    </r>
    <r>
      <rPr>
        <sz val="16"/>
        <color rgb="FF000000"/>
        <rFont val="Arial"/>
        <family val="2"/>
      </rPr>
      <t>JET</t>
    </r>
    <r>
      <rPr>
        <sz val="16"/>
        <color rgb="FF000000"/>
        <rFont val="微軟正黑體"/>
        <family val="2"/>
        <charset val="136"/>
      </rPr>
      <t>盃教練報名費</t>
    </r>
    <phoneticPr fontId="2" type="noConversion"/>
  </si>
  <si>
    <t>銀行收入-廖楷淯+葉妮霓+顏椲珣</t>
    <phoneticPr fontId="2" type="noConversion"/>
  </si>
  <si>
    <t>JET盃午餐退費</t>
    <phoneticPr fontId="2" type="noConversion"/>
  </si>
  <si>
    <t>福德盃餐費</t>
    <phoneticPr fontId="2" type="noConversion"/>
  </si>
  <si>
    <t>福德盃-中年級團體組第五名</t>
    <phoneticPr fontId="2" type="noConversion"/>
  </si>
  <si>
    <t>議長盃午餐退費</t>
    <phoneticPr fontId="2" type="noConversion"/>
  </si>
  <si>
    <t>10/10~11日餐費</t>
    <phoneticPr fontId="2" type="noConversion"/>
  </si>
  <si>
    <r>
      <t>10/10~11</t>
    </r>
    <r>
      <rPr>
        <sz val="16"/>
        <color rgb="FF000000"/>
        <rFont val="微軟正黑體"/>
        <family val="2"/>
        <charset val="136"/>
      </rPr>
      <t>日交通費教練3位</t>
    </r>
    <phoneticPr fontId="2" type="noConversion"/>
  </si>
  <si>
    <t>體促會餐費</t>
    <phoneticPr fontId="2" type="noConversion"/>
  </si>
  <si>
    <t>體促會交通費</t>
    <phoneticPr fontId="2" type="noConversion"/>
  </si>
  <si>
    <t>衛生紙</t>
    <phoneticPr fontId="2" type="noConversion"/>
  </si>
  <si>
    <t>10/17~18日體促會餐費</t>
    <phoneticPr fontId="2" type="noConversion"/>
  </si>
  <si>
    <r>
      <t>10/17~18</t>
    </r>
    <r>
      <rPr>
        <sz val="16"/>
        <color rgb="FF000000"/>
        <rFont val="微軟正黑體"/>
        <family val="2"/>
        <charset val="136"/>
      </rPr>
      <t>日體促會交通費</t>
    </r>
    <phoneticPr fontId="2" type="noConversion"/>
  </si>
  <si>
    <t>陳泓佑</t>
    <phoneticPr fontId="2" type="noConversion"/>
  </si>
  <si>
    <t>李秉倩</t>
    <phoneticPr fontId="2" type="noConversion"/>
  </si>
  <si>
    <t>林銘呈</t>
    <phoneticPr fontId="2" type="noConversion"/>
  </si>
  <si>
    <t>莊尚宥</t>
    <phoneticPr fontId="2" type="noConversion"/>
  </si>
  <si>
    <t>林欣妍</t>
    <phoneticPr fontId="2" type="noConversion"/>
  </si>
  <si>
    <t>林欣妙</t>
    <phoneticPr fontId="2" type="noConversion"/>
  </si>
  <si>
    <t>陳冠廷</t>
    <phoneticPr fontId="2" type="noConversion"/>
  </si>
  <si>
    <t>陳冠羽</t>
    <phoneticPr fontId="2" type="noConversion"/>
  </si>
  <si>
    <t>潘宥呈</t>
    <phoneticPr fontId="2" type="noConversion"/>
  </si>
  <si>
    <t>銀行支出-二男媽祖盃團體賽餐費</t>
    <phoneticPr fontId="2" type="noConversion"/>
  </si>
  <si>
    <t>銀行支出-四男媽祖盃團體賽餐費</t>
    <phoneticPr fontId="2" type="noConversion"/>
  </si>
  <si>
    <t>福德盃-教練2位交通費</t>
    <phoneticPr fontId="2" type="noConversion"/>
  </si>
  <si>
    <t xml:space="preserve">影印議長盃獎狀    </t>
    <phoneticPr fontId="2" type="noConversion"/>
  </si>
  <si>
    <t>現金收入-王廷豪(9/6,20)計次400*2</t>
    <phoneticPr fontId="2" type="noConversion"/>
  </si>
  <si>
    <t>銀行支出-教練10月份薪資(含會費90元)</t>
    <phoneticPr fontId="2" type="noConversion"/>
  </si>
  <si>
    <t>現金收入-唐筠熙(10月月費)</t>
    <phoneticPr fontId="2" type="noConversion"/>
  </si>
  <si>
    <t>現金收入-馮筠凱(10月月費)+贊助$400</t>
    <phoneticPr fontId="2" type="noConversion"/>
  </si>
  <si>
    <t>現金收入-廖苡岑(9/6,13,20)計次$400*3</t>
    <phoneticPr fontId="2" type="noConversion"/>
  </si>
  <si>
    <t>現金收入-潘杰熙(9/6,13,20,27)計次$400*4</t>
    <phoneticPr fontId="2" type="noConversion"/>
  </si>
  <si>
    <t>79</t>
    <phoneticPr fontId="2" type="noConversion"/>
  </si>
  <si>
    <t>80</t>
    <phoneticPr fontId="2" type="noConversion"/>
  </si>
  <si>
    <t>81</t>
    <phoneticPr fontId="2" type="noConversion"/>
  </si>
  <si>
    <t>82</t>
    <phoneticPr fontId="2" type="noConversion"/>
  </si>
  <si>
    <t>83</t>
    <phoneticPr fontId="2" type="noConversion"/>
  </si>
  <si>
    <t>84</t>
    <phoneticPr fontId="2" type="noConversion"/>
  </si>
  <si>
    <t>85</t>
    <phoneticPr fontId="2" type="noConversion"/>
  </si>
  <si>
    <t>86</t>
    <phoneticPr fontId="2" type="noConversion"/>
  </si>
  <si>
    <t>87</t>
    <phoneticPr fontId="2" type="noConversion"/>
  </si>
  <si>
    <t>88</t>
    <phoneticPr fontId="2" type="noConversion"/>
  </si>
  <si>
    <t>89</t>
    <phoneticPr fontId="2" type="noConversion"/>
  </si>
  <si>
    <t>90</t>
    <phoneticPr fontId="2" type="noConversion"/>
  </si>
  <si>
    <t>91</t>
    <phoneticPr fontId="2" type="noConversion"/>
  </si>
  <si>
    <t>92</t>
    <phoneticPr fontId="2" type="noConversion"/>
  </si>
  <si>
    <t>93</t>
    <phoneticPr fontId="2" type="noConversion"/>
  </si>
  <si>
    <t>94</t>
    <phoneticPr fontId="2" type="noConversion"/>
  </si>
  <si>
    <t>95</t>
    <phoneticPr fontId="2" type="noConversion"/>
  </si>
  <si>
    <t>96</t>
    <phoneticPr fontId="2" type="noConversion"/>
  </si>
  <si>
    <t>97</t>
    <phoneticPr fontId="2" type="noConversion"/>
  </si>
  <si>
    <t>98</t>
    <phoneticPr fontId="2" type="noConversion"/>
  </si>
  <si>
    <t>99</t>
    <phoneticPr fontId="2" type="noConversion"/>
  </si>
  <si>
    <t>100</t>
    <phoneticPr fontId="2" type="noConversion"/>
  </si>
  <si>
    <t>101</t>
    <phoneticPr fontId="2" type="noConversion"/>
  </si>
  <si>
    <t>102</t>
    <phoneticPr fontId="2" type="noConversion"/>
  </si>
  <si>
    <t>103</t>
    <phoneticPr fontId="2" type="noConversion"/>
  </si>
  <si>
    <t>104</t>
    <phoneticPr fontId="2" type="noConversion"/>
  </si>
  <si>
    <t>105</t>
    <phoneticPr fontId="2" type="noConversion"/>
  </si>
  <si>
    <t>106</t>
    <phoneticPr fontId="2" type="noConversion"/>
  </si>
  <si>
    <t>107</t>
    <phoneticPr fontId="2" type="noConversion"/>
  </si>
  <si>
    <t>108</t>
    <phoneticPr fontId="2" type="noConversion"/>
  </si>
  <si>
    <t>109</t>
    <phoneticPr fontId="2" type="noConversion"/>
  </si>
  <si>
    <t>110</t>
    <phoneticPr fontId="2" type="noConversion"/>
  </si>
  <si>
    <t>銀行支出-防蚊液</t>
    <phoneticPr fontId="2" type="noConversion"/>
  </si>
  <si>
    <t>體促會選手26位*100獎勵金</t>
    <phoneticPr fontId="2" type="noConversion"/>
  </si>
  <si>
    <t>體促會五年級團體賽-榮獲第一名教練團獎金</t>
    <phoneticPr fontId="2" type="noConversion"/>
  </si>
  <si>
    <t>現金一批(11月月費)</t>
    <phoneticPr fontId="2" type="noConversion"/>
  </si>
  <si>
    <t xml:space="preserve">現金收入-盧易宏+曾崇恩+王星皓+王星諺 </t>
    <phoneticPr fontId="2" type="noConversion"/>
  </si>
  <si>
    <t>現金收入-陳芊妤(10/4,7,14,18,21,28)計次400*6</t>
    <phoneticPr fontId="2" type="noConversion"/>
  </si>
  <si>
    <t>現金收入-陳品睿(9/6,13,20)計次400*3</t>
    <phoneticPr fontId="2" type="noConversion"/>
  </si>
  <si>
    <t>現金收入-楊千綸(10月月費)</t>
    <phoneticPr fontId="2" type="noConversion"/>
  </si>
  <si>
    <t>11月繳</t>
    <phoneticPr fontId="2" type="noConversion"/>
  </si>
  <si>
    <t>現金收入-蔡享锝</t>
    <phoneticPr fontId="2" type="noConversion"/>
  </si>
  <si>
    <t>體促會選手26位*100元</t>
    <phoneticPr fontId="2" type="noConversion"/>
  </si>
  <si>
    <t>體促會五年級男童組團體賽榮獲第一名教練團獎金</t>
    <phoneticPr fontId="2" type="noConversion"/>
  </si>
  <si>
    <t>銀行支出-教練11月份薪資(含匯費90元)</t>
    <phoneticPr fontId="2" type="noConversion"/>
  </si>
  <si>
    <t>林均庭</t>
    <phoneticPr fontId="2" type="noConversion"/>
  </si>
  <si>
    <t>葉門鐶</t>
    <phoneticPr fontId="2" type="noConversion"/>
  </si>
  <si>
    <t>諸羅山盃-教練1名交通費</t>
    <phoneticPr fontId="2" type="noConversion"/>
  </si>
  <si>
    <t>諸羅山盃餐費</t>
    <phoneticPr fontId="2" type="noConversion"/>
  </si>
  <si>
    <t>梁采甯(10/8,13,14,15,16,22,29)計次*7</t>
    <phoneticPr fontId="2" type="noConversion"/>
  </si>
  <si>
    <t>梁逸廷(10/8,15,22,29)*4</t>
    <phoneticPr fontId="2" type="noConversion"/>
  </si>
  <si>
    <r>
      <t>11/27</t>
    </r>
    <r>
      <rPr>
        <sz val="16"/>
        <color rgb="FF000000"/>
        <rFont val="微軟正黑體"/>
        <family val="2"/>
        <charset val="136"/>
      </rPr>
      <t>日諸羅山盃</t>
    </r>
    <r>
      <rPr>
        <sz val="16"/>
        <color rgb="FF000000"/>
        <rFont val="Arial"/>
        <family val="2"/>
      </rPr>
      <t>-</t>
    </r>
    <r>
      <rPr>
        <sz val="16"/>
        <color rgb="FF000000"/>
        <rFont val="微軟正黑體"/>
        <family val="2"/>
        <charset val="136"/>
      </rPr>
      <t>餐費</t>
    </r>
    <phoneticPr fontId="2" type="noConversion"/>
  </si>
  <si>
    <r>
      <t>11/27</t>
    </r>
    <r>
      <rPr>
        <sz val="16"/>
        <color rgb="FF000000"/>
        <rFont val="Microsoft JhengHei UI"/>
        <family val="3"/>
        <charset val="136"/>
      </rPr>
      <t>日諸羅山盃</t>
    </r>
    <r>
      <rPr>
        <sz val="16"/>
        <color rgb="FF000000"/>
        <rFont val="Songti TC Regular"/>
        <family val="3"/>
      </rPr>
      <t>-</t>
    </r>
    <r>
      <rPr>
        <sz val="16"/>
        <color rgb="FF000000"/>
        <rFont val="Songti TC Regular"/>
        <family val="3"/>
        <charset val="136"/>
      </rPr>
      <t>教練1名交通費</t>
    </r>
    <phoneticPr fontId="2" type="noConversion"/>
  </si>
  <si>
    <t>現金收入-馮筠凱(11月月費)+贊助$400元</t>
    <phoneticPr fontId="2" type="noConversion"/>
  </si>
  <si>
    <t>生達盃-教練3位交通費</t>
    <phoneticPr fontId="2" type="noConversion"/>
  </si>
  <si>
    <t>現金收入-廖苡岑(10/4,18)計次*2</t>
    <phoneticPr fontId="2" type="noConversion"/>
  </si>
  <si>
    <r>
      <t>12/6</t>
    </r>
    <r>
      <rPr>
        <sz val="16"/>
        <color rgb="FF000000"/>
        <rFont val="微軟正黑體"/>
        <family val="2"/>
        <charset val="136"/>
      </rPr>
      <t>日生達盃</t>
    </r>
    <r>
      <rPr>
        <sz val="16"/>
        <color rgb="FF000000"/>
        <rFont val="Arial"/>
        <family val="2"/>
      </rPr>
      <t>-</t>
    </r>
    <r>
      <rPr>
        <sz val="16"/>
        <color rgb="FF000000"/>
        <rFont val="微軟正黑體"/>
        <family val="2"/>
        <charset val="136"/>
      </rPr>
      <t>教練3名交通費</t>
    </r>
    <phoneticPr fontId="2" type="noConversion"/>
  </si>
  <si>
    <t>現金收入-生達盃午餐退費</t>
    <phoneticPr fontId="2" type="noConversion"/>
  </si>
  <si>
    <t>銀行支出-114年下半年度電費</t>
    <phoneticPr fontId="2" type="noConversion"/>
  </si>
  <si>
    <t>陳振廷</t>
    <phoneticPr fontId="2" type="noConversion"/>
  </si>
  <si>
    <t>12月繳</t>
    <phoneticPr fontId="2" type="noConversion"/>
  </si>
  <si>
    <t>顏以喬</t>
    <phoneticPr fontId="2" type="noConversion"/>
  </si>
  <si>
    <t>111</t>
    <phoneticPr fontId="2" type="noConversion"/>
  </si>
  <si>
    <t>現金一批(12月月費)</t>
    <phoneticPr fontId="2" type="noConversion"/>
  </si>
  <si>
    <t>飲水機保養費</t>
    <phoneticPr fontId="2" type="noConversion"/>
  </si>
  <si>
    <t>彩色L型夾*2</t>
    <phoneticPr fontId="2" type="noConversion"/>
  </si>
  <si>
    <t>寒假招生影印單</t>
    <phoneticPr fontId="2" type="noConversion"/>
  </si>
  <si>
    <t>112</t>
    <phoneticPr fontId="2" type="noConversion"/>
  </si>
  <si>
    <t>113</t>
    <phoneticPr fontId="2" type="noConversion"/>
  </si>
  <si>
    <t>114</t>
    <phoneticPr fontId="2" type="noConversion"/>
  </si>
  <si>
    <t>115</t>
    <phoneticPr fontId="2" type="noConversion"/>
  </si>
  <si>
    <t>116</t>
    <phoneticPr fontId="2" type="noConversion"/>
  </si>
  <si>
    <t>117</t>
    <phoneticPr fontId="2" type="noConversion"/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</si>
  <si>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</si>
  <si>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</si>
  <si>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</si>
  <si>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</si>
  <si>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</si>
  <si>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</si>
  <si>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</si>
  <si>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</si>
  <si>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</si>
  <si>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</si>
  <si>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1月繳</t>
    <phoneticPr fontId="2" type="noConversion"/>
  </si>
  <si>
    <t>銀行支出教練12月份薪資(含匯費$75元)</t>
    <phoneticPr fontId="2" type="noConversion"/>
  </si>
  <si>
    <t>黃子芯((8月寒訓)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</si>
</sst>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#,##0&quot; &quot;;\(#,##0\)"/>
    <numFmt numFmtId="177" formatCode="#,##0&quot; &quot;"/>
    <numFmt numFmtId="178" formatCode="&quot; &quot;* #,##0&quot; &quot;;&quot;-&quot;* #,##0&quot; &quot;;&quot; &quot;* &quot;-&quot;??&quot; &quot;"/>
    <numFmt numFmtId="179" formatCode="#,##0&quot; &quot;;&quot;-&quot;#,##0&quot; &quot;"/>
    <numFmt numFmtId="180" formatCode="#,##0_ ;[Red]\-#,##0\ "/>
    <numFmt numFmtId="181" formatCode="_-* #,##0_-;\-* #,##0_-;_-* &quot;-&quot;??_-;_-@_-"/>
    <numFmt numFmtId="182" formatCode="#,##0_ "/>
    <numFmt numFmtId="183" formatCode="#,##0_);[Red]\(#,##0\)"/>
  </numFmts>
  <fonts count="68">
    <font>
      <sz val="12"/>
      <color indexed="8"/>
      <name val="Songti TC Regular"/>
    </font>
    <font>
      <sz val="18"/>
      <color indexed="8"/>
      <name val="細明體"/>
      <family val="3"/>
      <charset val="136"/>
    </font>
    <font>
      <sz val="9"/>
      <name val="細明體"/>
      <family val="3"/>
      <charset val="136"/>
    </font>
    <font>
      <sz val="14"/>
      <color indexed="8"/>
      <name val="細明體"/>
      <family val="3"/>
      <charset val="136"/>
    </font>
    <font>
      <sz val="12"/>
      <color indexed="8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Songti TC Regular"/>
      <family val="3"/>
      <charset val="136"/>
    </font>
    <font>
      <sz val="18"/>
      <color indexed="8"/>
      <name val="Songti TC Bold"/>
      <family val="1"/>
      <charset val="136"/>
    </font>
    <font>
      <sz val="14"/>
      <color indexed="8"/>
      <name val="Songti TC Bold"/>
      <family val="1"/>
    </font>
    <font>
      <sz val="14"/>
      <color indexed="8"/>
      <name val="Songti TC Regular"/>
      <family val="3"/>
      <charset val="136"/>
    </font>
    <font>
      <sz val="16"/>
      <color indexed="8"/>
      <name val="Songti TC Regular"/>
      <family val="3"/>
      <charset val="136"/>
    </font>
    <font>
      <sz val="16"/>
      <color indexed="8"/>
      <name val="細明體"/>
      <family val="3"/>
      <charset val="136"/>
    </font>
    <font>
      <sz val="15"/>
      <color indexed="8"/>
      <name val="Songti TC Regular"/>
      <family val="3"/>
      <charset val="136"/>
    </font>
    <font>
      <sz val="16"/>
      <name val="Songti TC Regular"/>
      <family val="3"/>
      <charset val="136"/>
    </font>
    <font>
      <sz val="14"/>
      <color indexed="16"/>
      <name val="Songti TC Regular"/>
      <family val="3"/>
      <charset val="136"/>
    </font>
    <font>
      <sz val="12"/>
      <color indexed="16"/>
      <name val="Songti TC Regular"/>
      <family val="3"/>
      <charset val="136"/>
    </font>
    <font>
      <sz val="9"/>
      <name val="Helvetica Neue"/>
      <family val="1"/>
      <charset val="136"/>
    </font>
    <font>
      <sz val="14"/>
      <name val="細明體"/>
      <family val="3"/>
      <charset val="136"/>
    </font>
    <font>
      <sz val="14"/>
      <color indexed="8"/>
      <name val="標楷體"/>
      <family val="4"/>
      <charset val="136"/>
    </font>
    <font>
      <u/>
      <sz val="16"/>
      <color rgb="FFFF0000"/>
      <name val="Songti TC Bold"/>
      <family val="1"/>
    </font>
    <font>
      <sz val="16"/>
      <name val="Songti TC Regular"/>
      <family val="2"/>
    </font>
    <font>
      <sz val="12"/>
      <name val="Songti TC Regular"/>
      <family val="2"/>
    </font>
    <font>
      <sz val="16"/>
      <color rgb="FFFF0000"/>
      <name val="Songti TC Regular"/>
      <family val="3"/>
      <charset val="136"/>
    </font>
    <font>
      <sz val="12"/>
      <color rgb="FFFF0000"/>
      <name val="Songti TC Regular"/>
      <family val="2"/>
    </font>
    <font>
      <sz val="16"/>
      <color indexed="8"/>
      <name val="標楷體"/>
      <family val="4"/>
      <charset val="136"/>
    </font>
    <font>
      <u/>
      <sz val="16"/>
      <color rgb="FFFF0000"/>
      <name val="Songti TC Regular"/>
      <family val="3"/>
      <charset val="136"/>
    </font>
    <font>
      <sz val="16"/>
      <color indexed="8"/>
      <name val="新細明體"/>
      <family val="1"/>
      <charset val="136"/>
      <scheme val="major"/>
    </font>
    <font>
      <sz val="14"/>
      <name val="Songti TC Bold"/>
      <family val="1"/>
    </font>
    <font>
      <sz val="14"/>
      <name val="Songti TC Regular"/>
      <family val="3"/>
      <charset val="136"/>
    </font>
    <font>
      <sz val="12"/>
      <color indexed="8"/>
      <name val="Songti TC Regular"/>
    </font>
    <font>
      <sz val="14"/>
      <color theme="1"/>
      <name val="標楷體"/>
      <family val="4"/>
      <charset val="136"/>
    </font>
    <font>
      <sz val="10"/>
      <color indexed="8"/>
      <name val="Helvetica Neue"/>
      <family val="1"/>
      <charset val="136"/>
    </font>
    <font>
      <sz val="12"/>
      <name val="新細明體"/>
      <family val="1"/>
      <charset val="136"/>
    </font>
    <font>
      <sz val="16"/>
      <name val="細明體"/>
      <family val="3"/>
      <charset val="136"/>
    </font>
    <font>
      <u/>
      <sz val="16"/>
      <color theme="1"/>
      <name val="Songti TC Bold"/>
      <family val="1"/>
    </font>
    <font>
      <sz val="14"/>
      <color rgb="FF000000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4"/>
      <color rgb="FF002060"/>
      <name val="細明體"/>
      <family val="3"/>
      <charset val="136"/>
    </font>
    <font>
      <sz val="16"/>
      <color theme="1"/>
      <name val="標楷體"/>
      <family val="4"/>
      <charset val="136"/>
    </font>
    <font>
      <sz val="18"/>
      <color indexed="8"/>
      <name val="標楷體"/>
      <family val="4"/>
      <charset val="136"/>
    </font>
    <font>
      <sz val="18"/>
      <color rgb="FF000000"/>
      <name val="標楷體"/>
      <family val="4"/>
      <charset val="136"/>
    </font>
    <font>
      <sz val="16"/>
      <color rgb="FFFF0000"/>
      <name val="Segoe UI Semibold"/>
      <family val="2"/>
    </font>
    <font>
      <sz val="16"/>
      <color theme="4" tint="-0.249977111117893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00"/>
      <name val="細明體"/>
      <family val="3"/>
      <charset val="136"/>
    </font>
    <font>
      <sz val="14"/>
      <color theme="4" tint="-0.249977111117893"/>
      <name val="標楷體"/>
      <family val="4"/>
      <charset val="136"/>
    </font>
    <font>
      <sz val="9"/>
      <color indexed="81"/>
      <name val="細明體"/>
      <family val="3"/>
      <charset val="136"/>
    </font>
    <font>
      <sz val="14"/>
      <color rgb="FFC00000"/>
      <name val="標楷體"/>
      <family val="4"/>
      <charset val="136"/>
    </font>
    <font>
      <sz val="16"/>
      <color rgb="FFC00000"/>
      <name val="標楷體"/>
      <family val="4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sz val="16"/>
      <color rgb="FF000000"/>
      <name val="Microsoft JhengHei"/>
      <family val="3"/>
      <charset val="136"/>
    </font>
    <font>
      <sz val="16"/>
      <color rgb="FFFF0000"/>
      <name val="Microsoft YaHei"/>
      <family val="2"/>
      <charset val="134"/>
    </font>
    <font>
      <u/>
      <sz val="16"/>
      <color rgb="FFFF0000"/>
      <name val="Microsoft YaHei"/>
      <family val="2"/>
      <charset val="134"/>
    </font>
    <font>
      <sz val="16"/>
      <color rgb="FFFF0000"/>
      <name val="細明體"/>
      <family val="3"/>
      <charset val="136"/>
    </font>
    <font>
      <u/>
      <sz val="16"/>
      <color rgb="FFFF0000"/>
      <name val="Segoe UI Variable Text Semibold"/>
    </font>
    <font>
      <sz val="16"/>
      <color rgb="FFFF0000"/>
      <name val="Microsoft YaHei UI"/>
      <family val="2"/>
      <charset val="134"/>
    </font>
    <font>
      <u/>
      <sz val="16"/>
      <color rgb="FFFF0000"/>
      <name val="Segoe UI Variable Small Semibol"/>
    </font>
    <font>
      <sz val="16"/>
      <color rgb="FF000000"/>
      <name val="Arial"/>
      <family val="2"/>
    </font>
    <font>
      <sz val="16"/>
      <color rgb="FF000000"/>
      <name val="Microsoft JhengHei UI"/>
      <family val="3"/>
      <charset val="136"/>
    </font>
    <font>
      <sz val="16"/>
      <color indexed="8"/>
      <name val="Songti TC Regular"/>
    </font>
    <font>
      <b/>
      <u/>
      <sz val="16"/>
      <color rgb="FFFF0000"/>
      <name val="Songti TC Bold"/>
      <family val="1"/>
      <charset val="136"/>
    </font>
    <font>
      <sz val="16"/>
      <color rgb="FFFF0000"/>
      <name val="Segoe UI Variable Small Semibol"/>
    </font>
    <font>
      <sz val="16"/>
      <color rgb="FFFF0000"/>
      <name val="Segoe UI Variable Display Semib"/>
    </font>
    <font>
      <sz val="16"/>
      <color rgb="FF000000"/>
      <name val="Songti TC Regular"/>
      <family val="3"/>
    </font>
    <font>
      <sz val="16"/>
      <color rgb="FF000000"/>
      <name val="Songti TC Regular"/>
      <family val="3"/>
      <charset val="136"/>
    </font>
    <font>
      <sz val="12"/>
      <color rgb="FFFF0000"/>
      <name val="Segoe UI Variable Display Semib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</fills>
  <borders count="18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1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8"/>
      </top>
      <bottom/>
      <diagonal/>
    </border>
    <border>
      <left style="medium">
        <color indexed="8"/>
      </left>
      <right style="thin">
        <color indexed="17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8"/>
      </bottom>
      <diagonal/>
    </border>
    <border>
      <left/>
      <right style="thin">
        <color indexed="17"/>
      </right>
      <top style="thin">
        <color indexed="17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ck">
        <color indexed="1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 style="thin">
        <color indexed="8"/>
      </bottom>
      <diagonal/>
    </border>
    <border>
      <left style="thick">
        <color indexed="18"/>
      </left>
      <right style="thin">
        <color indexed="8"/>
      </right>
      <top/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7"/>
      </left>
      <right/>
      <top style="thin">
        <color indexed="17"/>
      </top>
      <bottom style="thin">
        <color auto="1"/>
      </bottom>
      <diagonal/>
    </border>
    <border>
      <left/>
      <right/>
      <top style="thin">
        <color indexed="17"/>
      </top>
      <bottom style="thin">
        <color auto="1"/>
      </bottom>
      <diagonal/>
    </border>
    <border>
      <left/>
      <right style="thin">
        <color indexed="17"/>
      </right>
      <top style="thin">
        <color indexed="1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18"/>
      </top>
      <bottom/>
      <diagonal/>
    </border>
    <border>
      <left/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ck">
        <color indexed="18"/>
      </right>
      <top style="thin">
        <color indexed="18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ck">
        <color indexed="1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18"/>
      </left>
      <right style="thin">
        <color indexed="64"/>
      </right>
      <top/>
      <bottom style="thin">
        <color indexed="18"/>
      </bottom>
      <diagonal/>
    </border>
    <border>
      <left style="thin">
        <color indexed="8"/>
      </left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indexed="64"/>
      </bottom>
      <diagonal/>
    </border>
    <border>
      <left style="thin">
        <color indexed="18"/>
      </left>
      <right style="thin">
        <color indexed="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64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thick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64"/>
      </right>
      <top/>
      <bottom style="thin">
        <color indexed="18"/>
      </bottom>
      <diagonal/>
    </border>
    <border>
      <left style="thin">
        <color indexed="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ck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64"/>
      </bottom>
      <diagonal/>
    </border>
    <border>
      <left/>
      <right style="thin">
        <color indexed="18"/>
      </right>
      <top/>
      <bottom/>
      <diagonal/>
    </border>
    <border>
      <left style="thin">
        <color indexed="64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thin">
        <color indexed="17"/>
      </left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64"/>
      </right>
      <top style="thin">
        <color indexed="18"/>
      </top>
      <bottom style="thin">
        <color indexed="64"/>
      </bottom>
      <diagonal/>
    </border>
    <border>
      <left style="thin">
        <color indexed="18"/>
      </left>
      <right style="thin">
        <color indexed="17"/>
      </right>
      <top/>
      <bottom style="thin">
        <color indexed="18"/>
      </bottom>
      <diagonal/>
    </border>
    <border>
      <left style="thin">
        <color indexed="17"/>
      </left>
      <right style="thin">
        <color indexed="17"/>
      </right>
      <top/>
      <bottom style="thin">
        <color indexed="18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/>
      <diagonal/>
    </border>
    <border>
      <left style="thick">
        <color indexed="18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ck">
        <color indexed="64"/>
      </bottom>
      <diagonal/>
    </border>
    <border>
      <left style="thin">
        <color indexed="8"/>
      </left>
      <right style="thin">
        <color indexed="18"/>
      </right>
      <top style="thin">
        <color indexed="64"/>
      </top>
      <bottom style="thick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64"/>
      </top>
      <bottom style="thick">
        <color indexed="64"/>
      </bottom>
      <diagonal/>
    </border>
    <border>
      <left style="thin">
        <color indexed="18"/>
      </left>
      <right style="thin">
        <color indexed="8"/>
      </right>
      <top style="thin">
        <color indexed="64"/>
      </top>
      <bottom style="thick">
        <color indexed="64"/>
      </bottom>
      <diagonal/>
    </border>
    <border>
      <left style="thin">
        <color indexed="8"/>
      </left>
      <right style="thick">
        <color indexed="18"/>
      </right>
      <top style="thin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1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ck">
        <color indexed="18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ck">
        <color indexed="1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medium">
        <color indexed="64"/>
      </bottom>
      <diagonal/>
    </border>
    <border>
      <left style="thin">
        <color indexed="18"/>
      </left>
      <right style="thick">
        <color indexed="1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ck">
        <color indexed="18"/>
      </left>
      <right style="thin">
        <color indexed="64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18"/>
      </right>
      <top style="thin">
        <color indexed="64"/>
      </top>
      <bottom style="thick">
        <color indexed="18"/>
      </bottom>
      <diagonal/>
    </border>
    <border>
      <left style="thin">
        <color indexed="64"/>
      </left>
      <right style="thin">
        <color indexed="64"/>
      </right>
      <top/>
      <bottom style="thick">
        <color indexed="18"/>
      </bottom>
      <diagonal/>
    </border>
    <border>
      <left style="thin">
        <color indexed="64"/>
      </left>
      <right/>
      <top/>
      <bottom style="thick">
        <color indexed="18"/>
      </bottom>
      <diagonal/>
    </border>
    <border>
      <left/>
      <right style="thin">
        <color indexed="64"/>
      </right>
      <top style="thin">
        <color indexed="64"/>
      </top>
      <bottom style="thick">
        <color indexed="18"/>
      </bottom>
      <diagonal/>
    </border>
    <border>
      <left style="thin">
        <color indexed="8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17"/>
      </left>
      <right style="thin">
        <color auto="1"/>
      </right>
      <top style="thick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 style="thin">
        <color indexed="8"/>
      </right>
      <top style="thick">
        <color indexed="64"/>
      </top>
      <bottom style="medium">
        <color indexed="8"/>
      </bottom>
      <diagonal/>
    </border>
    <border>
      <left style="thick">
        <color indexed="18"/>
      </left>
      <right style="thick">
        <color indexed="18"/>
      </right>
      <top style="thick">
        <color indexed="64"/>
      </top>
      <bottom style="medium">
        <color indexed="8"/>
      </bottom>
      <diagonal/>
    </border>
    <border>
      <left style="thick">
        <color indexed="18"/>
      </left>
      <right style="thick">
        <color indexed="1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ck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medium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31" fillId="0" borderId="0" applyNumberFormat="0" applyFill="0" applyBorder="0" applyProtection="0">
      <alignment vertical="top" wrapText="1"/>
    </xf>
    <xf numFmtId="0" fontId="32" fillId="0" borderId="0">
      <alignment vertical="center"/>
    </xf>
  </cellStyleXfs>
  <cellXfs count="648">
    <xf numFmtId="0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6" fillId="0" borderId="0" xfId="0" applyNumberFormat="1" applyFont="1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9" fontId="8" fillId="0" borderId="3" xfId="0" applyNumberFormat="1" applyFont="1" applyFill="1" applyBorder="1" applyAlignment="1">
      <alignment horizontal="right" vertical="center"/>
    </xf>
    <xf numFmtId="10" fontId="9" fillId="0" borderId="3" xfId="0" applyNumberFormat="1" applyFont="1" applyFill="1" applyBorder="1" applyAlignment="1">
      <alignment horizontal="right" vertical="center"/>
    </xf>
    <xf numFmtId="9" fontId="9" fillId="0" borderId="3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shrinkToFit="1"/>
    </xf>
    <xf numFmtId="0" fontId="14" fillId="0" borderId="27" xfId="0" applyFont="1" applyFill="1" applyBorder="1" applyAlignment="1">
      <alignment horizontal="center" vertical="center"/>
    </xf>
    <xf numFmtId="49" fontId="0" fillId="0" borderId="5" xfId="0" applyNumberFormat="1" applyFill="1" applyBorder="1">
      <alignment vertical="center"/>
    </xf>
    <xf numFmtId="49" fontId="0" fillId="0" borderId="6" xfId="0" applyNumberFormat="1" applyFill="1" applyBorder="1" applyAlignment="1">
      <alignment horizontal="center" vertical="center"/>
    </xf>
    <xf numFmtId="49" fontId="15" fillId="0" borderId="28" xfId="0" applyNumberFormat="1" applyFont="1" applyFill="1" applyBorder="1" applyAlignment="1">
      <alignment horizontal="center" vertical="center"/>
    </xf>
    <xf numFmtId="0" fontId="0" fillId="0" borderId="7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176" fontId="15" fillId="0" borderId="29" xfId="0" applyNumberFormat="1" applyFont="1" applyFill="1" applyBorder="1">
      <alignment vertical="center"/>
    </xf>
    <xf numFmtId="176" fontId="0" fillId="0" borderId="30" xfId="0" applyNumberFormat="1" applyFill="1" applyBorder="1">
      <alignment vertical="center"/>
    </xf>
    <xf numFmtId="176" fontId="0" fillId="0" borderId="25" xfId="0" applyNumberFormat="1" applyFill="1" applyBorder="1" applyAlignment="1">
      <alignment horizontal="center" vertical="center"/>
    </xf>
    <xf numFmtId="176" fontId="15" fillId="0" borderId="25" xfId="0" applyNumberFormat="1" applyFont="1" applyFill="1" applyBorder="1" applyAlignment="1">
      <alignment horizontal="center" vertical="center"/>
    </xf>
    <xf numFmtId="176" fontId="0" fillId="0" borderId="31" xfId="0" applyNumberFormat="1" applyFill="1" applyBorder="1">
      <alignment vertical="center"/>
    </xf>
    <xf numFmtId="49" fontId="4" fillId="0" borderId="6" xfId="0" applyNumberFormat="1" applyFont="1" applyFill="1" applyBorder="1" applyAlignment="1">
      <alignment horizontal="center" vertical="center" shrinkToFi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79" fontId="8" fillId="0" borderId="3" xfId="0" applyNumberFormat="1" applyFont="1" applyFill="1" applyBorder="1" applyAlignment="1">
      <alignment horizontal="right" vertical="center"/>
    </xf>
    <xf numFmtId="179" fontId="9" fillId="0" borderId="3" xfId="0" applyNumberFormat="1" applyFont="1" applyFill="1" applyBorder="1" applyAlignment="1">
      <alignment horizontal="right" vertical="center"/>
    </xf>
    <xf numFmtId="178" fontId="8" fillId="0" borderId="3" xfId="0" applyNumberFormat="1" applyFont="1" applyFill="1" applyBorder="1" applyAlignment="1">
      <alignment horizontal="right" vertical="center"/>
    </xf>
    <xf numFmtId="0" fontId="4" fillId="0" borderId="33" xfId="0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 shrinkToFit="1"/>
    </xf>
    <xf numFmtId="0" fontId="18" fillId="0" borderId="3" xfId="0" applyNumberFormat="1" applyFont="1" applyFill="1" applyBorder="1">
      <alignment vertical="center"/>
    </xf>
    <xf numFmtId="0" fontId="18" fillId="0" borderId="0" xfId="0" applyNumberFormat="1" applyFont="1" applyFill="1" applyBorder="1">
      <alignment vertical="center"/>
    </xf>
    <xf numFmtId="0" fontId="18" fillId="0" borderId="3" xfId="0" applyNumberFormat="1" applyFont="1" applyFill="1" applyBorder="1" applyAlignment="1">
      <alignment horizontal="center" vertical="center"/>
    </xf>
    <xf numFmtId="3" fontId="18" fillId="0" borderId="3" xfId="0" applyNumberFormat="1" applyFont="1" applyFill="1" applyBorder="1">
      <alignment vertical="center"/>
    </xf>
    <xf numFmtId="0" fontId="18" fillId="0" borderId="0" xfId="0" applyFont="1" applyFill="1" applyBorder="1">
      <alignment vertical="center"/>
    </xf>
    <xf numFmtId="0" fontId="18" fillId="0" borderId="0" xfId="0" applyNumberFormat="1" applyFont="1" applyFill="1" applyBorder="1" applyAlignment="1">
      <alignment vertical="center" shrinkToFit="1"/>
    </xf>
    <xf numFmtId="49" fontId="18" fillId="0" borderId="4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right" vertical="center" shrinkToFit="1"/>
    </xf>
    <xf numFmtId="3" fontId="18" fillId="0" borderId="3" xfId="0" applyNumberFormat="1" applyFont="1" applyFill="1" applyBorder="1" applyAlignment="1">
      <alignment horizontal="right" vertical="center" shrinkToFit="1"/>
    </xf>
    <xf numFmtId="0" fontId="18" fillId="0" borderId="3" xfId="0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0" fillId="0" borderId="8" xfId="0" applyFont="1" applyFill="1" applyBorder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0" fontId="10" fillId="0" borderId="10" xfId="0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0" fillId="0" borderId="2" xfId="0" applyFont="1" applyFill="1" applyBorder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3" xfId="0" applyFont="1" applyFill="1" applyBorder="1">
      <alignment vertical="center"/>
    </xf>
    <xf numFmtId="0" fontId="10" fillId="0" borderId="14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vertical="center" shrinkToFit="1"/>
    </xf>
    <xf numFmtId="0" fontId="1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shrinkToFit="1"/>
    </xf>
    <xf numFmtId="0" fontId="10" fillId="0" borderId="19" xfId="0" applyFont="1" applyFill="1" applyBorder="1">
      <alignment vertical="center"/>
    </xf>
    <xf numFmtId="0" fontId="10" fillId="0" borderId="21" xfId="0" applyFont="1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49" fontId="10" fillId="0" borderId="34" xfId="0" applyNumberFormat="1" applyFont="1" applyFill="1" applyBorder="1" applyAlignment="1">
      <alignment horizontal="center" vertical="center"/>
    </xf>
    <xf numFmtId="49" fontId="13" fillId="0" borderId="34" xfId="0" applyNumberFormat="1" applyFont="1" applyFill="1" applyBorder="1" applyAlignment="1">
      <alignment horizontal="center" vertical="center"/>
    </xf>
    <xf numFmtId="49" fontId="10" fillId="0" borderId="35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19" fillId="0" borderId="3" xfId="0" applyNumberFormat="1" applyFont="1" applyFill="1" applyBorder="1" applyAlignment="1">
      <alignment horizontal="center" vertical="center"/>
    </xf>
    <xf numFmtId="0" fontId="10" fillId="0" borderId="37" xfId="0" applyFont="1" applyFill="1" applyBorder="1">
      <alignment vertical="center"/>
    </xf>
    <xf numFmtId="49" fontId="10" fillId="0" borderId="38" xfId="0" applyNumberFormat="1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0" fillId="0" borderId="42" xfId="0" applyFont="1" applyFill="1" applyBorder="1">
      <alignment vertical="center"/>
    </xf>
    <xf numFmtId="0" fontId="21" fillId="0" borderId="0" xfId="0" applyNumberFormat="1" applyFont="1" applyFill="1">
      <alignment vertical="center"/>
    </xf>
    <xf numFmtId="49" fontId="22" fillId="0" borderId="34" xfId="0" applyNumberFormat="1" applyFont="1" applyFill="1" applyBorder="1" applyAlignment="1">
      <alignment horizontal="center" vertical="center"/>
    </xf>
    <xf numFmtId="0" fontId="23" fillId="0" borderId="0" xfId="0" applyNumberFormat="1" applyFont="1" applyFill="1">
      <alignment vertical="center"/>
    </xf>
    <xf numFmtId="177" fontId="20" fillId="0" borderId="3" xfId="0" applyNumberFormat="1" applyFont="1" applyFill="1" applyBorder="1" applyAlignment="1">
      <alignment horizontal="center" vertical="center"/>
    </xf>
    <xf numFmtId="177" fontId="20" fillId="0" borderId="41" xfId="0" applyNumberFormat="1" applyFont="1" applyFill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/>
    </xf>
    <xf numFmtId="177" fontId="20" fillId="0" borderId="12" xfId="0" applyNumberFormat="1" applyFont="1" applyFill="1" applyBorder="1" applyAlignment="1">
      <alignment horizontal="center" vertical="center"/>
    </xf>
    <xf numFmtId="177" fontId="20" fillId="0" borderId="17" xfId="0" applyNumberFormat="1" applyFont="1" applyFill="1" applyBorder="1" applyAlignment="1">
      <alignment horizontal="center" vertical="center"/>
    </xf>
    <xf numFmtId="177" fontId="20" fillId="0" borderId="20" xfId="0" applyNumberFormat="1" applyFont="1" applyFill="1" applyBorder="1" applyAlignment="1">
      <alignment horizontal="center" vertical="center"/>
    </xf>
    <xf numFmtId="3" fontId="22" fillId="0" borderId="3" xfId="0" applyNumberFormat="1" applyFont="1" applyFill="1" applyBorder="1" applyAlignment="1">
      <alignment horizontal="center" vertical="center"/>
    </xf>
    <xf numFmtId="3" fontId="19" fillId="0" borderId="41" xfId="0" applyNumberFormat="1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horizontal="center" vertical="center"/>
    </xf>
    <xf numFmtId="3" fontId="19" fillId="0" borderId="1" xfId="0" applyNumberFormat="1" applyFont="1" applyFill="1" applyBorder="1" applyAlignment="1">
      <alignment horizontal="center" vertical="center"/>
    </xf>
    <xf numFmtId="3" fontId="19" fillId="0" borderId="18" xfId="0" applyNumberFormat="1" applyFont="1" applyFill="1" applyBorder="1" applyAlignment="1">
      <alignment horizontal="center" vertical="center"/>
    </xf>
    <xf numFmtId="176" fontId="0" fillId="0" borderId="43" xfId="0" applyNumberFormat="1" applyFill="1" applyBorder="1">
      <alignment vertical="center"/>
    </xf>
    <xf numFmtId="176" fontId="0" fillId="0" borderId="32" xfId="0" applyNumberFormat="1" applyFill="1" applyBorder="1">
      <alignment vertical="center"/>
    </xf>
    <xf numFmtId="176" fontId="0" fillId="0" borderId="33" xfId="0" applyNumberFormat="1" applyFill="1" applyBorder="1">
      <alignment vertical="center"/>
    </xf>
    <xf numFmtId="180" fontId="0" fillId="0" borderId="3" xfId="0" applyNumberFormat="1" applyFill="1" applyBorder="1">
      <alignment vertical="center"/>
    </xf>
    <xf numFmtId="0" fontId="4" fillId="0" borderId="44" xfId="0" applyFont="1" applyFill="1" applyBorder="1" applyAlignment="1">
      <alignment horizontal="center" vertical="center"/>
    </xf>
    <xf numFmtId="176" fontId="0" fillId="0" borderId="44" xfId="0" applyNumberFormat="1" applyFill="1" applyBorder="1">
      <alignment vertical="center"/>
    </xf>
    <xf numFmtId="180" fontId="0" fillId="0" borderId="44" xfId="0" applyNumberFormat="1" applyFill="1" applyBorder="1">
      <alignment vertical="center"/>
    </xf>
    <xf numFmtId="176" fontId="0" fillId="0" borderId="45" xfId="0" applyNumberFormat="1" applyFill="1" applyBorder="1">
      <alignment vertical="center"/>
    </xf>
    <xf numFmtId="3" fontId="19" fillId="0" borderId="33" xfId="0" applyNumberFormat="1" applyFont="1" applyFill="1" applyBorder="1" applyAlignment="1">
      <alignment horizontal="center" vertical="center"/>
    </xf>
    <xf numFmtId="177" fontId="20" fillId="0" borderId="44" xfId="0" applyNumberFormat="1" applyFont="1" applyFill="1" applyBorder="1" applyAlignment="1">
      <alignment horizontal="center" vertical="center"/>
    </xf>
    <xf numFmtId="3" fontId="19" fillId="0" borderId="44" xfId="0" applyNumberFormat="1" applyFont="1" applyFill="1" applyBorder="1" applyAlignment="1">
      <alignment horizontal="center" vertical="center"/>
    </xf>
    <xf numFmtId="49" fontId="10" fillId="0" borderId="46" xfId="0" applyNumberFormat="1" applyFont="1" applyFill="1" applyBorder="1">
      <alignment vertical="center"/>
    </xf>
    <xf numFmtId="177" fontId="20" fillId="0" borderId="49" xfId="0" applyNumberFormat="1" applyFont="1" applyFill="1" applyBorder="1" applyAlignment="1">
      <alignment horizontal="center" vertical="center"/>
    </xf>
    <xf numFmtId="0" fontId="10" fillId="0" borderId="51" xfId="0" applyNumberFormat="1" applyFont="1" applyFill="1" applyBorder="1" applyAlignment="1">
      <alignment horizontal="center" vertical="center"/>
    </xf>
    <xf numFmtId="0" fontId="10" fillId="0" borderId="33" xfId="0" applyNumberFormat="1" applyFont="1" applyFill="1" applyBorder="1" applyAlignment="1">
      <alignment horizontal="center" vertical="center"/>
    </xf>
    <xf numFmtId="0" fontId="10" fillId="0" borderId="36" xfId="0" applyFont="1" applyFill="1" applyBorder="1">
      <alignment vertical="center"/>
    </xf>
    <xf numFmtId="49" fontId="10" fillId="0" borderId="33" xfId="0" applyNumberFormat="1" applyFont="1" applyFill="1" applyBorder="1">
      <alignment vertical="center"/>
    </xf>
    <xf numFmtId="0" fontId="10" fillId="0" borderId="52" xfId="0" applyNumberFormat="1" applyFont="1" applyFill="1" applyBorder="1" applyAlignment="1">
      <alignment horizontal="center" vertical="center"/>
    </xf>
    <xf numFmtId="0" fontId="10" fillId="0" borderId="45" xfId="0" applyNumberFormat="1" applyFont="1" applyFill="1" applyBorder="1" applyAlignment="1">
      <alignment horizontal="center" vertical="center"/>
    </xf>
    <xf numFmtId="49" fontId="10" fillId="0" borderId="44" xfId="0" applyNumberFormat="1" applyFont="1" applyFill="1" applyBorder="1">
      <alignment vertical="center"/>
    </xf>
    <xf numFmtId="3" fontId="25" fillId="0" borderId="44" xfId="0" applyNumberFormat="1" applyFont="1" applyFill="1" applyBorder="1" applyAlignment="1">
      <alignment horizontal="center" vertical="center"/>
    </xf>
    <xf numFmtId="0" fontId="10" fillId="0" borderId="48" xfId="0" applyFont="1" applyFill="1" applyBorder="1">
      <alignment vertical="center"/>
    </xf>
    <xf numFmtId="0" fontId="10" fillId="0" borderId="53" xfId="0" applyNumberFormat="1" applyFont="1" applyFill="1" applyBorder="1" applyAlignment="1">
      <alignment horizontal="center" vertical="center"/>
    </xf>
    <xf numFmtId="0" fontId="10" fillId="0" borderId="44" xfId="0" applyNumberFormat="1" applyFont="1" applyFill="1" applyBorder="1" applyAlignment="1">
      <alignment horizontal="center" vertical="center"/>
    </xf>
    <xf numFmtId="0" fontId="10" fillId="0" borderId="46" xfId="0" applyFont="1" applyFill="1" applyBorder="1">
      <alignment vertical="center"/>
    </xf>
    <xf numFmtId="3" fontId="19" fillId="0" borderId="49" xfId="0" applyNumberFormat="1" applyFont="1" applyFill="1" applyBorder="1" applyAlignment="1">
      <alignment horizontal="center" vertical="center"/>
    </xf>
    <xf numFmtId="0" fontId="10" fillId="0" borderId="50" xfId="0" applyFont="1" applyFill="1" applyBorder="1">
      <alignment vertical="center"/>
    </xf>
    <xf numFmtId="49" fontId="0" fillId="0" borderId="6" xfId="0" applyNumberFormat="1" applyFill="1" applyBorder="1" applyAlignment="1">
      <alignment horizontal="center" vertical="center" shrinkToFit="1"/>
    </xf>
    <xf numFmtId="49" fontId="11" fillId="0" borderId="3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38" fontId="26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9" fontId="27" fillId="0" borderId="3" xfId="0" applyNumberFormat="1" applyFont="1" applyFill="1" applyBorder="1" applyAlignment="1">
      <alignment horizontal="right" vertical="center"/>
    </xf>
    <xf numFmtId="9" fontId="28" fillId="0" borderId="3" xfId="0" applyNumberFormat="1" applyFont="1" applyFill="1" applyBorder="1" applyAlignment="1">
      <alignment horizontal="right" vertical="center"/>
    </xf>
    <xf numFmtId="178" fontId="28" fillId="2" borderId="3" xfId="0" applyNumberFormat="1" applyFont="1" applyFill="1" applyBorder="1" applyAlignment="1">
      <alignment horizontal="right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vertical="center" wrapText="1" shrinkToFit="1"/>
    </xf>
    <xf numFmtId="0" fontId="18" fillId="3" borderId="3" xfId="0" applyNumberFormat="1" applyFont="1" applyFill="1" applyBorder="1" applyAlignment="1">
      <alignment horizontal="center" vertical="center"/>
    </xf>
    <xf numFmtId="49" fontId="18" fillId="0" borderId="54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8" fillId="0" borderId="54" xfId="0" applyNumberFormat="1" applyFont="1" applyFill="1" applyBorder="1" applyAlignment="1">
      <alignment horizontal="center" vertical="center"/>
    </xf>
    <xf numFmtId="49" fontId="3" fillId="0" borderId="54" xfId="0" applyNumberFormat="1" applyFont="1" applyFill="1" applyBorder="1">
      <alignment vertical="center"/>
    </xf>
    <xf numFmtId="0" fontId="18" fillId="3" borderId="54" xfId="0" applyNumberFormat="1" applyFont="1" applyFill="1" applyBorder="1" applyAlignment="1">
      <alignment horizontal="center" vertical="center"/>
    </xf>
    <xf numFmtId="3" fontId="18" fillId="0" borderId="0" xfId="0" applyNumberFormat="1" applyFont="1" applyFill="1" applyBorder="1" applyAlignment="1">
      <alignment vertical="center" shrinkToFit="1"/>
    </xf>
    <xf numFmtId="49" fontId="3" fillId="0" borderId="41" xfId="0" applyNumberFormat="1" applyFont="1" applyFill="1" applyBorder="1">
      <alignment vertical="center"/>
    </xf>
    <xf numFmtId="3" fontId="30" fillId="0" borderId="54" xfId="0" applyNumberFormat="1" applyFont="1" applyFill="1" applyBorder="1" applyAlignment="1">
      <alignment horizontal="right" vertical="center"/>
    </xf>
    <xf numFmtId="3" fontId="30" fillId="0" borderId="3" xfId="0" applyNumberFormat="1" applyFont="1" applyFill="1" applyBorder="1" applyAlignment="1">
      <alignment horizontal="right" vertical="center"/>
    </xf>
    <xf numFmtId="182" fontId="33" fillId="0" borderId="3" xfId="0" applyNumberFormat="1" applyFont="1" applyFill="1" applyBorder="1" applyAlignment="1">
      <alignment horizontal="right" vertical="center"/>
    </xf>
    <xf numFmtId="3" fontId="30" fillId="3" borderId="3" xfId="0" applyNumberFormat="1" applyFont="1" applyFill="1" applyBorder="1" applyAlignment="1">
      <alignment horizontal="right" vertical="center"/>
    </xf>
    <xf numFmtId="0" fontId="18" fillId="3" borderId="0" xfId="0" applyNumberFormat="1" applyFont="1" applyFill="1" applyBorder="1" applyAlignment="1">
      <alignment vertical="center" shrinkToFit="1"/>
    </xf>
    <xf numFmtId="49" fontId="35" fillId="2" borderId="3" xfId="0" applyNumberFormat="1" applyFont="1" applyFill="1" applyBorder="1" applyAlignment="1">
      <alignment horizontal="center" vertical="center" wrapText="1"/>
    </xf>
    <xf numFmtId="176" fontId="3" fillId="3" borderId="41" xfId="0" applyNumberFormat="1" applyFont="1" applyFill="1" applyBorder="1" applyAlignment="1">
      <alignment horizontal="right" vertical="center"/>
    </xf>
    <xf numFmtId="0" fontId="18" fillId="0" borderId="54" xfId="0" applyNumberFormat="1" applyFont="1" applyFill="1" applyBorder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3" fillId="0" borderId="54" xfId="0" applyFont="1" applyFill="1" applyBorder="1">
      <alignment vertical="center"/>
    </xf>
    <xf numFmtId="181" fontId="3" fillId="0" borderId="0" xfId="1" applyNumberFormat="1" applyFont="1" applyFill="1">
      <alignment vertical="center"/>
    </xf>
    <xf numFmtId="49" fontId="5" fillId="0" borderId="3" xfId="0" applyNumberFormat="1" applyFont="1" applyFill="1" applyBorder="1">
      <alignment vertical="center"/>
    </xf>
    <xf numFmtId="49" fontId="5" fillId="0" borderId="54" xfId="0" applyNumberFormat="1" applyFont="1" applyFill="1" applyBorder="1">
      <alignment vertical="center"/>
    </xf>
    <xf numFmtId="0" fontId="3" fillId="0" borderId="3" xfId="0" applyNumberFormat="1" applyFont="1" applyFill="1" applyBorder="1">
      <alignment vertical="center"/>
    </xf>
    <xf numFmtId="49" fontId="17" fillId="0" borderId="3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1" fontId="3" fillId="0" borderId="0" xfId="0" applyNumberFormat="1" applyFont="1" applyFill="1">
      <alignment vertical="center"/>
    </xf>
    <xf numFmtId="49" fontId="5" fillId="0" borderId="41" xfId="0" applyNumberFormat="1" applyFont="1" applyFill="1" applyBorder="1">
      <alignment vertical="center"/>
    </xf>
    <xf numFmtId="181" fontId="3" fillId="3" borderId="0" xfId="1" applyNumberFormat="1" applyFont="1" applyFill="1">
      <alignment vertical="center"/>
    </xf>
    <xf numFmtId="0" fontId="3" fillId="0" borderId="0" xfId="0" applyFont="1" applyFill="1">
      <alignment vertical="center"/>
    </xf>
    <xf numFmtId="0" fontId="3" fillId="0" borderId="54" xfId="0" applyNumberFormat="1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horizontal="center" vertical="center"/>
    </xf>
    <xf numFmtId="49" fontId="12" fillId="0" borderId="36" xfId="0" applyNumberFormat="1" applyFont="1" applyFill="1" applyBorder="1">
      <alignment vertical="center"/>
    </xf>
    <xf numFmtId="49" fontId="10" fillId="0" borderId="59" xfId="0" applyNumberFormat="1" applyFont="1" applyFill="1" applyBorder="1" applyAlignment="1">
      <alignment vertical="center" shrinkToFit="1"/>
    </xf>
    <xf numFmtId="3" fontId="19" fillId="0" borderId="59" xfId="0" applyNumberFormat="1" applyFont="1" applyFill="1" applyBorder="1" applyAlignment="1">
      <alignment horizontal="center" vertical="center"/>
    </xf>
    <xf numFmtId="0" fontId="10" fillId="0" borderId="59" xfId="0" applyFont="1" applyFill="1" applyBorder="1">
      <alignment vertical="center"/>
    </xf>
    <xf numFmtId="177" fontId="20" fillId="0" borderId="60" xfId="0" applyNumberFormat="1" applyFont="1" applyFill="1" applyBorder="1" applyAlignment="1">
      <alignment horizontal="center" vertical="center"/>
    </xf>
    <xf numFmtId="177" fontId="20" fillId="0" borderId="61" xfId="0" applyNumberFormat="1" applyFont="1" applyFill="1" applyBorder="1" applyAlignment="1">
      <alignment horizontal="center" vertical="center"/>
    </xf>
    <xf numFmtId="49" fontId="10" fillId="0" borderId="45" xfId="0" applyNumberFormat="1" applyFont="1" applyFill="1" applyBorder="1" applyAlignment="1">
      <alignment vertical="center" shrinkToFit="1"/>
    </xf>
    <xf numFmtId="0" fontId="10" fillId="0" borderId="59" xfId="0" applyFont="1" applyFill="1" applyBorder="1" applyAlignment="1">
      <alignment horizontal="center" vertical="center"/>
    </xf>
    <xf numFmtId="0" fontId="10" fillId="0" borderId="59" xfId="0" applyNumberFormat="1" applyFont="1" applyFill="1" applyBorder="1" applyAlignment="1">
      <alignment horizontal="center" vertical="center"/>
    </xf>
    <xf numFmtId="49" fontId="36" fillId="0" borderId="59" xfId="0" applyNumberFormat="1" applyFont="1" applyFill="1" applyBorder="1">
      <alignment vertical="center"/>
    </xf>
    <xf numFmtId="0" fontId="10" fillId="0" borderId="62" xfId="0" applyFont="1" applyFill="1" applyBorder="1" applyAlignment="1">
      <alignment horizontal="center" vertical="center"/>
    </xf>
    <xf numFmtId="49" fontId="24" fillId="0" borderId="54" xfId="0" applyNumberFormat="1" applyFont="1" applyFill="1" applyBorder="1" applyAlignment="1">
      <alignment horizontal="center" vertical="center"/>
    </xf>
    <xf numFmtId="3" fontId="18" fillId="0" borderId="54" xfId="0" applyNumberFormat="1" applyFont="1" applyFill="1" applyBorder="1">
      <alignment vertical="center"/>
    </xf>
    <xf numFmtId="0" fontId="18" fillId="0" borderId="54" xfId="0" applyNumberFormat="1" applyFont="1" applyFill="1" applyBorder="1">
      <alignment vertical="center"/>
    </xf>
    <xf numFmtId="0" fontId="18" fillId="0" borderId="54" xfId="0" applyFont="1" applyFill="1" applyBorder="1">
      <alignment vertical="center"/>
    </xf>
    <xf numFmtId="49" fontId="4" fillId="0" borderId="8" xfId="0" applyNumberFormat="1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shrinkToFit="1"/>
    </xf>
    <xf numFmtId="178" fontId="11" fillId="0" borderId="59" xfId="0" applyNumberFormat="1" applyFont="1" applyFill="1" applyBorder="1">
      <alignment vertical="center"/>
    </xf>
    <xf numFmtId="0" fontId="3" fillId="0" borderId="59" xfId="0" applyFont="1" applyFill="1" applyBorder="1">
      <alignment vertical="center"/>
    </xf>
    <xf numFmtId="0" fontId="3" fillId="0" borderId="59" xfId="0" applyFont="1" applyFill="1" applyBorder="1" applyAlignment="1">
      <alignment vertical="center" shrinkToFit="1"/>
    </xf>
    <xf numFmtId="178" fontId="10" fillId="0" borderId="59" xfId="0" applyNumberFormat="1" applyFont="1" applyFill="1" applyBorder="1">
      <alignment vertical="center"/>
    </xf>
    <xf numFmtId="0" fontId="10" fillId="0" borderId="4" xfId="0" applyFont="1" applyFill="1" applyBorder="1" applyAlignment="1">
      <alignment horizontal="center" vertical="center"/>
    </xf>
    <xf numFmtId="178" fontId="10" fillId="0" borderId="4" xfId="0" applyNumberFormat="1" applyFont="1" applyFill="1" applyBorder="1">
      <alignment vertical="center"/>
    </xf>
    <xf numFmtId="177" fontId="20" fillId="0" borderId="64" xfId="0" applyNumberFormat="1" applyFont="1" applyFill="1" applyBorder="1" applyAlignment="1">
      <alignment horizontal="center" vertical="center"/>
    </xf>
    <xf numFmtId="3" fontId="19" fillId="0" borderId="22" xfId="0" applyNumberFormat="1" applyFont="1" applyFill="1" applyBorder="1" applyAlignment="1">
      <alignment horizontal="center" vertical="center"/>
    </xf>
    <xf numFmtId="0" fontId="10" fillId="0" borderId="65" xfId="0" applyFont="1" applyFill="1" applyBorder="1">
      <alignment vertical="center"/>
    </xf>
    <xf numFmtId="177" fontId="20" fillId="0" borderId="59" xfId="0" applyNumberFormat="1" applyFont="1" applyFill="1" applyBorder="1" applyAlignment="1">
      <alignment horizontal="center" vertical="center"/>
    </xf>
    <xf numFmtId="0" fontId="0" fillId="0" borderId="59" xfId="0" applyNumberFormat="1" applyFill="1" applyBorder="1">
      <alignment vertical="center"/>
    </xf>
    <xf numFmtId="0" fontId="21" fillId="0" borderId="59" xfId="0" applyNumberFormat="1" applyFont="1" applyFill="1" applyBorder="1">
      <alignment vertical="center"/>
    </xf>
    <xf numFmtId="0" fontId="23" fillId="0" borderId="59" xfId="0" applyNumberFormat="1" applyFont="1" applyFill="1" applyBorder="1">
      <alignment vertical="center"/>
    </xf>
    <xf numFmtId="0" fontId="6" fillId="0" borderId="59" xfId="0" applyNumberFormat="1" applyFont="1" applyFill="1" applyBorder="1">
      <alignment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1" xfId="0" applyNumberFormat="1" applyFont="1" applyFill="1" applyBorder="1" applyAlignment="1">
      <alignment horizontal="center" vertical="center"/>
    </xf>
    <xf numFmtId="176" fontId="3" fillId="3" borderId="41" xfId="0" applyNumberFormat="1" applyFont="1" applyFill="1" applyBorder="1" applyAlignment="1">
      <alignment horizontal="center" vertical="center"/>
    </xf>
    <xf numFmtId="177" fontId="17" fillId="0" borderId="3" xfId="0" applyNumberFormat="1" applyFont="1" applyFill="1" applyBorder="1" applyAlignment="1">
      <alignment horizontal="center" vertical="center"/>
    </xf>
    <xf numFmtId="177" fontId="5" fillId="0" borderId="54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77" fontId="5" fillId="0" borderId="4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54" xfId="0" applyNumberFormat="1" applyFont="1" applyFill="1" applyBorder="1" applyAlignment="1">
      <alignment horizontal="center" vertical="center"/>
    </xf>
    <xf numFmtId="0" fontId="18" fillId="3" borderId="59" xfId="0" applyNumberFormat="1" applyFont="1" applyFill="1" applyBorder="1" applyAlignment="1">
      <alignment horizontal="center" vertical="center"/>
    </xf>
    <xf numFmtId="49" fontId="18" fillId="0" borderId="59" xfId="0" applyNumberFormat="1" applyFont="1" applyFill="1" applyBorder="1" applyAlignment="1">
      <alignment horizontal="center" vertical="center"/>
    </xf>
    <xf numFmtId="177" fontId="5" fillId="0" borderId="62" xfId="0" applyNumberFormat="1" applyFont="1" applyFill="1" applyBorder="1" applyAlignment="1">
      <alignment horizontal="center" vertical="center"/>
    </xf>
    <xf numFmtId="176" fontId="3" fillId="0" borderId="59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vertical="center" shrinkToFit="1"/>
    </xf>
    <xf numFmtId="49" fontId="11" fillId="0" borderId="41" xfId="0" applyNumberFormat="1" applyFont="1" applyFill="1" applyBorder="1" applyAlignment="1">
      <alignment vertical="center" shrinkToFit="1"/>
    </xf>
    <xf numFmtId="3" fontId="38" fillId="0" borderId="3" xfId="0" applyNumberFormat="1" applyFont="1" applyFill="1" applyBorder="1" applyAlignment="1">
      <alignment horizontal="right" vertical="center"/>
    </xf>
    <xf numFmtId="3" fontId="38" fillId="0" borderId="54" xfId="0" applyNumberFormat="1" applyFont="1" applyFill="1" applyBorder="1" applyAlignment="1">
      <alignment horizontal="right" vertical="center"/>
    </xf>
    <xf numFmtId="3" fontId="38" fillId="0" borderId="3" xfId="0" applyNumberFormat="1" applyFont="1" applyFill="1" applyBorder="1" applyAlignment="1">
      <alignment horizontal="center" vertical="center"/>
    </xf>
    <xf numFmtId="176" fontId="38" fillId="0" borderId="54" xfId="0" applyNumberFormat="1" applyFont="1" applyFill="1" applyBorder="1" applyAlignment="1">
      <alignment horizontal="center" vertical="center" shrinkToFit="1"/>
    </xf>
    <xf numFmtId="176" fontId="38" fillId="0" borderId="3" xfId="0" applyNumberFormat="1" applyFont="1" applyFill="1" applyBorder="1" applyAlignment="1">
      <alignment horizontal="center" vertical="center" shrinkToFit="1"/>
    </xf>
    <xf numFmtId="176" fontId="38" fillId="0" borderId="59" xfId="0" applyNumberFormat="1" applyFont="1" applyFill="1" applyBorder="1" applyAlignment="1">
      <alignment horizontal="center" vertical="center" shrinkToFit="1"/>
    </xf>
    <xf numFmtId="3" fontId="24" fillId="0" borderId="3" xfId="0" applyNumberFormat="1" applyFont="1" applyFill="1" applyBorder="1">
      <alignment vertical="center"/>
    </xf>
    <xf numFmtId="3" fontId="38" fillId="3" borderId="59" xfId="0" applyNumberFormat="1" applyFont="1" applyFill="1" applyBorder="1" applyAlignment="1">
      <alignment horizontal="right" vertical="center"/>
    </xf>
    <xf numFmtId="3" fontId="38" fillId="0" borderId="59" xfId="0" applyNumberFormat="1" applyFont="1" applyFill="1" applyBorder="1" applyAlignment="1">
      <alignment horizontal="right" vertical="center"/>
    </xf>
    <xf numFmtId="3" fontId="24" fillId="0" borderId="59" xfId="0" applyNumberFormat="1" applyFont="1" applyFill="1" applyBorder="1">
      <alignment vertical="center"/>
    </xf>
    <xf numFmtId="3" fontId="24" fillId="0" borderId="54" xfId="0" applyNumberFormat="1" applyFont="1" applyFill="1" applyBorder="1">
      <alignment vertical="center"/>
    </xf>
    <xf numFmtId="49" fontId="39" fillId="0" borderId="54" xfId="0" applyNumberFormat="1" applyFont="1" applyFill="1" applyBorder="1" applyAlignment="1">
      <alignment horizontal="center" vertical="center"/>
    </xf>
    <xf numFmtId="0" fontId="39" fillId="4" borderId="54" xfId="0" applyFont="1" applyFill="1" applyBorder="1" applyAlignment="1">
      <alignment horizontal="center" vertical="center"/>
    </xf>
    <xf numFmtId="0" fontId="39" fillId="0" borderId="54" xfId="0" applyFont="1" applyFill="1" applyBorder="1" applyAlignment="1">
      <alignment horizontal="center" vertical="center"/>
    </xf>
    <xf numFmtId="0" fontId="39" fillId="0" borderId="54" xfId="0" applyNumberFormat="1" applyFont="1" applyFill="1" applyBorder="1" applyAlignment="1">
      <alignment horizontal="center" vertical="center"/>
    </xf>
    <xf numFmtId="0" fontId="40" fillId="0" borderId="54" xfId="0" applyFont="1" applyFill="1" applyBorder="1" applyAlignment="1">
      <alignment horizontal="center" vertical="center"/>
    </xf>
    <xf numFmtId="0" fontId="39" fillId="4" borderId="54" xfId="0" applyNumberFormat="1" applyFont="1" applyFill="1" applyBorder="1" applyAlignment="1">
      <alignment horizontal="center" vertical="center"/>
    </xf>
    <xf numFmtId="0" fontId="39" fillId="0" borderId="59" xfId="0" applyNumberFormat="1" applyFont="1" applyFill="1" applyBorder="1" applyAlignment="1">
      <alignment horizontal="center" vertical="center"/>
    </xf>
    <xf numFmtId="0" fontId="39" fillId="4" borderId="59" xfId="0" applyNumberFormat="1" applyFont="1" applyFill="1" applyBorder="1" applyAlignment="1">
      <alignment horizontal="center" vertical="center"/>
    </xf>
    <xf numFmtId="0" fontId="39" fillId="0" borderId="62" xfId="0" applyNumberFormat="1" applyFont="1" applyFill="1" applyBorder="1" applyAlignment="1">
      <alignment horizontal="center" vertical="center"/>
    </xf>
    <xf numFmtId="3" fontId="41" fillId="0" borderId="47" xfId="0" applyNumberFormat="1" applyFont="1" applyFill="1" applyBorder="1" applyAlignment="1">
      <alignment horizontal="center" vertical="center"/>
    </xf>
    <xf numFmtId="3" fontId="41" fillId="0" borderId="59" xfId="0" applyNumberFormat="1" applyFont="1" applyFill="1" applyBorder="1" applyAlignment="1">
      <alignment horizontal="center" vertical="center"/>
    </xf>
    <xf numFmtId="3" fontId="41" fillId="0" borderId="33" xfId="0" applyNumberFormat="1" applyFont="1" applyFill="1" applyBorder="1" applyAlignment="1">
      <alignment horizontal="center" vertical="center"/>
    </xf>
    <xf numFmtId="3" fontId="41" fillId="0" borderId="44" xfId="0" applyNumberFormat="1" applyFont="1" applyFill="1" applyBorder="1" applyAlignment="1">
      <alignment horizontal="center" vertical="center"/>
    </xf>
    <xf numFmtId="3" fontId="41" fillId="0" borderId="49" xfId="0" applyNumberFormat="1" applyFont="1" applyFill="1" applyBorder="1" applyAlignment="1">
      <alignment horizontal="center" vertical="center"/>
    </xf>
    <xf numFmtId="3" fontId="41" fillId="0" borderId="1" xfId="0" applyNumberFormat="1" applyFont="1" applyFill="1" applyBorder="1" applyAlignment="1">
      <alignment horizontal="center" vertical="center"/>
    </xf>
    <xf numFmtId="3" fontId="42" fillId="0" borderId="3" xfId="0" applyNumberFormat="1" applyFont="1" applyFill="1" applyBorder="1" applyAlignment="1">
      <alignment horizontal="center" vertical="center"/>
    </xf>
    <xf numFmtId="176" fontId="42" fillId="0" borderId="3" xfId="0" applyNumberFormat="1" applyFont="1" applyFill="1" applyBorder="1" applyAlignment="1">
      <alignment horizontal="center" vertical="center" shrinkToFit="1"/>
    </xf>
    <xf numFmtId="176" fontId="42" fillId="0" borderId="54" xfId="0" applyNumberFormat="1" applyFont="1" applyFill="1" applyBorder="1" applyAlignment="1">
      <alignment horizontal="center" vertical="center" shrinkToFit="1"/>
    </xf>
    <xf numFmtId="0" fontId="3" fillId="0" borderId="66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66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177" fontId="5" fillId="0" borderId="66" xfId="0" applyNumberFormat="1" applyFont="1" applyFill="1" applyBorder="1" applyAlignment="1">
      <alignment horizontal="center" vertical="center"/>
    </xf>
    <xf numFmtId="49" fontId="3" fillId="0" borderId="66" xfId="0" applyNumberFormat="1" applyFont="1" applyFill="1" applyBorder="1">
      <alignment vertical="center"/>
    </xf>
    <xf numFmtId="49" fontId="18" fillId="3" borderId="3" xfId="0" applyNumberFormat="1" applyFont="1" applyFill="1" applyBorder="1" applyAlignment="1">
      <alignment horizontal="center" vertical="center" shrinkToFit="1"/>
    </xf>
    <xf numFmtId="3" fontId="30" fillId="0" borderId="3" xfId="0" applyNumberFormat="1" applyFont="1" applyFill="1" applyBorder="1" applyAlignment="1">
      <alignment horizontal="center" vertical="center"/>
    </xf>
    <xf numFmtId="3" fontId="38" fillId="0" borderId="54" xfId="0" applyNumberFormat="1" applyFont="1" applyFill="1" applyBorder="1" applyAlignment="1">
      <alignment horizontal="center" vertical="center"/>
    </xf>
    <xf numFmtId="3" fontId="38" fillId="3" borderId="3" xfId="0" applyNumberFormat="1" applyFont="1" applyFill="1" applyBorder="1" applyAlignment="1">
      <alignment horizontal="center" vertical="center"/>
    </xf>
    <xf numFmtId="3" fontId="38" fillId="0" borderId="4" xfId="0" applyNumberFormat="1" applyFont="1" applyFill="1" applyBorder="1" applyAlignment="1">
      <alignment horizontal="center" vertical="center"/>
    </xf>
    <xf numFmtId="3" fontId="38" fillId="3" borderId="54" xfId="0" applyNumberFormat="1" applyFont="1" applyFill="1" applyBorder="1" applyAlignment="1">
      <alignment horizontal="center" vertical="center"/>
    </xf>
    <xf numFmtId="3" fontId="38" fillId="3" borderId="59" xfId="0" applyNumberFormat="1" applyFont="1" applyFill="1" applyBorder="1" applyAlignment="1">
      <alignment horizontal="center" vertical="center"/>
    </xf>
    <xf numFmtId="3" fontId="38" fillId="0" borderId="59" xfId="0" applyNumberFormat="1" applyFont="1" applyFill="1" applyBorder="1" applyAlignment="1">
      <alignment horizontal="center" vertical="center"/>
    </xf>
    <xf numFmtId="3" fontId="42" fillId="3" borderId="54" xfId="0" applyNumberFormat="1" applyFont="1" applyFill="1" applyBorder="1" applyAlignment="1">
      <alignment horizontal="center" vertical="center"/>
    </xf>
    <xf numFmtId="3" fontId="46" fillId="0" borderId="3" xfId="0" applyNumberFormat="1" applyFont="1" applyFill="1" applyBorder="1" applyAlignment="1">
      <alignment horizontal="center" vertical="center"/>
    </xf>
    <xf numFmtId="49" fontId="11" fillId="0" borderId="62" xfId="0" applyNumberFormat="1" applyFont="1" applyFill="1" applyBorder="1" applyAlignment="1">
      <alignment vertical="center" shrinkToFit="1"/>
    </xf>
    <xf numFmtId="176" fontId="3" fillId="0" borderId="67" xfId="0" applyNumberFormat="1" applyFont="1" applyFill="1" applyBorder="1" applyAlignment="1">
      <alignment horizontal="center" vertical="center"/>
    </xf>
    <xf numFmtId="177" fontId="5" fillId="0" borderId="58" xfId="0" applyNumberFormat="1" applyFont="1" applyFill="1" applyBorder="1" applyAlignment="1">
      <alignment horizontal="center" vertical="center"/>
    </xf>
    <xf numFmtId="176" fontId="3" fillId="0" borderId="68" xfId="0" applyNumberFormat="1" applyFont="1" applyFill="1" applyBorder="1" applyAlignment="1">
      <alignment horizontal="center" vertical="center"/>
    </xf>
    <xf numFmtId="49" fontId="11" fillId="0" borderId="66" xfId="0" applyNumberFormat="1" applyFont="1" applyFill="1" applyBorder="1" applyAlignment="1">
      <alignment vertical="center" shrinkToFit="1"/>
    </xf>
    <xf numFmtId="0" fontId="10" fillId="0" borderId="69" xfId="0" applyFont="1" applyFill="1" applyBorder="1" applyAlignment="1">
      <alignment horizontal="center" vertical="center"/>
    </xf>
    <xf numFmtId="0" fontId="10" fillId="0" borderId="66" xfId="0" applyFont="1" applyFill="1" applyBorder="1" applyAlignment="1">
      <alignment horizontal="center" vertical="center"/>
    </xf>
    <xf numFmtId="177" fontId="20" fillId="0" borderId="66" xfId="0" applyNumberFormat="1" applyFont="1" applyFill="1" applyBorder="1" applyAlignment="1">
      <alignment horizontal="center" vertical="center"/>
    </xf>
    <xf numFmtId="3" fontId="41" fillId="0" borderId="66" xfId="0" applyNumberFormat="1" applyFont="1" applyFill="1" applyBorder="1" applyAlignment="1">
      <alignment horizontal="center" vertical="center"/>
    </xf>
    <xf numFmtId="0" fontId="10" fillId="0" borderId="70" xfId="0" applyFont="1" applyFill="1" applyBorder="1">
      <alignment vertical="center"/>
    </xf>
    <xf numFmtId="3" fontId="19" fillId="0" borderId="66" xfId="0" applyNumberFormat="1" applyFont="1" applyFill="1" applyBorder="1" applyAlignment="1">
      <alignment horizontal="center" vertical="center"/>
    </xf>
    <xf numFmtId="177" fontId="20" fillId="0" borderId="71" xfId="0" applyNumberFormat="1" applyFont="1" applyFill="1" applyBorder="1" applyAlignment="1">
      <alignment horizontal="center" vertical="center"/>
    </xf>
    <xf numFmtId="49" fontId="10" fillId="0" borderId="72" xfId="0" applyNumberFormat="1" applyFont="1" applyFill="1" applyBorder="1">
      <alignment vertical="center"/>
    </xf>
    <xf numFmtId="0" fontId="10" fillId="0" borderId="73" xfId="0" applyNumberFormat="1" applyFont="1" applyFill="1" applyBorder="1" applyAlignment="1">
      <alignment horizontal="center" vertical="center"/>
    </xf>
    <xf numFmtId="0" fontId="10" fillId="0" borderId="72" xfId="0" applyNumberFormat="1" applyFont="1" applyFill="1" applyBorder="1" applyAlignment="1">
      <alignment horizontal="center" vertical="center"/>
    </xf>
    <xf numFmtId="0" fontId="10" fillId="0" borderId="74" xfId="0" applyNumberFormat="1" applyFont="1" applyFill="1" applyBorder="1" applyAlignment="1">
      <alignment horizontal="center" vertical="center"/>
    </xf>
    <xf numFmtId="0" fontId="10" fillId="0" borderId="78" xfId="0" applyNumberFormat="1" applyFont="1" applyFill="1" applyBorder="1" applyAlignment="1">
      <alignment horizontal="center" vertical="center"/>
    </xf>
    <xf numFmtId="0" fontId="10" fillId="0" borderId="77" xfId="0" applyNumberFormat="1" applyFont="1" applyFill="1" applyBorder="1" applyAlignment="1">
      <alignment horizontal="center" vertical="center"/>
    </xf>
    <xf numFmtId="177" fontId="20" fillId="0" borderId="75" xfId="0" applyNumberFormat="1" applyFont="1" applyFill="1" applyBorder="1" applyAlignment="1">
      <alignment horizontal="center" vertical="center"/>
    </xf>
    <xf numFmtId="177" fontId="20" fillId="0" borderId="72" xfId="0" applyNumberFormat="1" applyFont="1" applyFill="1" applyBorder="1" applyAlignment="1">
      <alignment horizontal="center" vertical="center"/>
    </xf>
    <xf numFmtId="177" fontId="20" fillId="0" borderId="79" xfId="0" applyNumberFormat="1" applyFont="1" applyFill="1" applyBorder="1" applyAlignment="1">
      <alignment horizontal="center" vertical="center"/>
    </xf>
    <xf numFmtId="177" fontId="20" fillId="0" borderId="80" xfId="0" applyNumberFormat="1" applyFont="1" applyFill="1" applyBorder="1" applyAlignment="1">
      <alignment horizontal="center" vertical="center"/>
    </xf>
    <xf numFmtId="3" fontId="19" fillId="0" borderId="61" xfId="0" applyNumberFormat="1" applyFont="1" applyFill="1" applyBorder="1" applyAlignment="1">
      <alignment horizontal="center" vertical="center"/>
    </xf>
    <xf numFmtId="3" fontId="41" fillId="0" borderId="45" xfId="0" applyNumberFormat="1" applyFont="1" applyFill="1" applyBorder="1" applyAlignment="1">
      <alignment horizontal="center" vertical="center"/>
    </xf>
    <xf numFmtId="3" fontId="41" fillId="0" borderId="62" xfId="0" applyNumberFormat="1" applyFont="1" applyFill="1" applyBorder="1" applyAlignment="1">
      <alignment horizontal="center" vertical="center"/>
    </xf>
    <xf numFmtId="3" fontId="41" fillId="0" borderId="75" xfId="0" applyNumberFormat="1" applyFont="1" applyFill="1" applyBorder="1" applyAlignment="1">
      <alignment horizontal="center" vertical="center"/>
    </xf>
    <xf numFmtId="3" fontId="41" fillId="0" borderId="72" xfId="0" applyNumberFormat="1" applyFont="1" applyFill="1" applyBorder="1" applyAlignment="1">
      <alignment horizontal="center" vertical="center"/>
    </xf>
    <xf numFmtId="3" fontId="25" fillId="0" borderId="81" xfId="0" applyNumberFormat="1" applyFont="1" applyFill="1" applyBorder="1" applyAlignment="1">
      <alignment horizontal="center" vertical="center"/>
    </xf>
    <xf numFmtId="49" fontId="10" fillId="0" borderId="82" xfId="0" applyNumberFormat="1" applyFont="1" applyFill="1" applyBorder="1">
      <alignment vertical="center"/>
    </xf>
    <xf numFmtId="0" fontId="10" fillId="0" borderId="82" xfId="0" applyFont="1" applyFill="1" applyBorder="1">
      <alignment vertical="center"/>
    </xf>
    <xf numFmtId="3" fontId="22" fillId="0" borderId="83" xfId="0" applyNumberFormat="1" applyFont="1" applyFill="1" applyBorder="1" applyAlignment="1">
      <alignment horizontal="center" vertical="center"/>
    </xf>
    <xf numFmtId="3" fontId="19" fillId="0" borderId="72" xfId="0" applyNumberFormat="1" applyFont="1" applyFill="1" applyBorder="1" applyAlignment="1">
      <alignment horizontal="center" vertical="center"/>
    </xf>
    <xf numFmtId="3" fontId="41" fillId="0" borderId="84" xfId="0" applyNumberFormat="1" applyFont="1" applyFill="1" applyBorder="1" applyAlignment="1">
      <alignment horizontal="center" vertical="center"/>
    </xf>
    <xf numFmtId="3" fontId="22" fillId="0" borderId="84" xfId="0" applyNumberFormat="1" applyFont="1" applyFill="1" applyBorder="1" applyAlignment="1">
      <alignment horizontal="center" vertical="center"/>
    </xf>
    <xf numFmtId="0" fontId="10" fillId="0" borderId="85" xfId="0" applyFont="1" applyFill="1" applyBorder="1">
      <alignment vertical="center"/>
    </xf>
    <xf numFmtId="177" fontId="20" fillId="0" borderId="84" xfId="0" applyNumberFormat="1" applyFont="1" applyFill="1" applyBorder="1" applyAlignment="1">
      <alignment horizontal="center" vertical="center"/>
    </xf>
    <xf numFmtId="0" fontId="10" fillId="0" borderId="84" xfId="0" applyFont="1" applyFill="1" applyBorder="1" applyAlignment="1">
      <alignment horizontal="center" vertical="center"/>
    </xf>
    <xf numFmtId="0" fontId="10" fillId="0" borderId="87" xfId="0" applyNumberFormat="1" applyFont="1" applyFill="1" applyBorder="1" applyAlignment="1">
      <alignment horizontal="center" vertical="center"/>
    </xf>
    <xf numFmtId="0" fontId="10" fillId="0" borderId="88" xfId="0" applyNumberFormat="1" applyFont="1" applyFill="1" applyBorder="1" applyAlignment="1">
      <alignment horizontal="center" vertical="center"/>
    </xf>
    <xf numFmtId="0" fontId="10" fillId="0" borderId="86" xfId="0" applyFont="1" applyFill="1" applyBorder="1" applyAlignment="1">
      <alignment horizontal="center" vertical="center"/>
    </xf>
    <xf numFmtId="0" fontId="10" fillId="0" borderId="83" xfId="0" applyNumberFormat="1" applyFont="1" applyFill="1" applyBorder="1" applyAlignment="1">
      <alignment horizontal="center" vertical="center"/>
    </xf>
    <xf numFmtId="178" fontId="10" fillId="0" borderId="84" xfId="0" applyNumberFormat="1" applyFont="1" applyFill="1" applyBorder="1">
      <alignment vertical="center"/>
    </xf>
    <xf numFmtId="177" fontId="20" fillId="0" borderId="89" xfId="0" applyNumberFormat="1" applyFont="1" applyFill="1" applyBorder="1" applyAlignment="1">
      <alignment horizontal="center" vertical="center"/>
    </xf>
    <xf numFmtId="0" fontId="12" fillId="0" borderId="36" xfId="0" applyFont="1" applyFill="1" applyBorder="1">
      <alignment vertical="center"/>
    </xf>
    <xf numFmtId="0" fontId="10" fillId="0" borderId="87" xfId="0" applyFont="1" applyFill="1" applyBorder="1" applyAlignment="1">
      <alignment horizontal="center" vertical="center"/>
    </xf>
    <xf numFmtId="0" fontId="10" fillId="0" borderId="75" xfId="0" applyFont="1" applyFill="1" applyBorder="1" applyAlignment="1">
      <alignment horizontal="center" vertical="center"/>
    </xf>
    <xf numFmtId="0" fontId="11" fillId="0" borderId="75" xfId="0" applyFont="1" applyFill="1" applyBorder="1">
      <alignment vertical="center"/>
    </xf>
    <xf numFmtId="0" fontId="10" fillId="0" borderId="90" xfId="0" applyFont="1" applyFill="1" applyBorder="1">
      <alignment vertical="center"/>
    </xf>
    <xf numFmtId="3" fontId="19" fillId="0" borderId="75" xfId="0" applyNumberFormat="1" applyFont="1" applyFill="1" applyBorder="1" applyAlignment="1">
      <alignment horizontal="center" vertical="center"/>
    </xf>
    <xf numFmtId="3" fontId="19" fillId="0" borderId="84" xfId="0" applyNumberFormat="1" applyFont="1" applyFill="1" applyBorder="1" applyAlignment="1">
      <alignment horizontal="center" vertical="center"/>
    </xf>
    <xf numFmtId="0" fontId="0" fillId="0" borderId="91" xfId="0" applyFill="1" applyBorder="1">
      <alignment vertical="center"/>
    </xf>
    <xf numFmtId="0" fontId="3" fillId="0" borderId="92" xfId="0" applyFont="1" applyFill="1" applyBorder="1">
      <alignment vertical="center"/>
    </xf>
    <xf numFmtId="0" fontId="10" fillId="0" borderId="88" xfId="0" applyFont="1" applyFill="1" applyBorder="1" applyAlignment="1">
      <alignment horizontal="center" vertical="center"/>
    </xf>
    <xf numFmtId="0" fontId="10" fillId="0" borderId="93" xfId="0" applyFont="1" applyFill="1" applyBorder="1" applyAlignment="1">
      <alignment horizontal="center" vertical="center"/>
    </xf>
    <xf numFmtId="0" fontId="10" fillId="0" borderId="76" xfId="0" applyFont="1" applyFill="1" applyBorder="1" applyAlignment="1">
      <alignment horizontal="center" vertical="center"/>
    </xf>
    <xf numFmtId="0" fontId="10" fillId="0" borderId="95" xfId="0" applyFont="1" applyFill="1" applyBorder="1" applyAlignment="1">
      <alignment horizontal="center" vertical="center"/>
    </xf>
    <xf numFmtId="177" fontId="20" fillId="0" borderId="96" xfId="0" applyNumberFormat="1" applyFont="1" applyFill="1" applyBorder="1" applyAlignment="1">
      <alignment horizontal="center" vertical="center"/>
    </xf>
    <xf numFmtId="3" fontId="19" fillId="0" borderId="94" xfId="0" applyNumberFormat="1" applyFont="1" applyFill="1" applyBorder="1" applyAlignment="1">
      <alignment horizontal="center" vertical="center"/>
    </xf>
    <xf numFmtId="0" fontId="10" fillId="0" borderId="99" xfId="0" applyFont="1" applyFill="1" applyBorder="1" applyAlignment="1">
      <alignment horizontal="center" vertical="center"/>
    </xf>
    <xf numFmtId="0" fontId="10" fillId="0" borderId="98" xfId="0" applyFont="1" applyFill="1" applyBorder="1" applyAlignment="1">
      <alignment horizontal="center" vertical="center"/>
    </xf>
    <xf numFmtId="49" fontId="11" fillId="0" borderId="100" xfId="0" applyNumberFormat="1" applyFont="1" applyFill="1" applyBorder="1" applyAlignment="1">
      <alignment vertical="center" shrinkToFit="1"/>
    </xf>
    <xf numFmtId="177" fontId="20" fillId="0" borderId="62" xfId="0" applyNumberFormat="1" applyFont="1" applyFill="1" applyBorder="1" applyAlignment="1">
      <alignment horizontal="center" vertical="center"/>
    </xf>
    <xf numFmtId="177" fontId="20" fillId="0" borderId="100" xfId="0" applyNumberFormat="1" applyFont="1" applyFill="1" applyBorder="1" applyAlignment="1">
      <alignment horizontal="center" vertical="center"/>
    </xf>
    <xf numFmtId="3" fontId="34" fillId="0" borderId="62" xfId="0" applyNumberFormat="1" applyFont="1" applyFill="1" applyBorder="1" applyAlignment="1">
      <alignment horizontal="center" vertical="center"/>
    </xf>
    <xf numFmtId="0" fontId="10" fillId="0" borderId="102" xfId="0" applyFont="1" applyFill="1" applyBorder="1">
      <alignment vertical="center"/>
    </xf>
    <xf numFmtId="0" fontId="10" fillId="0" borderId="101" xfId="0" applyFont="1" applyFill="1" applyBorder="1">
      <alignment vertical="center"/>
    </xf>
    <xf numFmtId="3" fontId="42" fillId="0" borderId="54" xfId="0" applyNumberFormat="1" applyFont="1" applyFill="1" applyBorder="1" applyAlignment="1">
      <alignment horizontal="center" vertical="center"/>
    </xf>
    <xf numFmtId="0" fontId="18" fillId="3" borderId="66" xfId="0" applyNumberFormat="1" applyFont="1" applyFill="1" applyBorder="1" applyAlignment="1">
      <alignment horizontal="center" vertical="center"/>
    </xf>
    <xf numFmtId="49" fontId="18" fillId="0" borderId="66" xfId="0" applyNumberFormat="1" applyFont="1" applyFill="1" applyBorder="1" applyAlignment="1">
      <alignment horizontal="center" vertical="center"/>
    </xf>
    <xf numFmtId="0" fontId="39" fillId="0" borderId="66" xfId="0" applyNumberFormat="1" applyFont="1" applyFill="1" applyBorder="1" applyAlignment="1">
      <alignment horizontal="center" vertical="center"/>
    </xf>
    <xf numFmtId="176" fontId="38" fillId="0" borderId="66" xfId="0" applyNumberFormat="1" applyFont="1" applyFill="1" applyBorder="1" applyAlignment="1">
      <alignment horizontal="center" vertical="center" shrinkToFit="1"/>
    </xf>
    <xf numFmtId="3" fontId="38" fillId="0" borderId="66" xfId="0" applyNumberFormat="1" applyFont="1" applyFill="1" applyBorder="1" applyAlignment="1">
      <alignment horizontal="right" vertical="center"/>
    </xf>
    <xf numFmtId="3" fontId="24" fillId="0" borderId="66" xfId="0" applyNumberFormat="1" applyFont="1" applyFill="1" applyBorder="1">
      <alignment vertical="center"/>
    </xf>
    <xf numFmtId="3" fontId="48" fillId="0" borderId="3" xfId="0" applyNumberFormat="1" applyFont="1" applyFill="1" applyBorder="1" applyAlignment="1">
      <alignment horizontal="center" vertical="center"/>
    </xf>
    <xf numFmtId="3" fontId="49" fillId="3" borderId="59" xfId="0" applyNumberFormat="1" applyFont="1" applyFill="1" applyBorder="1" applyAlignment="1">
      <alignment horizontal="center" vertical="center"/>
    </xf>
    <xf numFmtId="3" fontId="50" fillId="3" borderId="59" xfId="0" applyNumberFormat="1" applyFont="1" applyFill="1" applyBorder="1" applyAlignment="1">
      <alignment horizontal="center" vertical="center"/>
    </xf>
    <xf numFmtId="176" fontId="3" fillId="0" borderId="100" xfId="0" applyNumberFormat="1" applyFont="1" applyFill="1" applyBorder="1" applyAlignment="1">
      <alignment horizontal="center" vertical="center"/>
    </xf>
    <xf numFmtId="177" fontId="5" fillId="0" borderId="67" xfId="0" applyNumberFormat="1" applyFont="1" applyFill="1" applyBorder="1" applyAlignment="1">
      <alignment horizontal="center" vertical="center"/>
    </xf>
    <xf numFmtId="49" fontId="3" fillId="0" borderId="100" xfId="0" applyNumberFormat="1" applyFont="1" applyFill="1" applyBorder="1">
      <alignment vertical="center"/>
    </xf>
    <xf numFmtId="49" fontId="37" fillId="0" borderId="66" xfId="0" applyNumberFormat="1" applyFont="1" applyFill="1" applyBorder="1" applyAlignment="1">
      <alignment vertical="center" shrinkToFit="1"/>
    </xf>
    <xf numFmtId="3" fontId="49" fillId="0" borderId="59" xfId="0" applyNumberFormat="1" applyFont="1" applyFill="1" applyBorder="1" applyAlignment="1">
      <alignment horizontal="center" vertical="center"/>
    </xf>
    <xf numFmtId="0" fontId="3" fillId="0" borderId="10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>
      <alignment vertical="center"/>
    </xf>
    <xf numFmtId="0" fontId="3" fillId="0" borderId="106" xfId="0" applyNumberFormat="1" applyFont="1" applyFill="1" applyBorder="1" applyAlignment="1">
      <alignment horizontal="center" vertical="center"/>
    </xf>
    <xf numFmtId="177" fontId="5" fillId="0" borderId="104" xfId="0" applyNumberFormat="1" applyFont="1" applyFill="1" applyBorder="1" applyAlignment="1">
      <alignment horizontal="center" vertical="center"/>
    </xf>
    <xf numFmtId="176" fontId="3" fillId="0" borderId="104" xfId="0" applyNumberFormat="1" applyFont="1" applyFill="1" applyBorder="1" applyAlignment="1">
      <alignment horizontal="center" vertical="center"/>
    </xf>
    <xf numFmtId="49" fontId="5" fillId="0" borderId="104" xfId="0" applyNumberFormat="1" applyFont="1" applyFill="1" applyBorder="1">
      <alignment vertical="center"/>
    </xf>
    <xf numFmtId="49" fontId="5" fillId="0" borderId="103" xfId="0" applyNumberFormat="1" applyFont="1" applyFill="1" applyBorder="1">
      <alignment vertical="center"/>
    </xf>
    <xf numFmtId="0" fontId="3" fillId="0" borderId="107" xfId="0" applyNumberFormat="1" applyFont="1" applyFill="1" applyBorder="1">
      <alignment vertical="center"/>
    </xf>
    <xf numFmtId="3" fontId="49" fillId="0" borderId="3" xfId="0" applyNumberFormat="1" applyFont="1" applyFill="1" applyBorder="1" applyAlignment="1">
      <alignment horizontal="center" vertical="center"/>
    </xf>
    <xf numFmtId="3" fontId="42" fillId="3" borderId="3" xfId="0" applyNumberFormat="1" applyFont="1" applyFill="1" applyBorder="1" applyAlignment="1">
      <alignment horizontal="center" vertical="center"/>
    </xf>
    <xf numFmtId="3" fontId="38" fillId="3" borderId="66" xfId="0" applyNumberFormat="1" applyFont="1" applyFill="1" applyBorder="1" applyAlignment="1">
      <alignment horizontal="center" vertical="center"/>
    </xf>
    <xf numFmtId="0" fontId="18" fillId="3" borderId="108" xfId="0" applyNumberFormat="1" applyFont="1" applyFill="1" applyBorder="1" applyAlignment="1">
      <alignment horizontal="center" vertical="center"/>
    </xf>
    <xf numFmtId="49" fontId="18" fillId="0" borderId="108" xfId="0" applyNumberFormat="1" applyFont="1" applyFill="1" applyBorder="1" applyAlignment="1">
      <alignment horizontal="center" vertical="center"/>
    </xf>
    <xf numFmtId="0" fontId="39" fillId="0" borderId="108" xfId="0" applyNumberFormat="1" applyFont="1" applyFill="1" applyBorder="1" applyAlignment="1">
      <alignment horizontal="center" vertical="center"/>
    </xf>
    <xf numFmtId="176" fontId="38" fillId="0" borderId="108" xfId="0" applyNumberFormat="1" applyFont="1" applyFill="1" applyBorder="1" applyAlignment="1">
      <alignment horizontal="center" vertical="center" shrinkToFit="1"/>
    </xf>
    <xf numFmtId="3" fontId="38" fillId="3" borderId="108" xfId="0" applyNumberFormat="1" applyFont="1" applyFill="1" applyBorder="1" applyAlignment="1">
      <alignment horizontal="center" vertical="center"/>
    </xf>
    <xf numFmtId="3" fontId="38" fillId="0" borderId="108" xfId="0" applyNumberFormat="1" applyFont="1" applyFill="1" applyBorder="1" applyAlignment="1">
      <alignment horizontal="center" vertical="center"/>
    </xf>
    <xf numFmtId="3" fontId="38" fillId="0" borderId="108" xfId="0" applyNumberFormat="1" applyFont="1" applyFill="1" applyBorder="1" applyAlignment="1">
      <alignment horizontal="right" vertical="center"/>
    </xf>
    <xf numFmtId="3" fontId="24" fillId="0" borderId="108" xfId="0" applyNumberFormat="1" applyFont="1" applyFill="1" applyBorder="1">
      <alignment vertical="center"/>
    </xf>
    <xf numFmtId="176" fontId="49" fillId="0" borderId="59" xfId="0" applyNumberFormat="1" applyFont="1" applyFill="1" applyBorder="1" applyAlignment="1">
      <alignment horizontal="center" vertical="center" shrinkToFit="1"/>
    </xf>
    <xf numFmtId="3" fontId="50" fillId="0" borderId="3" xfId="0" applyNumberFormat="1" applyFont="1" applyFill="1" applyBorder="1" applyAlignment="1">
      <alignment horizontal="center" vertical="center"/>
    </xf>
    <xf numFmtId="0" fontId="39" fillId="3" borderId="54" xfId="0" applyFont="1" applyFill="1" applyBorder="1" applyAlignment="1">
      <alignment horizontal="center" vertical="center"/>
    </xf>
    <xf numFmtId="176" fontId="3" fillId="0" borderId="58" xfId="0" applyNumberFormat="1" applyFont="1" applyFill="1" applyBorder="1" applyAlignment="1">
      <alignment horizontal="center" vertical="center"/>
    </xf>
    <xf numFmtId="49" fontId="5" fillId="0" borderId="58" xfId="0" applyNumberFormat="1" applyFont="1" applyFill="1" applyBorder="1">
      <alignment vertical="center"/>
    </xf>
    <xf numFmtId="49" fontId="5" fillId="0" borderId="67" xfId="0" applyNumberFormat="1" applyFont="1" applyFill="1" applyBorder="1">
      <alignment vertical="center"/>
    </xf>
    <xf numFmtId="3" fontId="51" fillId="0" borderId="3" xfId="0" applyNumberFormat="1" applyFont="1" applyFill="1" applyBorder="1" applyAlignment="1">
      <alignment horizontal="center" vertical="center"/>
    </xf>
    <xf numFmtId="3" fontId="53" fillId="0" borderId="3" xfId="0" applyNumberFormat="1" applyFont="1" applyFill="1" applyBorder="1" applyAlignment="1">
      <alignment horizontal="center" vertical="center"/>
    </xf>
    <xf numFmtId="3" fontId="54" fillId="0" borderId="41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>
      <alignment vertical="center"/>
    </xf>
    <xf numFmtId="176" fontId="3" fillId="0" borderId="108" xfId="0" applyNumberFormat="1" applyFont="1" applyFill="1" applyBorder="1" applyAlignment="1">
      <alignment horizontal="center" vertical="center"/>
    </xf>
    <xf numFmtId="177" fontId="5" fillId="0" borderId="108" xfId="0" applyNumberFormat="1" applyFont="1" applyFill="1" applyBorder="1" applyAlignment="1">
      <alignment horizontal="center" vertical="center"/>
    </xf>
    <xf numFmtId="49" fontId="3" fillId="0" borderId="108" xfId="0" applyNumberFormat="1" applyFont="1" applyFill="1" applyBorder="1">
      <alignment vertical="center"/>
    </xf>
    <xf numFmtId="49" fontId="5" fillId="0" borderId="108" xfId="0" applyNumberFormat="1" applyFont="1" applyFill="1" applyBorder="1">
      <alignment vertical="center"/>
    </xf>
    <xf numFmtId="176" fontId="3" fillId="3" borderId="108" xfId="0" applyNumberFormat="1" applyFont="1" applyFill="1" applyBorder="1" applyAlignment="1">
      <alignment horizontal="center" vertical="center"/>
    </xf>
    <xf numFmtId="3" fontId="49" fillId="3" borderId="3" xfId="0" applyNumberFormat="1" applyFont="1" applyFill="1" applyBorder="1" applyAlignment="1">
      <alignment horizontal="center" vertical="center"/>
    </xf>
    <xf numFmtId="3" fontId="49" fillId="0" borderId="54" xfId="0" applyNumberFormat="1" applyFont="1" applyFill="1" applyBorder="1" applyAlignment="1">
      <alignment horizontal="center" vertical="center"/>
    </xf>
    <xf numFmtId="0" fontId="10" fillId="0" borderId="58" xfId="0" applyFont="1" applyFill="1" applyBorder="1" applyAlignment="1">
      <alignment horizontal="center" vertical="center"/>
    </xf>
    <xf numFmtId="182" fontId="55" fillId="0" borderId="108" xfId="0" applyNumberFormat="1" applyFont="1" applyFill="1" applyBorder="1" applyAlignment="1">
      <alignment horizontal="center" vertical="center" shrinkToFit="1"/>
    </xf>
    <xf numFmtId="3" fontId="56" fillId="0" borderId="100" xfId="0" applyNumberFormat="1" applyFont="1" applyFill="1" applyBorder="1" applyAlignment="1">
      <alignment horizontal="center" vertical="center"/>
    </xf>
    <xf numFmtId="182" fontId="57" fillId="0" borderId="3" xfId="0" applyNumberFormat="1" applyFont="1" applyFill="1" applyBorder="1" applyAlignment="1">
      <alignment horizontal="center" vertical="center"/>
    </xf>
    <xf numFmtId="182" fontId="57" fillId="0" borderId="100" xfId="0" applyNumberFormat="1" applyFont="1" applyFill="1" applyBorder="1" applyAlignment="1">
      <alignment horizontal="center" vertical="center"/>
    </xf>
    <xf numFmtId="3" fontId="57" fillId="0" borderId="62" xfId="0" applyNumberFormat="1" applyFont="1" applyFill="1" applyBorder="1" applyAlignment="1">
      <alignment horizontal="center" vertical="center"/>
    </xf>
    <xf numFmtId="182" fontId="57" fillId="0" borderId="62" xfId="0" applyNumberFormat="1" applyFont="1" applyFill="1" applyBorder="1" applyAlignment="1">
      <alignment horizontal="center" vertical="center"/>
    </xf>
    <xf numFmtId="3" fontId="57" fillId="0" borderId="66" xfId="0" applyNumberFormat="1" applyFont="1" applyFill="1" applyBorder="1" applyAlignment="1">
      <alignment horizontal="center" vertical="center"/>
    </xf>
    <xf numFmtId="0" fontId="39" fillId="3" borderId="59" xfId="0" applyNumberFormat="1" applyFont="1" applyFill="1" applyBorder="1" applyAlignment="1">
      <alignment horizontal="center" vertical="center"/>
    </xf>
    <xf numFmtId="3" fontId="42" fillId="0" borderId="108" xfId="0" applyNumberFormat="1" applyFont="1" applyFill="1" applyBorder="1" applyAlignment="1">
      <alignment horizontal="center" vertical="center"/>
    </xf>
    <xf numFmtId="3" fontId="30" fillId="5" borderId="3" xfId="0" applyNumberFormat="1" applyFont="1" applyFill="1" applyBorder="1" applyAlignment="1">
      <alignment horizontal="center" vertical="center"/>
    </xf>
    <xf numFmtId="0" fontId="10" fillId="0" borderId="109" xfId="0" applyFont="1" applyFill="1" applyBorder="1" applyAlignment="1">
      <alignment horizontal="center" vertical="center"/>
    </xf>
    <xf numFmtId="49" fontId="11" fillId="0" borderId="58" xfId="0" applyNumberFormat="1" applyFont="1" applyFill="1" applyBorder="1" applyAlignment="1">
      <alignment vertical="center" shrinkToFit="1"/>
    </xf>
    <xf numFmtId="177" fontId="20" fillId="0" borderId="58" xfId="0" applyNumberFormat="1" applyFont="1" applyFill="1" applyBorder="1" applyAlignment="1">
      <alignment horizontal="center" vertical="center"/>
    </xf>
    <xf numFmtId="182" fontId="57" fillId="0" borderId="41" xfId="0" applyNumberFormat="1" applyFont="1" applyFill="1" applyBorder="1" applyAlignment="1">
      <alignment horizontal="center" vertical="center"/>
    </xf>
    <xf numFmtId="182" fontId="57" fillId="0" borderId="58" xfId="0" applyNumberFormat="1" applyFont="1" applyFill="1" applyBorder="1" applyAlignment="1">
      <alignment horizontal="center" vertical="center"/>
    </xf>
    <xf numFmtId="3" fontId="54" fillId="0" borderId="58" xfId="0" applyNumberFormat="1" applyFont="1" applyFill="1" applyBorder="1" applyAlignment="1">
      <alignment horizontal="center" vertical="center"/>
    </xf>
    <xf numFmtId="0" fontId="10" fillId="0" borderId="110" xfId="0" applyFont="1" applyFill="1" applyBorder="1">
      <alignment vertical="center"/>
    </xf>
    <xf numFmtId="49" fontId="10" fillId="0" borderId="41" xfId="0" applyNumberFormat="1" applyFont="1" applyFill="1" applyBorder="1" applyAlignment="1">
      <alignment vertical="center" shrinkToFit="1"/>
    </xf>
    <xf numFmtId="3" fontId="41" fillId="0" borderId="41" xfId="0" applyNumberFormat="1" applyFont="1" applyFill="1" applyBorder="1" applyAlignment="1">
      <alignment horizontal="center" vertical="center"/>
    </xf>
    <xf numFmtId="3" fontId="56" fillId="0" borderId="58" xfId="0" applyNumberFormat="1" applyFont="1" applyFill="1" applyBorder="1" applyAlignment="1">
      <alignment horizontal="center" vertical="center"/>
    </xf>
    <xf numFmtId="182" fontId="5" fillId="0" borderId="54" xfId="0" applyNumberFormat="1" applyFont="1" applyFill="1" applyBorder="1" applyAlignment="1">
      <alignment horizontal="center" vertical="center"/>
    </xf>
    <xf numFmtId="182" fontId="5" fillId="0" borderId="4" xfId="0" applyNumberFormat="1" applyFont="1" applyFill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83" fontId="5" fillId="0" borderId="41" xfId="0" applyNumberFormat="1" applyFont="1" applyFill="1" applyBorder="1" applyAlignment="1">
      <alignment horizontal="center" vertical="center"/>
    </xf>
    <xf numFmtId="183" fontId="5" fillId="0" borderId="54" xfId="0" applyNumberFormat="1" applyFont="1" applyFill="1" applyBorder="1" applyAlignment="1">
      <alignment horizontal="center" vertical="center"/>
    </xf>
    <xf numFmtId="183" fontId="5" fillId="0" borderId="3" xfId="0" applyNumberFormat="1" applyFont="1" applyFill="1" applyBorder="1" applyAlignment="1">
      <alignment horizontal="center" vertical="center"/>
    </xf>
    <xf numFmtId="176" fontId="3" fillId="3" borderId="68" xfId="0" applyNumberFormat="1" applyFont="1" applyFill="1" applyBorder="1" applyAlignment="1">
      <alignment horizontal="center" vertical="center"/>
    </xf>
    <xf numFmtId="176" fontId="3" fillId="3" borderId="67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>
      <alignment vertical="center"/>
    </xf>
    <xf numFmtId="0" fontId="3" fillId="0" borderId="67" xfId="0" applyNumberFormat="1" applyFont="1" applyFill="1" applyBorder="1">
      <alignment vertical="center"/>
    </xf>
    <xf numFmtId="3" fontId="42" fillId="0" borderId="59" xfId="0" applyNumberFormat="1" applyFont="1" applyFill="1" applyBorder="1" applyAlignment="1">
      <alignment horizontal="center" vertical="center"/>
    </xf>
    <xf numFmtId="49" fontId="36" fillId="0" borderId="41" xfId="0" applyNumberFormat="1" applyFont="1" applyFill="1" applyBorder="1" applyAlignment="1">
      <alignment vertical="center" shrinkToFit="1"/>
    </xf>
    <xf numFmtId="3" fontId="58" fillId="0" borderId="47" xfId="0" applyNumberFormat="1" applyFont="1" applyFill="1" applyBorder="1" applyAlignment="1">
      <alignment horizontal="center" vertical="center"/>
    </xf>
    <xf numFmtId="0" fontId="39" fillId="3" borderId="54" xfId="0" applyNumberFormat="1" applyFont="1" applyFill="1" applyBorder="1" applyAlignment="1">
      <alignment horizontal="center" vertical="center"/>
    </xf>
    <xf numFmtId="49" fontId="3" fillId="0" borderId="106" xfId="0" applyNumberFormat="1" applyFont="1" applyFill="1" applyBorder="1" applyAlignment="1">
      <alignment horizontal="center" vertical="center"/>
    </xf>
    <xf numFmtId="0" fontId="3" fillId="0" borderId="111" xfId="0" applyNumberFormat="1" applyFont="1" applyFill="1" applyBorder="1" applyAlignment="1">
      <alignment horizontal="center" vertical="center"/>
    </xf>
    <xf numFmtId="0" fontId="3" fillId="0" borderId="112" xfId="0" applyNumberFormat="1" applyFont="1" applyFill="1" applyBorder="1" applyAlignment="1">
      <alignment horizontal="center" vertical="center"/>
    </xf>
    <xf numFmtId="0" fontId="3" fillId="0" borderId="113" xfId="0" applyNumberFormat="1" applyFont="1" applyFill="1" applyBorder="1" applyAlignment="1">
      <alignment horizontal="center" vertical="center"/>
    </xf>
    <xf numFmtId="0" fontId="3" fillId="0" borderId="114" xfId="0" applyNumberFormat="1" applyFont="1" applyFill="1" applyBorder="1" applyAlignment="1">
      <alignment horizontal="center" vertical="center"/>
    </xf>
    <xf numFmtId="0" fontId="3" fillId="3" borderId="106" xfId="0" applyNumberFormat="1" applyFont="1" applyFill="1" applyBorder="1" applyAlignment="1">
      <alignment horizontal="center" vertical="center"/>
    </xf>
    <xf numFmtId="49" fontId="3" fillId="0" borderId="115" xfId="0" applyNumberFormat="1" applyFont="1" applyFill="1" applyBorder="1" applyAlignment="1">
      <alignment horizontal="center" vertical="center"/>
    </xf>
    <xf numFmtId="176" fontId="3" fillId="0" borderId="115" xfId="0" applyNumberFormat="1" applyFont="1" applyFill="1" applyBorder="1" applyAlignment="1">
      <alignment horizontal="right" vertical="center"/>
    </xf>
    <xf numFmtId="176" fontId="3" fillId="0" borderId="116" xfId="0" applyNumberFormat="1" applyFont="1" applyFill="1" applyBorder="1" applyAlignment="1">
      <alignment horizontal="center" vertical="center"/>
    </xf>
    <xf numFmtId="176" fontId="3" fillId="0" borderId="115" xfId="0" applyNumberFormat="1" applyFont="1" applyFill="1" applyBorder="1" applyAlignment="1">
      <alignment horizontal="center" vertical="center"/>
    </xf>
    <xf numFmtId="176" fontId="3" fillId="0" borderId="117" xfId="0" applyNumberFormat="1" applyFont="1" applyFill="1" applyBorder="1" applyAlignment="1">
      <alignment horizontal="center" vertical="center"/>
    </xf>
    <xf numFmtId="176" fontId="3" fillId="0" borderId="118" xfId="0" applyNumberFormat="1" applyFont="1" applyFill="1" applyBorder="1" applyAlignment="1">
      <alignment horizontal="center" vertical="center"/>
    </xf>
    <xf numFmtId="49" fontId="3" fillId="0" borderId="115" xfId="0" applyNumberFormat="1" applyFont="1" applyFill="1" applyBorder="1" applyAlignment="1">
      <alignment horizontal="center" vertical="center" shrinkToFit="1"/>
    </xf>
    <xf numFmtId="49" fontId="3" fillId="0" borderId="116" xfId="0" applyNumberFormat="1" applyFont="1" applyFill="1" applyBorder="1" applyAlignment="1">
      <alignment horizontal="center" vertical="center" shrinkToFit="1"/>
    </xf>
    <xf numFmtId="176" fontId="3" fillId="0" borderId="116" xfId="0" applyNumberFormat="1" applyFont="1" applyFill="1" applyBorder="1" applyAlignment="1">
      <alignment horizontal="center" vertical="center" shrinkToFit="1"/>
    </xf>
    <xf numFmtId="176" fontId="3" fillId="0" borderId="115" xfId="0" applyNumberFormat="1" applyFont="1" applyFill="1" applyBorder="1" applyAlignment="1">
      <alignment horizontal="center" vertical="center" shrinkToFit="1"/>
    </xf>
    <xf numFmtId="176" fontId="17" fillId="0" borderId="115" xfId="0" applyNumberFormat="1" applyFont="1" applyFill="1" applyBorder="1" applyAlignment="1">
      <alignment horizontal="center" vertical="center"/>
    </xf>
    <xf numFmtId="176" fontId="3" fillId="0" borderId="119" xfId="0" applyNumberFormat="1" applyFont="1" applyFill="1" applyBorder="1" applyAlignment="1">
      <alignment horizontal="center" vertical="center"/>
    </xf>
    <xf numFmtId="176" fontId="3" fillId="0" borderId="120" xfId="0" applyNumberFormat="1" applyFont="1" applyFill="1" applyBorder="1" applyAlignment="1">
      <alignment horizontal="center" vertical="center" shrinkToFit="1"/>
    </xf>
    <xf numFmtId="176" fontId="3" fillId="0" borderId="121" xfId="0" applyNumberFormat="1" applyFont="1" applyFill="1" applyBorder="1" applyAlignment="1">
      <alignment horizontal="center" vertical="center"/>
    </xf>
    <xf numFmtId="182" fontId="3" fillId="0" borderId="115" xfId="0" applyNumberFormat="1" applyFont="1" applyFill="1" applyBorder="1" applyAlignment="1">
      <alignment horizontal="center" vertical="center"/>
    </xf>
    <xf numFmtId="49" fontId="3" fillId="0" borderId="66" xfId="0" applyNumberFormat="1" applyFont="1" applyFill="1" applyBorder="1" applyAlignment="1">
      <alignment horizontal="center" vertical="center"/>
    </xf>
    <xf numFmtId="49" fontId="11" fillId="0" borderId="66" xfId="0" applyNumberFormat="1" applyFont="1" applyFill="1" applyBorder="1">
      <alignment vertical="center"/>
    </xf>
    <xf numFmtId="49" fontId="45" fillId="0" borderId="66" xfId="0" applyNumberFormat="1" applyFont="1" applyFill="1" applyBorder="1" applyAlignment="1">
      <alignment vertical="center" shrinkToFit="1"/>
    </xf>
    <xf numFmtId="0" fontId="3" fillId="3" borderId="66" xfId="0" applyNumberFormat="1" applyFont="1" applyFill="1" applyBorder="1" applyAlignment="1">
      <alignment horizontal="center" vertical="center"/>
    </xf>
    <xf numFmtId="49" fontId="52" fillId="0" borderId="66" xfId="0" applyNumberFormat="1" applyFont="1" applyFill="1" applyBorder="1">
      <alignment vertical="center"/>
    </xf>
    <xf numFmtId="49" fontId="11" fillId="3" borderId="66" xfId="0" applyNumberFormat="1" applyFont="1" applyFill="1" applyBorder="1" applyAlignment="1">
      <alignment vertical="center" shrinkToFit="1"/>
    </xf>
    <xf numFmtId="0" fontId="11" fillId="0" borderId="66" xfId="0" applyNumberFormat="1" applyFont="1" applyFill="1" applyBorder="1">
      <alignment vertical="center"/>
    </xf>
    <xf numFmtId="0" fontId="3" fillId="0" borderId="4" xfId="0" applyNumberFormat="1" applyFont="1" applyFill="1" applyBorder="1" applyAlignment="1">
      <alignment horizontal="center" vertical="center"/>
    </xf>
    <xf numFmtId="182" fontId="3" fillId="0" borderId="117" xfId="0" applyNumberFormat="1" applyFont="1" applyFill="1" applyBorder="1" applyAlignment="1">
      <alignment horizontal="center" vertical="center"/>
    </xf>
    <xf numFmtId="0" fontId="3" fillId="0" borderId="108" xfId="0" applyNumberFormat="1" applyFont="1" applyFill="1" applyBorder="1" applyAlignment="1">
      <alignment horizontal="center" vertical="center"/>
    </xf>
    <xf numFmtId="0" fontId="3" fillId="0" borderId="108" xfId="0" applyNumberFormat="1" applyFont="1" applyFill="1" applyBorder="1">
      <alignment vertical="center"/>
    </xf>
    <xf numFmtId="182" fontId="5" fillId="0" borderId="41" xfId="0" applyNumberFormat="1" applyFont="1" applyFill="1" applyBorder="1" applyAlignment="1">
      <alignment horizontal="center" vertical="center"/>
    </xf>
    <xf numFmtId="182" fontId="3" fillId="0" borderId="108" xfId="0" applyNumberFormat="1" applyFont="1" applyFill="1" applyBorder="1" applyAlignment="1">
      <alignment horizontal="center" vertical="center"/>
    </xf>
    <xf numFmtId="0" fontId="3" fillId="0" borderId="41" xfId="0" applyNumberFormat="1" applyFont="1" applyFill="1" applyBorder="1" applyAlignment="1">
      <alignment horizontal="center" vertical="center"/>
    </xf>
    <xf numFmtId="0" fontId="3" fillId="0" borderId="58" xfId="0" applyNumberFormat="1" applyFont="1" applyFill="1" applyBorder="1" applyAlignment="1">
      <alignment horizontal="center" vertical="center"/>
    </xf>
    <xf numFmtId="0" fontId="11" fillId="0" borderId="67" xfId="0" applyNumberFormat="1" applyFont="1" applyFill="1" applyBorder="1">
      <alignment vertical="center"/>
    </xf>
    <xf numFmtId="182" fontId="3" fillId="0" borderId="4" xfId="0" applyNumberFormat="1" applyFont="1" applyFill="1" applyBorder="1" applyAlignment="1">
      <alignment horizontal="center" vertical="center"/>
    </xf>
    <xf numFmtId="182" fontId="3" fillId="0" borderId="67" xfId="0" applyNumberFormat="1" applyFont="1" applyFill="1" applyBorder="1" applyAlignment="1">
      <alignment horizontal="center" vertical="center"/>
    </xf>
    <xf numFmtId="182" fontId="5" fillId="0" borderId="58" xfId="0" applyNumberFormat="1" applyFont="1" applyFill="1" applyBorder="1" applyAlignment="1">
      <alignment horizontal="center" vertical="center"/>
    </xf>
    <xf numFmtId="0" fontId="11" fillId="0" borderId="58" xfId="0" applyNumberFormat="1" applyFont="1" applyFill="1" applyBorder="1">
      <alignment vertical="center"/>
    </xf>
    <xf numFmtId="182" fontId="5" fillId="0" borderId="108" xfId="0" applyNumberFormat="1" applyFont="1" applyFill="1" applyBorder="1">
      <alignment vertical="center"/>
    </xf>
    <xf numFmtId="183" fontId="3" fillId="3" borderId="41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>
      <alignment vertical="center"/>
    </xf>
    <xf numFmtId="0" fontId="11" fillId="0" borderId="108" xfId="0" applyNumberFormat="1" applyFont="1" applyFill="1" applyBorder="1">
      <alignment vertical="center"/>
    </xf>
    <xf numFmtId="0" fontId="3" fillId="0" borderId="67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vertical="center" shrinkToFit="1"/>
    </xf>
    <xf numFmtId="49" fontId="11" fillId="0" borderId="67" xfId="0" applyNumberFormat="1" applyFont="1" applyFill="1" applyBorder="1">
      <alignment vertical="center"/>
    </xf>
    <xf numFmtId="183" fontId="3" fillId="3" borderId="68" xfId="0" applyNumberFormat="1" applyFont="1" applyFill="1" applyBorder="1" applyAlignment="1">
      <alignment horizontal="center" vertical="center"/>
    </xf>
    <xf numFmtId="183" fontId="3" fillId="0" borderId="108" xfId="0" applyNumberFormat="1" applyFont="1" applyFill="1" applyBorder="1" applyAlignment="1">
      <alignment horizontal="center" vertical="center"/>
    </xf>
    <xf numFmtId="0" fontId="10" fillId="0" borderId="62" xfId="0" applyFont="1" applyFill="1" applyBorder="1">
      <alignment vertical="center"/>
    </xf>
    <xf numFmtId="49" fontId="10" fillId="0" borderId="58" xfId="0" applyNumberFormat="1" applyFont="1" applyFill="1" applyBorder="1" applyAlignment="1">
      <alignment vertical="center" shrinkToFit="1"/>
    </xf>
    <xf numFmtId="177" fontId="20" fillId="0" borderId="116" xfId="0" applyNumberFormat="1" applyFont="1" applyFill="1" applyBorder="1" applyAlignment="1">
      <alignment horizontal="center" vertical="center"/>
    </xf>
    <xf numFmtId="3" fontId="41" fillId="0" borderId="58" xfId="0" applyNumberFormat="1" applyFont="1" applyFill="1" applyBorder="1" applyAlignment="1">
      <alignment horizontal="center" vertical="center"/>
    </xf>
    <xf numFmtId="3" fontId="19" fillId="0" borderId="62" xfId="0" applyNumberFormat="1" applyFont="1" applyFill="1" applyBorder="1" applyAlignment="1">
      <alignment horizontal="center" vertical="center"/>
    </xf>
    <xf numFmtId="3" fontId="58" fillId="0" borderId="58" xfId="0" applyNumberFormat="1" applyFont="1" applyFill="1" applyBorder="1" applyAlignment="1">
      <alignment horizontal="center" vertical="center"/>
    </xf>
    <xf numFmtId="0" fontId="10" fillId="0" borderId="58" xfId="0" applyFont="1" applyFill="1" applyBorder="1">
      <alignment vertical="center"/>
    </xf>
    <xf numFmtId="182" fontId="5" fillId="0" borderId="108" xfId="0" applyNumberFormat="1" applyFont="1" applyFill="1" applyBorder="1" applyAlignment="1">
      <alignment horizontal="center" vertical="center"/>
    </xf>
    <xf numFmtId="176" fontId="3" fillId="3" borderId="62" xfId="0" applyNumberFormat="1" applyFont="1" applyFill="1" applyBorder="1" applyAlignment="1">
      <alignment horizontal="center" vertical="center"/>
    </xf>
    <xf numFmtId="0" fontId="3" fillId="0" borderId="62" xfId="0" applyNumberFormat="1" applyFont="1" applyFill="1" applyBorder="1" applyAlignment="1">
      <alignment horizontal="center" vertical="center"/>
    </xf>
    <xf numFmtId="183" fontId="3" fillId="0" borderId="62" xfId="0" applyNumberFormat="1" applyFont="1" applyFill="1" applyBorder="1" applyAlignment="1">
      <alignment horizontal="center" vertical="center"/>
    </xf>
    <xf numFmtId="183" fontId="3" fillId="0" borderId="58" xfId="0" applyNumberFormat="1" applyFont="1" applyFill="1" applyBorder="1" applyAlignment="1">
      <alignment horizontal="center" vertical="center"/>
    </xf>
    <xf numFmtId="0" fontId="3" fillId="0" borderId="62" xfId="0" applyNumberFormat="1" applyFont="1" applyFill="1" applyBorder="1">
      <alignment vertical="center"/>
    </xf>
    <xf numFmtId="0" fontId="3" fillId="0" borderId="58" xfId="0" applyNumberFormat="1" applyFont="1" applyFill="1" applyBorder="1">
      <alignment vertical="center"/>
    </xf>
    <xf numFmtId="182" fontId="5" fillId="0" borderId="67" xfId="0" applyNumberFormat="1" applyFont="1" applyFill="1" applyBorder="1" applyAlignment="1">
      <alignment horizontal="center" vertical="center"/>
    </xf>
    <xf numFmtId="0" fontId="5" fillId="0" borderId="108" xfId="0" applyNumberFormat="1" applyFont="1" applyFill="1" applyBorder="1">
      <alignment vertical="center"/>
    </xf>
    <xf numFmtId="49" fontId="11" fillId="0" borderId="62" xfId="0" applyNumberFormat="1" applyFont="1" applyFill="1" applyBorder="1">
      <alignment vertical="center"/>
    </xf>
    <xf numFmtId="0" fontId="3" fillId="0" borderId="108" xfId="0" quotePrefix="1" applyNumberFormat="1" applyFont="1" applyFill="1" applyBorder="1" applyAlignment="1">
      <alignment horizontal="center" vertical="center"/>
    </xf>
    <xf numFmtId="0" fontId="11" fillId="0" borderId="108" xfId="0" applyNumberFormat="1" applyFont="1" applyFill="1" applyBorder="1" applyAlignment="1">
      <alignment horizontal="center" vertical="center"/>
    </xf>
    <xf numFmtId="0" fontId="10" fillId="0" borderId="122" xfId="0" applyNumberFormat="1" applyFont="1" applyFill="1" applyBorder="1" applyAlignment="1">
      <alignment horizontal="center" vertical="center"/>
    </xf>
    <xf numFmtId="0" fontId="10" fillId="0" borderId="47" xfId="0" applyNumberFormat="1" applyFont="1" applyFill="1" applyBorder="1" applyAlignment="1">
      <alignment horizontal="center" vertical="center"/>
    </xf>
    <xf numFmtId="0" fontId="10" fillId="0" borderId="123" xfId="0" applyNumberFormat="1" applyFont="1" applyFill="1" applyBorder="1" applyAlignment="1">
      <alignment horizontal="center" vertical="center"/>
    </xf>
    <xf numFmtId="0" fontId="10" fillId="0" borderId="124" xfId="0" applyNumberFormat="1" applyFont="1" applyFill="1" applyBorder="1" applyAlignment="1">
      <alignment horizontal="center" vertical="center"/>
    </xf>
    <xf numFmtId="49" fontId="10" fillId="0" borderId="125" xfId="0" applyNumberFormat="1" applyFont="1" applyFill="1" applyBorder="1">
      <alignment vertical="center"/>
    </xf>
    <xf numFmtId="177" fontId="20" fillId="0" borderId="126" xfId="0" applyNumberFormat="1" applyFont="1" applyFill="1" applyBorder="1" applyAlignment="1">
      <alignment horizontal="center" vertical="center"/>
    </xf>
    <xf numFmtId="3" fontId="41" fillId="0" borderId="127" xfId="0" applyNumberFormat="1" applyFont="1" applyFill="1" applyBorder="1" applyAlignment="1">
      <alignment horizontal="center" vertical="center"/>
    </xf>
    <xf numFmtId="3" fontId="22" fillId="0" borderId="75" xfId="0" applyNumberFormat="1" applyFont="1" applyFill="1" applyBorder="1" applyAlignment="1">
      <alignment horizontal="center" vertical="center"/>
    </xf>
    <xf numFmtId="3" fontId="22" fillId="0" borderId="128" xfId="0" applyNumberFormat="1" applyFont="1" applyFill="1" applyBorder="1" applyAlignment="1">
      <alignment horizontal="center" vertical="center"/>
    </xf>
    <xf numFmtId="49" fontId="10" fillId="0" borderId="129" xfId="0" applyNumberFormat="1" applyFont="1" applyFill="1" applyBorder="1">
      <alignment vertical="center"/>
    </xf>
    <xf numFmtId="177" fontId="20" fillId="0" borderId="130" xfId="0" applyNumberFormat="1" applyFont="1" applyFill="1" applyBorder="1" applyAlignment="1">
      <alignment horizontal="center" vertical="center"/>
    </xf>
    <xf numFmtId="3" fontId="41" fillId="0" borderId="131" xfId="0" applyNumberFormat="1" applyFont="1" applyFill="1" applyBorder="1" applyAlignment="1">
      <alignment horizontal="center" vertical="center"/>
    </xf>
    <xf numFmtId="0" fontId="10" fillId="0" borderId="133" xfId="0" applyFont="1" applyFill="1" applyBorder="1">
      <alignment vertical="center"/>
    </xf>
    <xf numFmtId="3" fontId="19" fillId="0" borderId="132" xfId="0" applyNumberFormat="1" applyFont="1" applyFill="1" applyBorder="1" applyAlignment="1">
      <alignment horizontal="center" vertical="center"/>
    </xf>
    <xf numFmtId="0" fontId="3" fillId="0" borderId="134" xfId="0" applyNumberFormat="1" applyFont="1" applyFill="1" applyBorder="1" applyAlignment="1">
      <alignment horizontal="center" vertical="center"/>
    </xf>
    <xf numFmtId="0" fontId="3" fillId="0" borderId="134" xfId="0" applyNumberFormat="1" applyFont="1" applyFill="1" applyBorder="1">
      <alignment vertical="center"/>
    </xf>
    <xf numFmtId="0" fontId="5" fillId="0" borderId="62" xfId="0" applyNumberFormat="1" applyFont="1" applyFill="1" applyBorder="1">
      <alignment vertical="center"/>
    </xf>
    <xf numFmtId="0" fontId="11" fillId="0" borderId="135" xfId="0" applyNumberFormat="1" applyFont="1" applyFill="1" applyBorder="1">
      <alignment vertical="center"/>
    </xf>
    <xf numFmtId="0" fontId="3" fillId="0" borderId="135" xfId="0" applyNumberFormat="1" applyFont="1" applyFill="1" applyBorder="1">
      <alignment vertical="center"/>
    </xf>
    <xf numFmtId="182" fontId="5" fillId="0" borderId="136" xfId="0" applyNumberFormat="1" applyFont="1" applyFill="1" applyBorder="1" applyAlignment="1">
      <alignment horizontal="center" vertical="center"/>
    </xf>
    <xf numFmtId="183" fontId="3" fillId="0" borderId="137" xfId="0" applyNumberFormat="1" applyFont="1" applyFill="1" applyBorder="1" applyAlignment="1">
      <alignment horizontal="center" vertical="center"/>
    </xf>
    <xf numFmtId="182" fontId="3" fillId="0" borderId="62" xfId="0" applyNumberFormat="1" applyFont="1" applyFill="1" applyBorder="1" applyAlignment="1">
      <alignment horizontal="center" vertical="center"/>
    </xf>
    <xf numFmtId="183" fontId="3" fillId="0" borderId="131" xfId="0" applyNumberFormat="1" applyFont="1" applyFill="1" applyBorder="1" applyAlignment="1">
      <alignment horizontal="center" vertical="center"/>
    </xf>
    <xf numFmtId="0" fontId="3" fillId="0" borderId="131" xfId="0" applyNumberFormat="1" applyFont="1" applyFill="1" applyBorder="1" applyAlignment="1">
      <alignment horizontal="center" vertical="center"/>
    </xf>
    <xf numFmtId="0" fontId="3" fillId="0" borderId="131" xfId="0" applyNumberFormat="1" applyFont="1" applyFill="1" applyBorder="1">
      <alignment vertical="center"/>
    </xf>
    <xf numFmtId="0" fontId="5" fillId="0" borderId="131" xfId="0" applyNumberFormat="1" applyFont="1" applyFill="1" applyBorder="1">
      <alignment vertical="center"/>
    </xf>
    <xf numFmtId="183" fontId="5" fillId="0" borderId="108" xfId="0" applyNumberFormat="1" applyFont="1" applyFill="1" applyBorder="1" applyAlignment="1">
      <alignment horizontal="center" vertical="center"/>
    </xf>
    <xf numFmtId="183" fontId="5" fillId="0" borderId="131" xfId="0" applyNumberFormat="1" applyFont="1" applyFill="1" applyBorder="1" applyAlignment="1">
      <alignment horizontal="center" vertical="center"/>
    </xf>
    <xf numFmtId="3" fontId="42" fillId="0" borderId="108" xfId="0" applyNumberFormat="1" applyFont="1" applyFill="1" applyBorder="1" applyAlignment="1">
      <alignment horizontal="right" vertical="center"/>
    </xf>
    <xf numFmtId="0" fontId="18" fillId="3" borderId="131" xfId="0" applyNumberFormat="1" applyFont="1" applyFill="1" applyBorder="1" applyAlignment="1">
      <alignment horizontal="center" vertical="center"/>
    </xf>
    <xf numFmtId="49" fontId="18" fillId="0" borderId="131" xfId="0" applyNumberFormat="1" applyFont="1" applyFill="1" applyBorder="1" applyAlignment="1">
      <alignment horizontal="center" vertical="center"/>
    </xf>
    <xf numFmtId="0" fontId="39" fillId="0" borderId="131" xfId="0" applyNumberFormat="1" applyFont="1" applyFill="1" applyBorder="1" applyAlignment="1">
      <alignment horizontal="center" vertical="center"/>
    </xf>
    <xf numFmtId="176" fontId="38" fillId="0" borderId="131" xfId="0" applyNumberFormat="1" applyFont="1" applyFill="1" applyBorder="1" applyAlignment="1">
      <alignment horizontal="center" vertical="center" shrinkToFit="1"/>
    </xf>
    <xf numFmtId="3" fontId="38" fillId="3" borderId="131" xfId="0" applyNumberFormat="1" applyFont="1" applyFill="1" applyBorder="1" applyAlignment="1">
      <alignment horizontal="center" vertical="center"/>
    </xf>
    <xf numFmtId="3" fontId="38" fillId="0" borderId="131" xfId="0" applyNumberFormat="1" applyFont="1" applyFill="1" applyBorder="1" applyAlignment="1">
      <alignment horizontal="right" vertical="center"/>
    </xf>
    <xf numFmtId="3" fontId="24" fillId="0" borderId="131" xfId="0" applyNumberFormat="1" applyFont="1" applyFill="1" applyBorder="1">
      <alignment vertical="center"/>
    </xf>
    <xf numFmtId="0" fontId="11" fillId="0" borderId="131" xfId="0" applyNumberFormat="1" applyFont="1" applyFill="1" applyBorder="1">
      <alignment vertical="center"/>
    </xf>
    <xf numFmtId="0" fontId="45" fillId="0" borderId="131" xfId="0" applyNumberFormat="1" applyFont="1" applyFill="1" applyBorder="1">
      <alignment vertical="center"/>
    </xf>
    <xf numFmtId="0" fontId="61" fillId="0" borderId="86" xfId="0" applyFont="1" applyFill="1" applyBorder="1" applyAlignment="1">
      <alignment horizontal="center" vertical="center"/>
    </xf>
    <xf numFmtId="49" fontId="36" fillId="0" borderId="1" xfId="0" applyNumberFormat="1" applyFont="1" applyFill="1" applyBorder="1">
      <alignment vertical="center"/>
    </xf>
    <xf numFmtId="49" fontId="36" fillId="0" borderId="75" xfId="0" applyNumberFormat="1" applyFont="1" applyFill="1" applyBorder="1">
      <alignment vertical="center"/>
    </xf>
    <xf numFmtId="0" fontId="3" fillId="0" borderId="135" xfId="0" applyNumberFormat="1" applyFont="1" applyFill="1" applyBorder="1" applyAlignment="1">
      <alignment horizontal="center" vertical="center"/>
    </xf>
    <xf numFmtId="183" fontId="3" fillId="0" borderId="134" xfId="0" applyNumberFormat="1" applyFont="1" applyFill="1" applyBorder="1" applyAlignment="1">
      <alignment horizontal="center" vertical="center"/>
    </xf>
    <xf numFmtId="183" fontId="3" fillId="0" borderId="67" xfId="0" applyNumberFormat="1" applyFont="1" applyFill="1" applyBorder="1" applyAlignment="1">
      <alignment horizontal="center" vertical="center"/>
    </xf>
    <xf numFmtId="183" fontId="5" fillId="0" borderId="62" xfId="0" applyNumberFormat="1" applyFont="1" applyFill="1" applyBorder="1" applyAlignment="1">
      <alignment horizontal="center" vertical="center"/>
    </xf>
    <xf numFmtId="183" fontId="5" fillId="0" borderId="135" xfId="0" applyNumberFormat="1" applyFont="1" applyFill="1" applyBorder="1" applyAlignment="1">
      <alignment horizontal="center" vertical="center"/>
    </xf>
    <xf numFmtId="183" fontId="3" fillId="0" borderId="135" xfId="0" applyNumberFormat="1" applyFont="1" applyFill="1" applyBorder="1" applyAlignment="1">
      <alignment horizontal="center" vertical="center"/>
    </xf>
    <xf numFmtId="0" fontId="10" fillId="0" borderId="139" xfId="0" applyFont="1" applyFill="1" applyBorder="1" applyAlignment="1">
      <alignment horizontal="center" vertical="center"/>
    </xf>
    <xf numFmtId="0" fontId="10" fillId="0" borderId="138" xfId="0" applyFont="1" applyFill="1" applyBorder="1" applyAlignment="1">
      <alignment horizontal="center" vertical="center"/>
    </xf>
    <xf numFmtId="0" fontId="10" fillId="0" borderId="141" xfId="0" applyFont="1" applyFill="1" applyBorder="1" applyAlignment="1">
      <alignment horizontal="center" vertical="center"/>
    </xf>
    <xf numFmtId="0" fontId="10" fillId="0" borderId="140" xfId="0" applyFont="1" applyFill="1" applyBorder="1" applyAlignment="1">
      <alignment horizontal="center" vertical="center"/>
    </xf>
    <xf numFmtId="178" fontId="10" fillId="0" borderId="141" xfId="0" applyNumberFormat="1" applyFont="1" applyFill="1" applyBorder="1">
      <alignment vertical="center"/>
    </xf>
    <xf numFmtId="49" fontId="10" fillId="0" borderId="140" xfId="0" applyNumberFormat="1" applyFont="1" applyFill="1" applyBorder="1">
      <alignment vertical="center"/>
    </xf>
    <xf numFmtId="177" fontId="20" fillId="0" borderId="141" xfId="0" applyNumberFormat="1" applyFont="1" applyFill="1" applyBorder="1" applyAlignment="1">
      <alignment horizontal="center" vertical="center"/>
    </xf>
    <xf numFmtId="177" fontId="20" fillId="0" borderId="140" xfId="0" applyNumberFormat="1" applyFont="1" applyFill="1" applyBorder="1" applyAlignment="1">
      <alignment horizontal="center" vertical="center"/>
    </xf>
    <xf numFmtId="3" fontId="22" fillId="0" borderId="141" xfId="0" applyNumberFormat="1" applyFont="1" applyFill="1" applyBorder="1" applyAlignment="1">
      <alignment horizontal="center" vertical="center"/>
    </xf>
    <xf numFmtId="3" fontId="62" fillId="0" borderId="140" xfId="0" applyNumberFormat="1" applyFont="1" applyFill="1" applyBorder="1" applyAlignment="1">
      <alignment horizontal="center" vertical="center"/>
    </xf>
    <xf numFmtId="3" fontId="41" fillId="0" borderId="141" xfId="0" applyNumberFormat="1" applyFont="1" applyFill="1" applyBorder="1" applyAlignment="1">
      <alignment horizontal="center" vertical="center"/>
    </xf>
    <xf numFmtId="3" fontId="41" fillId="0" borderId="140" xfId="0" applyNumberFormat="1" applyFont="1" applyFill="1" applyBorder="1" applyAlignment="1">
      <alignment horizontal="center" vertical="center"/>
    </xf>
    <xf numFmtId="0" fontId="10" fillId="0" borderId="143" xfId="0" applyFont="1" applyFill="1" applyBorder="1">
      <alignment vertical="center"/>
    </xf>
    <xf numFmtId="0" fontId="10" fillId="0" borderId="142" xfId="0" applyFont="1" applyFill="1" applyBorder="1">
      <alignment vertical="center"/>
    </xf>
    <xf numFmtId="3" fontId="63" fillId="0" borderId="75" xfId="0" applyNumberFormat="1" applyFont="1" applyFill="1" applyBorder="1" applyAlignment="1">
      <alignment horizontal="center" vertical="center"/>
    </xf>
    <xf numFmtId="3" fontId="64" fillId="0" borderId="1" xfId="0" applyNumberFormat="1" applyFont="1" applyFill="1" applyBorder="1" applyAlignment="1">
      <alignment horizontal="center" vertical="center"/>
    </xf>
    <xf numFmtId="0" fontId="18" fillId="3" borderId="144" xfId="0" applyNumberFormat="1" applyFont="1" applyFill="1" applyBorder="1" applyAlignment="1">
      <alignment horizontal="center" vertical="center"/>
    </xf>
    <xf numFmtId="49" fontId="18" fillId="0" borderId="144" xfId="0" applyNumberFormat="1" applyFont="1" applyFill="1" applyBorder="1" applyAlignment="1">
      <alignment horizontal="center" vertical="center"/>
    </xf>
    <xf numFmtId="0" fontId="39" fillId="0" borderId="144" xfId="0" applyNumberFormat="1" applyFont="1" applyFill="1" applyBorder="1" applyAlignment="1">
      <alignment horizontal="center" vertical="center"/>
    </xf>
    <xf numFmtId="176" fontId="38" fillId="0" borderId="144" xfId="0" applyNumberFormat="1" applyFont="1" applyFill="1" applyBorder="1" applyAlignment="1">
      <alignment horizontal="center" vertical="center" shrinkToFit="1"/>
    </xf>
    <xf numFmtId="3" fontId="38" fillId="3" borderId="144" xfId="0" applyNumberFormat="1" applyFont="1" applyFill="1" applyBorder="1" applyAlignment="1">
      <alignment horizontal="center" vertical="center"/>
    </xf>
    <xf numFmtId="3" fontId="38" fillId="0" borderId="144" xfId="0" applyNumberFormat="1" applyFont="1" applyFill="1" applyBorder="1" applyAlignment="1">
      <alignment horizontal="right" vertical="center"/>
    </xf>
    <xf numFmtId="3" fontId="24" fillId="0" borderId="144" xfId="0" applyNumberFormat="1" applyFont="1" applyFill="1" applyBorder="1">
      <alignment vertical="center"/>
    </xf>
    <xf numFmtId="0" fontId="10" fillId="0" borderId="83" xfId="0" applyFont="1" applyFill="1" applyBorder="1" applyAlignment="1">
      <alignment horizontal="center" vertical="center"/>
    </xf>
    <xf numFmtId="3" fontId="64" fillId="0" borderId="75" xfId="0" applyNumberFormat="1" applyFont="1" applyFill="1" applyBorder="1" applyAlignment="1">
      <alignment horizontal="center" vertical="center"/>
    </xf>
    <xf numFmtId="3" fontId="64" fillId="0" borderId="140" xfId="0" applyNumberFormat="1" applyFont="1" applyFill="1" applyBorder="1" applyAlignment="1">
      <alignment horizontal="center" vertical="center"/>
    </xf>
    <xf numFmtId="3" fontId="22" fillId="0" borderId="140" xfId="0" applyNumberFormat="1" applyFont="1" applyFill="1" applyBorder="1" applyAlignment="1">
      <alignment horizontal="center" vertical="center"/>
    </xf>
    <xf numFmtId="0" fontId="10" fillId="0" borderId="146" xfId="0" applyFont="1" applyFill="1" applyBorder="1">
      <alignment vertical="center"/>
    </xf>
    <xf numFmtId="0" fontId="10" fillId="0" borderId="145" xfId="0" applyFont="1" applyFill="1" applyBorder="1">
      <alignment vertical="center"/>
    </xf>
    <xf numFmtId="0" fontId="10" fillId="0" borderId="147" xfId="0" applyFont="1" applyFill="1" applyBorder="1" applyAlignment="1">
      <alignment horizontal="center" vertical="center"/>
    </xf>
    <xf numFmtId="0" fontId="10" fillId="0" borderId="148" xfId="0" applyFont="1" applyFill="1" applyBorder="1" applyAlignment="1">
      <alignment horizontal="center" vertical="center"/>
    </xf>
    <xf numFmtId="0" fontId="10" fillId="0" borderId="149" xfId="0" applyFont="1" applyFill="1" applyBorder="1" applyAlignment="1">
      <alignment horizontal="center" vertical="center"/>
    </xf>
    <xf numFmtId="49" fontId="10" fillId="0" borderId="150" xfId="0" applyNumberFormat="1" applyFont="1" applyFill="1" applyBorder="1">
      <alignment vertical="center"/>
    </xf>
    <xf numFmtId="177" fontId="20" fillId="0" borderId="151" xfId="0" applyNumberFormat="1" applyFont="1" applyFill="1" applyBorder="1" applyAlignment="1">
      <alignment horizontal="center" vertical="center"/>
    </xf>
    <xf numFmtId="49" fontId="10" fillId="0" borderId="152" xfId="0" applyNumberFormat="1" applyFont="1" applyFill="1" applyBorder="1">
      <alignment vertical="center"/>
    </xf>
    <xf numFmtId="0" fontId="3" fillId="0" borderId="153" xfId="0" applyNumberFormat="1" applyFont="1" applyFill="1" applyBorder="1" applyAlignment="1">
      <alignment horizontal="center" vertical="center"/>
    </xf>
    <xf numFmtId="0" fontId="3" fillId="0" borderId="155" xfId="0" applyNumberFormat="1" applyFont="1" applyFill="1" applyBorder="1" applyAlignment="1">
      <alignment horizontal="center" vertical="center"/>
    </xf>
    <xf numFmtId="0" fontId="3" fillId="0" borderId="116" xfId="0" applyNumberFormat="1" applyFont="1" applyFill="1" applyBorder="1" applyAlignment="1">
      <alignment horizontal="center" vertical="center"/>
    </xf>
    <xf numFmtId="0" fontId="11" fillId="0" borderId="154" xfId="0" applyNumberFormat="1" applyFont="1" applyFill="1" applyBorder="1">
      <alignment vertical="center"/>
    </xf>
    <xf numFmtId="0" fontId="11" fillId="0" borderId="153" xfId="0" applyNumberFormat="1" applyFont="1" applyFill="1" applyBorder="1">
      <alignment vertical="center"/>
    </xf>
    <xf numFmtId="183" fontId="3" fillId="0" borderId="156" xfId="0" applyNumberFormat="1" applyFont="1" applyFill="1" applyBorder="1" applyAlignment="1">
      <alignment horizontal="center" vertical="center"/>
    </xf>
    <xf numFmtId="183" fontId="5" fillId="0" borderId="154" xfId="0" applyNumberFormat="1" applyFont="1" applyFill="1" applyBorder="1" applyAlignment="1">
      <alignment horizontal="center" vertical="center"/>
    </xf>
    <xf numFmtId="183" fontId="5" fillId="0" borderId="153" xfId="0" applyNumberFormat="1" applyFont="1" applyFill="1" applyBorder="1" applyAlignment="1">
      <alignment horizontal="center" vertical="center"/>
    </xf>
    <xf numFmtId="183" fontId="3" fillId="0" borderId="154" xfId="0" applyNumberFormat="1" applyFont="1" applyFill="1" applyBorder="1" applyAlignment="1">
      <alignment horizontal="center" vertical="center"/>
    </xf>
    <xf numFmtId="183" fontId="3" fillId="0" borderId="153" xfId="0" applyNumberFormat="1" applyFont="1" applyFill="1" applyBorder="1" applyAlignment="1">
      <alignment horizontal="center" vertical="center"/>
    </xf>
    <xf numFmtId="0" fontId="3" fillId="0" borderId="156" xfId="0" applyNumberFormat="1" applyFont="1" applyFill="1" applyBorder="1">
      <alignment vertical="center"/>
    </xf>
    <xf numFmtId="0" fontId="3" fillId="0" borderId="156" xfId="0" applyNumberFormat="1" applyFont="1" applyFill="1" applyBorder="1" applyAlignment="1">
      <alignment horizontal="center" vertical="center"/>
    </xf>
    <xf numFmtId="183" fontId="5" fillId="0" borderId="156" xfId="0" applyNumberFormat="1" applyFont="1" applyFill="1" applyBorder="1" applyAlignment="1">
      <alignment horizontal="center" vertical="center"/>
    </xf>
    <xf numFmtId="183" fontId="5" fillId="0" borderId="67" xfId="0" applyNumberFormat="1" applyFont="1" applyFill="1" applyBorder="1" applyAlignment="1">
      <alignment horizontal="center" vertical="center"/>
    </xf>
    <xf numFmtId="0" fontId="3" fillId="0" borderId="154" xfId="0" applyNumberFormat="1" applyFont="1" applyFill="1" applyBorder="1">
      <alignment vertical="center"/>
    </xf>
    <xf numFmtId="0" fontId="3" fillId="0" borderId="153" xfId="0" applyNumberFormat="1" applyFont="1" applyFill="1" applyBorder="1">
      <alignment vertical="center"/>
    </xf>
    <xf numFmtId="176" fontId="0" fillId="0" borderId="71" xfId="0" applyNumberFormat="1" applyFill="1" applyBorder="1">
      <alignment vertical="center"/>
    </xf>
    <xf numFmtId="176" fontId="0" fillId="0" borderId="47" xfId="0" applyNumberFormat="1" applyFill="1" applyBorder="1">
      <alignment vertical="center"/>
    </xf>
    <xf numFmtId="180" fontId="0" fillId="0" borderId="47" xfId="0" applyNumberFormat="1" applyFill="1" applyBorder="1">
      <alignment vertical="center"/>
    </xf>
    <xf numFmtId="176" fontId="0" fillId="0" borderId="0" xfId="0" applyNumberFormat="1" applyFill="1" applyBorder="1">
      <alignment vertical="center"/>
    </xf>
    <xf numFmtId="176" fontId="0" fillId="0" borderId="157" xfId="0" applyNumberFormat="1" applyFill="1" applyBorder="1">
      <alignment vertical="center"/>
    </xf>
    <xf numFmtId="176" fontId="0" fillId="0" borderId="158" xfId="0" applyNumberFormat="1" applyFill="1" applyBorder="1">
      <alignment vertical="center"/>
    </xf>
    <xf numFmtId="176" fontId="0" fillId="0" borderId="150" xfId="0" applyNumberFormat="1" applyFill="1" applyBorder="1">
      <alignment vertical="center"/>
    </xf>
    <xf numFmtId="176" fontId="0" fillId="0" borderId="159" xfId="0" applyNumberFormat="1" applyFill="1" applyBorder="1">
      <alignment vertical="center"/>
    </xf>
    <xf numFmtId="180" fontId="0" fillId="0" borderId="160" xfId="0" applyNumberFormat="1" applyFill="1" applyBorder="1">
      <alignment vertical="center"/>
    </xf>
    <xf numFmtId="176" fontId="0" fillId="0" borderId="144" xfId="0" applyNumberFormat="1" applyFill="1" applyBorder="1">
      <alignment vertical="center"/>
    </xf>
    <xf numFmtId="176" fontId="0" fillId="0" borderId="161" xfId="0" applyNumberFormat="1" applyFill="1" applyBorder="1">
      <alignment vertical="center"/>
    </xf>
    <xf numFmtId="0" fontId="4" fillId="0" borderId="150" xfId="0" applyFont="1" applyFill="1" applyBorder="1" applyAlignment="1">
      <alignment horizontal="center" vertical="center"/>
    </xf>
    <xf numFmtId="0" fontId="0" fillId="0" borderId="162" xfId="0" applyFill="1" applyBorder="1">
      <alignment vertical="center"/>
    </xf>
    <xf numFmtId="0" fontId="4" fillId="0" borderId="164" xfId="0" applyNumberFormat="1" applyFont="1" applyFill="1" applyBorder="1" applyAlignment="1">
      <alignment horizontal="center" vertical="center"/>
    </xf>
    <xf numFmtId="0" fontId="4" fillId="0" borderId="163" xfId="0" applyFont="1" applyFill="1" applyBorder="1" applyAlignment="1">
      <alignment horizontal="center" vertical="center"/>
    </xf>
    <xf numFmtId="176" fontId="0" fillId="0" borderId="165" xfId="0" applyNumberFormat="1" applyFill="1" applyBorder="1">
      <alignment vertical="center"/>
    </xf>
    <xf numFmtId="176" fontId="15" fillId="0" borderId="167" xfId="0" applyNumberFormat="1" applyFont="1" applyFill="1" applyBorder="1">
      <alignment vertical="center"/>
    </xf>
    <xf numFmtId="176" fontId="15" fillId="0" borderId="166" xfId="0" applyNumberFormat="1" applyFont="1" applyFill="1" applyBorder="1">
      <alignment vertical="center"/>
    </xf>
    <xf numFmtId="0" fontId="0" fillId="0" borderId="122" xfId="0" applyNumberFormat="1" applyFill="1" applyBorder="1">
      <alignment vertical="center"/>
    </xf>
    <xf numFmtId="176" fontId="0" fillId="0" borderId="168" xfId="0" applyNumberFormat="1" applyFill="1" applyBorder="1">
      <alignment vertical="center"/>
    </xf>
    <xf numFmtId="176" fontId="0" fillId="0" borderId="169" xfId="0" applyNumberFormat="1" applyFill="1" applyBorder="1">
      <alignment vertical="center"/>
    </xf>
    <xf numFmtId="0" fontId="10" fillId="0" borderId="170" xfId="0" applyFont="1" applyFill="1" applyBorder="1" applyAlignment="1">
      <alignment horizontal="center" vertical="center"/>
    </xf>
    <xf numFmtId="0" fontId="10" fillId="0" borderId="171" xfId="0" applyFont="1" applyFill="1" applyBorder="1" applyAlignment="1">
      <alignment horizontal="center" vertical="center"/>
    </xf>
    <xf numFmtId="0" fontId="10" fillId="0" borderId="75" xfId="0" applyFont="1" applyFill="1" applyBorder="1">
      <alignment vertical="center"/>
    </xf>
    <xf numFmtId="49" fontId="10" fillId="0" borderId="172" xfId="0" applyNumberFormat="1" applyFont="1" applyFill="1" applyBorder="1">
      <alignment vertical="center"/>
    </xf>
    <xf numFmtId="177" fontId="20" fillId="0" borderId="173" xfId="0" applyNumberFormat="1" applyFont="1" applyFill="1" applyBorder="1" applyAlignment="1">
      <alignment horizontal="center" vertical="center"/>
    </xf>
    <xf numFmtId="3" fontId="64" fillId="0" borderId="174" xfId="0" applyNumberFormat="1" applyFont="1" applyFill="1" applyBorder="1" applyAlignment="1">
      <alignment horizontal="center" vertical="center"/>
    </xf>
    <xf numFmtId="3" fontId="22" fillId="0" borderId="174" xfId="0" applyNumberFormat="1" applyFont="1" applyFill="1" applyBorder="1" applyAlignment="1">
      <alignment horizontal="center" vertical="center"/>
    </xf>
    <xf numFmtId="0" fontId="10" fillId="0" borderId="175" xfId="0" applyFont="1" applyFill="1" applyBorder="1">
      <alignment vertical="center"/>
    </xf>
    <xf numFmtId="0" fontId="3" fillId="0" borderId="144" xfId="0" applyNumberFormat="1" applyFont="1" applyFill="1" applyBorder="1" applyAlignment="1">
      <alignment horizontal="center" vertical="center"/>
    </xf>
    <xf numFmtId="0" fontId="11" fillId="0" borderId="144" xfId="0" applyNumberFormat="1" applyFont="1" applyFill="1" applyBorder="1">
      <alignment vertical="center"/>
    </xf>
    <xf numFmtId="183" fontId="3" fillId="0" borderId="144" xfId="0" applyNumberFormat="1" applyFont="1" applyFill="1" applyBorder="1" applyAlignment="1">
      <alignment horizontal="center" vertical="center"/>
    </xf>
    <xf numFmtId="183" fontId="5" fillId="0" borderId="144" xfId="0" applyNumberFormat="1" applyFont="1" applyFill="1" applyBorder="1" applyAlignment="1">
      <alignment horizontal="center" vertical="center"/>
    </xf>
    <xf numFmtId="0" fontId="3" fillId="0" borderId="144" xfId="0" applyNumberFormat="1" applyFont="1" applyFill="1" applyBorder="1">
      <alignment vertical="center"/>
    </xf>
    <xf numFmtId="3" fontId="64" fillId="0" borderId="84" xfId="0" applyNumberFormat="1" applyFont="1" applyFill="1" applyBorder="1" applyAlignment="1">
      <alignment horizontal="center" vertical="center"/>
    </xf>
    <xf numFmtId="3" fontId="64" fillId="0" borderId="97" xfId="0" applyNumberFormat="1" applyFont="1" applyFill="1" applyBorder="1" applyAlignment="1">
      <alignment horizontal="center" vertical="center"/>
    </xf>
    <xf numFmtId="3" fontId="64" fillId="0" borderId="18" xfId="0" applyNumberFormat="1" applyFont="1" applyFill="1" applyBorder="1" applyAlignment="1">
      <alignment horizontal="center" vertical="center"/>
    </xf>
    <xf numFmtId="3" fontId="64" fillId="0" borderId="22" xfId="0" applyNumberFormat="1" applyFont="1" applyFill="1" applyBorder="1" applyAlignment="1">
      <alignment horizontal="center" vertical="center"/>
    </xf>
    <xf numFmtId="3" fontId="64" fillId="0" borderId="59" xfId="0" applyNumberFormat="1" applyFont="1" applyFill="1" applyBorder="1" applyAlignment="1">
      <alignment horizontal="center" vertical="center"/>
    </xf>
    <xf numFmtId="49" fontId="64" fillId="0" borderId="59" xfId="0" applyNumberFormat="1" applyFont="1" applyFill="1" applyBorder="1" applyAlignment="1">
      <alignment horizontal="center" vertical="center"/>
    </xf>
    <xf numFmtId="0" fontId="67" fillId="0" borderId="59" xfId="0" applyNumberFormat="1" applyFont="1" applyFill="1" applyBorder="1">
      <alignment vertical="center"/>
    </xf>
    <xf numFmtId="0" fontId="3" fillId="0" borderId="154" xfId="0" applyNumberFormat="1" applyFont="1" applyFill="1" applyBorder="1" applyAlignment="1">
      <alignment horizontal="center" vertical="center"/>
    </xf>
    <xf numFmtId="0" fontId="3" fillId="0" borderId="176" xfId="0" applyNumberFormat="1" applyFont="1" applyFill="1" applyBorder="1" applyAlignment="1">
      <alignment horizontal="center" vertical="center"/>
    </xf>
    <xf numFmtId="49" fontId="11" fillId="0" borderId="177" xfId="0" applyNumberFormat="1" applyFont="1" applyFill="1" applyBorder="1">
      <alignment vertical="center"/>
    </xf>
    <xf numFmtId="0" fontId="3" fillId="0" borderId="178" xfId="0" applyNumberFormat="1" applyFont="1" applyFill="1" applyBorder="1" applyAlignment="1">
      <alignment horizontal="center" vertical="center"/>
    </xf>
    <xf numFmtId="176" fontId="3" fillId="0" borderId="176" xfId="0" applyNumberFormat="1" applyFont="1" applyFill="1" applyBorder="1" applyAlignment="1">
      <alignment horizontal="center" vertical="center"/>
    </xf>
    <xf numFmtId="177" fontId="5" fillId="0" borderId="176" xfId="0" applyNumberFormat="1" applyFont="1" applyFill="1" applyBorder="1" applyAlignment="1">
      <alignment horizontal="center" vertical="center"/>
    </xf>
    <xf numFmtId="176" fontId="3" fillId="0" borderId="177" xfId="0" applyNumberFormat="1" applyFont="1" applyFill="1" applyBorder="1" applyAlignment="1">
      <alignment horizontal="center" vertical="center"/>
    </xf>
    <xf numFmtId="0" fontId="3" fillId="0" borderId="177" xfId="0" applyFont="1" applyFill="1" applyBorder="1">
      <alignment vertical="center"/>
    </xf>
    <xf numFmtId="0" fontId="3" fillId="0" borderId="67" xfId="0" applyFont="1" applyFill="1" applyBorder="1">
      <alignment vertical="center"/>
    </xf>
    <xf numFmtId="49" fontId="11" fillId="0" borderId="154" xfId="0" applyNumberFormat="1" applyFont="1" applyFill="1" applyBorder="1" applyAlignment="1">
      <alignment vertical="center" shrinkToFit="1"/>
    </xf>
    <xf numFmtId="49" fontId="11" fillId="0" borderId="176" xfId="0" applyNumberFormat="1" applyFont="1" applyFill="1" applyBorder="1" applyAlignment="1">
      <alignment vertical="center" shrinkToFit="1"/>
    </xf>
    <xf numFmtId="49" fontId="3" fillId="0" borderId="177" xfId="0" applyNumberFormat="1" applyFont="1" applyFill="1" applyBorder="1">
      <alignment vertical="center"/>
    </xf>
    <xf numFmtId="49" fontId="3" fillId="0" borderId="67" xfId="0" applyNumberFormat="1" applyFont="1" applyFill="1" applyBorder="1">
      <alignment vertical="center"/>
    </xf>
    <xf numFmtId="49" fontId="11" fillId="0" borderId="177" xfId="0" applyNumberFormat="1" applyFont="1" applyFill="1" applyBorder="1" applyAlignment="1">
      <alignment vertical="center" shrinkToFit="1"/>
    </xf>
    <xf numFmtId="49" fontId="11" fillId="0" borderId="67" xfId="0" applyNumberFormat="1" applyFont="1" applyFill="1" applyBorder="1" applyAlignment="1">
      <alignment vertical="center" shrinkToFit="1"/>
    </xf>
    <xf numFmtId="49" fontId="11" fillId="0" borderId="154" xfId="0" applyNumberFormat="1" applyFont="1" applyFill="1" applyBorder="1">
      <alignment vertical="center"/>
    </xf>
    <xf numFmtId="49" fontId="11" fillId="0" borderId="176" xfId="0" applyNumberFormat="1" applyFont="1" applyFill="1" applyBorder="1">
      <alignment vertical="center"/>
    </xf>
    <xf numFmtId="0" fontId="3" fillId="0" borderId="177" xfId="0" applyNumberFormat="1" applyFont="1" applyFill="1" applyBorder="1" applyAlignment="1">
      <alignment horizontal="center" vertical="center"/>
    </xf>
    <xf numFmtId="0" fontId="11" fillId="0" borderId="179" xfId="0" applyNumberFormat="1" applyFont="1" applyFill="1" applyBorder="1">
      <alignment vertical="center"/>
    </xf>
    <xf numFmtId="0" fontId="3" fillId="0" borderId="179" xfId="0" applyNumberFormat="1" applyFont="1" applyFill="1" applyBorder="1" applyAlignment="1">
      <alignment horizontal="center" vertical="center"/>
    </xf>
    <xf numFmtId="3" fontId="49" fillId="0" borderId="131" xfId="0" applyNumberFormat="1" applyFont="1" applyFill="1" applyBorder="1" applyAlignment="1">
      <alignment horizontal="right" vertical="center"/>
    </xf>
    <xf numFmtId="49" fontId="9" fillId="0" borderId="26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0" fillId="0" borderId="26" xfId="0" applyFill="1" applyBorder="1">
      <alignment vertical="center"/>
    </xf>
    <xf numFmtId="49" fontId="9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49" fontId="3" fillId="0" borderId="55" xfId="0" applyNumberFormat="1" applyFont="1" applyFill="1" applyBorder="1" applyAlignment="1">
      <alignment horizontal="center" vertical="center"/>
    </xf>
    <xf numFmtId="49" fontId="3" fillId="0" borderId="56" xfId="0" applyNumberFormat="1" applyFont="1" applyFill="1" applyBorder="1" applyAlignment="1">
      <alignment horizontal="center" vertical="center"/>
    </xf>
    <xf numFmtId="49" fontId="3" fillId="0" borderId="57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</cellXfs>
  <cellStyles count="4">
    <cellStyle name="一般" xfId="0" builtinId="0"/>
    <cellStyle name="一般 2" xfId="2" xr:uid="{00000000-0005-0000-0000-00002F000000}"/>
    <cellStyle name="一般 3" xfId="3" xr:uid="{00000000-0005-0000-0000-000001000000}"/>
    <cellStyle name="千分位" xfId="1" builtinId="3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FFFF"/>
      <color rgb="FF6699FF"/>
      <color rgb="FF00CCFF"/>
      <color rgb="FFECB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V401"/>
  <sheetViews>
    <sheetView showGridLines="0" tabSelected="1" showRuler="0" view="pageBreakPreview" zoomScale="88" zoomScaleNormal="130" zoomScaleSheetLayoutView="88" zoomScalePageLayoutView="130" workbookViewId="0">
      <pane ySplit="2" topLeftCell="A308" activePane="bottomLeft" state="frozen"/>
      <selection pane="bottomLeft" activeCell="C317" sqref="C317"/>
    </sheetView>
  </sheetViews>
  <sheetFormatPr defaultColWidth="8.81640625" defaultRowHeight="24" customHeight="1"/>
  <cols>
    <col min="1" max="1" width="5.54296875" style="164" customWidth="1"/>
    <col min="2" max="2" width="6.7265625" style="164" customWidth="1"/>
    <col min="3" max="3" width="72.26953125" style="150" customWidth="1"/>
    <col min="4" max="4" width="15.26953125" style="150" customWidth="1"/>
    <col min="5" max="5" width="16" style="163" customWidth="1"/>
    <col min="6" max="6" width="21.453125" style="150" customWidth="1"/>
    <col min="7" max="7" width="34.36328125" style="150" customWidth="1"/>
    <col min="8" max="8" width="8.81640625" style="150" customWidth="1"/>
    <col min="9" max="9" width="12.08984375" style="150" customWidth="1"/>
    <col min="10" max="256" width="8.81640625" style="150" customWidth="1"/>
    <col min="257" max="16384" width="8.81640625" style="161"/>
  </cols>
  <sheetData>
    <row r="1" spans="1:7" s="150" customFormat="1" ht="24" customHeight="1">
      <c r="A1" s="643" t="s">
        <v>135</v>
      </c>
      <c r="B1" s="644"/>
      <c r="C1" s="644"/>
      <c r="D1" s="644"/>
      <c r="E1" s="644"/>
      <c r="F1" s="644"/>
      <c r="G1" s="645"/>
    </row>
    <row r="2" spans="1:7" s="150" customFormat="1" ht="24" customHeight="1">
      <c r="A2" s="409" t="s">
        <v>0</v>
      </c>
      <c r="B2" s="430" t="s">
        <v>1</v>
      </c>
      <c r="C2" s="430" t="s">
        <v>2</v>
      </c>
      <c r="D2" s="415" t="s">
        <v>3</v>
      </c>
      <c r="E2" s="52" t="s">
        <v>4</v>
      </c>
      <c r="F2" s="51" t="s">
        <v>5</v>
      </c>
      <c r="G2" s="51" t="s">
        <v>6</v>
      </c>
    </row>
    <row r="3" spans="1:7" s="150" customFormat="1" ht="27.6" customHeight="1">
      <c r="A3" s="340">
        <v>12</v>
      </c>
      <c r="B3" s="241">
        <v>31</v>
      </c>
      <c r="C3" s="431" t="s">
        <v>137</v>
      </c>
      <c r="D3" s="416"/>
      <c r="E3" s="200"/>
      <c r="F3" s="197">
        <v>488294</v>
      </c>
      <c r="G3" s="71"/>
    </row>
    <row r="4" spans="1:7" s="150" customFormat="1" ht="24" customHeight="1" thickBot="1">
      <c r="A4" s="618">
        <v>1</v>
      </c>
      <c r="B4" s="618">
        <v>5</v>
      </c>
      <c r="C4" s="619" t="s">
        <v>136</v>
      </c>
      <c r="D4" s="621"/>
      <c r="E4" s="622">
        <v>163060</v>
      </c>
      <c r="F4" s="623">
        <v>325234</v>
      </c>
      <c r="G4" s="624"/>
    </row>
    <row r="5" spans="1:7" s="150" customFormat="1" ht="24" customHeight="1">
      <c r="A5" s="620">
        <v>1</v>
      </c>
      <c r="B5" s="617">
        <v>6</v>
      </c>
      <c r="C5" s="456" t="s">
        <v>221</v>
      </c>
      <c r="D5" s="417"/>
      <c r="E5" s="208">
        <v>168</v>
      </c>
      <c r="F5" s="258">
        <v>325066</v>
      </c>
      <c r="G5" s="625"/>
    </row>
    <row r="6" spans="1:7" s="150" customFormat="1" ht="24" customHeight="1">
      <c r="A6" s="340">
        <v>1</v>
      </c>
      <c r="B6" s="241">
        <v>6</v>
      </c>
      <c r="C6" s="431" t="s">
        <v>222</v>
      </c>
      <c r="D6" s="418">
        <v>1600</v>
      </c>
      <c r="E6" s="202"/>
      <c r="F6" s="197">
        <v>326666</v>
      </c>
      <c r="G6" s="71"/>
    </row>
    <row r="7" spans="1:7" s="150" customFormat="1" ht="24" customHeight="1">
      <c r="A7" s="340">
        <v>1</v>
      </c>
      <c r="B7" s="241">
        <v>6</v>
      </c>
      <c r="C7" s="431" t="s">
        <v>223</v>
      </c>
      <c r="D7" s="418">
        <v>800</v>
      </c>
      <c r="E7" s="201"/>
      <c r="F7" s="197">
        <v>327466</v>
      </c>
      <c r="G7" s="151"/>
    </row>
    <row r="8" spans="1:7" s="150" customFormat="1" ht="24" customHeight="1">
      <c r="A8" s="340">
        <v>1</v>
      </c>
      <c r="B8" s="241">
        <v>6</v>
      </c>
      <c r="C8" s="431" t="s">
        <v>224</v>
      </c>
      <c r="D8" s="418">
        <v>1200</v>
      </c>
      <c r="E8" s="202"/>
      <c r="F8" s="209">
        <v>328666</v>
      </c>
      <c r="G8" s="71"/>
    </row>
    <row r="9" spans="1:7" s="150" customFormat="1" ht="24" customHeight="1">
      <c r="A9" s="340">
        <v>1</v>
      </c>
      <c r="B9" s="241">
        <v>7</v>
      </c>
      <c r="C9" s="431" t="s">
        <v>283</v>
      </c>
      <c r="D9" s="418">
        <v>5500</v>
      </c>
      <c r="E9" s="201"/>
      <c r="F9" s="197">
        <v>334166</v>
      </c>
      <c r="G9" s="151" t="s">
        <v>236</v>
      </c>
    </row>
    <row r="10" spans="1:7" s="150" customFormat="1" ht="24" customHeight="1">
      <c r="A10" s="340">
        <v>1</v>
      </c>
      <c r="B10" s="241">
        <v>7</v>
      </c>
      <c r="C10" s="431" t="s">
        <v>225</v>
      </c>
      <c r="D10" s="418">
        <v>1900</v>
      </c>
      <c r="E10" s="201"/>
      <c r="F10" s="197">
        <v>336066</v>
      </c>
      <c r="G10" s="151"/>
    </row>
    <row r="11" spans="1:7" s="150" customFormat="1" ht="24" customHeight="1">
      <c r="A11" s="340">
        <v>1</v>
      </c>
      <c r="B11" s="241">
        <v>7</v>
      </c>
      <c r="C11" s="431" t="s">
        <v>226</v>
      </c>
      <c r="D11" s="418">
        <v>4000</v>
      </c>
      <c r="E11" s="201"/>
      <c r="F11" s="197">
        <v>340066</v>
      </c>
      <c r="G11" s="151" t="s">
        <v>237</v>
      </c>
    </row>
    <row r="12" spans="1:7" s="150" customFormat="1" ht="24" customHeight="1">
      <c r="A12" s="340">
        <v>1</v>
      </c>
      <c r="B12" s="241">
        <v>8</v>
      </c>
      <c r="C12" s="431" t="s">
        <v>227</v>
      </c>
      <c r="D12" s="418"/>
      <c r="E12" s="201">
        <v>3690</v>
      </c>
      <c r="F12" s="197">
        <v>336376</v>
      </c>
      <c r="G12" s="151"/>
    </row>
    <row r="13" spans="1:7" s="150" customFormat="1" ht="24" customHeight="1">
      <c r="A13" s="340">
        <v>1</v>
      </c>
      <c r="B13" s="241">
        <v>8</v>
      </c>
      <c r="C13" s="431" t="s">
        <v>232</v>
      </c>
      <c r="D13" s="418">
        <v>3900</v>
      </c>
      <c r="E13" s="201"/>
      <c r="F13" s="197">
        <v>340276</v>
      </c>
      <c r="G13" s="151"/>
    </row>
    <row r="14" spans="1:7" s="150" customFormat="1" ht="24" customHeight="1">
      <c r="A14" s="340">
        <v>1</v>
      </c>
      <c r="B14" s="241">
        <v>9</v>
      </c>
      <c r="C14" s="431" t="s">
        <v>231</v>
      </c>
      <c r="D14" s="418">
        <v>2000</v>
      </c>
      <c r="E14" s="245"/>
      <c r="F14" s="197">
        <v>342276</v>
      </c>
      <c r="G14" s="151"/>
    </row>
    <row r="15" spans="1:7" s="150" customFormat="1" ht="24" customHeight="1">
      <c r="A15" s="340">
        <v>1</v>
      </c>
      <c r="B15" s="241">
        <v>10</v>
      </c>
      <c r="C15" s="261" t="s">
        <v>233</v>
      </c>
      <c r="D15" s="418">
        <v>2000</v>
      </c>
      <c r="E15" s="202"/>
      <c r="F15" s="197">
        <v>344276</v>
      </c>
      <c r="G15" s="71"/>
    </row>
    <row r="16" spans="1:7" s="150" customFormat="1" ht="24" customHeight="1">
      <c r="A16" s="340">
        <v>1</v>
      </c>
      <c r="B16" s="241">
        <v>10</v>
      </c>
      <c r="C16" s="261" t="s">
        <v>234</v>
      </c>
      <c r="D16" s="418">
        <v>5500</v>
      </c>
      <c r="E16" s="202"/>
      <c r="F16" s="197">
        <v>349776</v>
      </c>
      <c r="G16" s="50"/>
    </row>
    <row r="17" spans="1:9" s="150" customFormat="1" ht="24" customHeight="1">
      <c r="A17" s="340">
        <v>1</v>
      </c>
      <c r="B17" s="241">
        <v>10</v>
      </c>
      <c r="C17" s="431" t="s">
        <v>235</v>
      </c>
      <c r="D17" s="418"/>
      <c r="E17" s="202">
        <v>1500</v>
      </c>
      <c r="F17" s="197">
        <v>348276</v>
      </c>
      <c r="G17" s="50"/>
    </row>
    <row r="18" spans="1:9" s="150" customFormat="1" ht="24" customHeight="1">
      <c r="A18" s="340">
        <v>1</v>
      </c>
      <c r="B18" s="241">
        <v>11</v>
      </c>
      <c r="C18" s="431" t="s">
        <v>238</v>
      </c>
      <c r="D18" s="418"/>
      <c r="E18" s="202">
        <v>3000</v>
      </c>
      <c r="F18" s="197">
        <v>345276</v>
      </c>
      <c r="G18" s="50"/>
    </row>
    <row r="19" spans="1:9" s="150" customFormat="1" ht="24" customHeight="1">
      <c r="A19" s="340">
        <v>1</v>
      </c>
      <c r="B19" s="241">
        <v>11</v>
      </c>
      <c r="C19" s="431" t="s">
        <v>244</v>
      </c>
      <c r="D19" s="418"/>
      <c r="E19" s="201">
        <v>5000</v>
      </c>
      <c r="F19" s="197">
        <v>340276</v>
      </c>
      <c r="G19" s="138"/>
    </row>
    <row r="20" spans="1:9" s="150" customFormat="1" ht="24" customHeight="1">
      <c r="A20" s="340">
        <v>1</v>
      </c>
      <c r="B20" s="241">
        <v>11</v>
      </c>
      <c r="C20" s="431" t="s">
        <v>239</v>
      </c>
      <c r="D20" s="418"/>
      <c r="E20" s="202">
        <v>12000</v>
      </c>
      <c r="F20" s="197">
        <v>328276</v>
      </c>
      <c r="G20" s="50"/>
    </row>
    <row r="21" spans="1:9" s="150" customFormat="1" ht="24" customHeight="1">
      <c r="A21" s="340">
        <v>1</v>
      </c>
      <c r="B21" s="241">
        <v>16</v>
      </c>
      <c r="C21" s="261" t="s">
        <v>243</v>
      </c>
      <c r="D21" s="418">
        <v>2000</v>
      </c>
      <c r="E21" s="202"/>
      <c r="F21" s="197">
        <v>330276</v>
      </c>
      <c r="G21" s="50"/>
    </row>
    <row r="22" spans="1:9" s="150" customFormat="1" ht="24" customHeight="1">
      <c r="A22" s="340">
        <v>1</v>
      </c>
      <c r="B22" s="241">
        <v>16</v>
      </c>
      <c r="C22" s="261" t="s">
        <v>242</v>
      </c>
      <c r="D22" s="419">
        <v>3000</v>
      </c>
      <c r="E22" s="244"/>
      <c r="F22" s="243">
        <v>333276</v>
      </c>
      <c r="G22" s="246"/>
    </row>
    <row r="23" spans="1:9" s="150" customFormat="1" ht="24" customHeight="1">
      <c r="A23" s="338">
        <v>1</v>
      </c>
      <c r="B23" s="241">
        <v>16</v>
      </c>
      <c r="C23" s="261" t="s">
        <v>246</v>
      </c>
      <c r="D23" s="418">
        <v>1900</v>
      </c>
      <c r="E23" s="245"/>
      <c r="F23" s="198">
        <v>335176</v>
      </c>
      <c r="G23" s="141"/>
    </row>
    <row r="24" spans="1:9" s="150" customFormat="1" ht="24" customHeight="1">
      <c r="A24" s="340">
        <v>1</v>
      </c>
      <c r="B24" s="241">
        <v>18</v>
      </c>
      <c r="C24" s="261" t="s">
        <v>245</v>
      </c>
      <c r="D24" s="418">
        <v>2000</v>
      </c>
      <c r="E24" s="201"/>
      <c r="F24" s="198">
        <v>337176</v>
      </c>
      <c r="G24" s="138"/>
    </row>
    <row r="25" spans="1:9" s="150" customFormat="1" ht="24" customHeight="1">
      <c r="A25" s="340">
        <v>1</v>
      </c>
      <c r="B25" s="241">
        <v>20</v>
      </c>
      <c r="C25" s="261" t="s">
        <v>247</v>
      </c>
      <c r="D25" s="418">
        <v>2000</v>
      </c>
      <c r="E25" s="202"/>
      <c r="F25" s="198">
        <v>339176</v>
      </c>
      <c r="G25" s="50"/>
    </row>
    <row r="26" spans="1:9" s="150" customFormat="1" ht="24" customHeight="1">
      <c r="A26" s="340">
        <v>1</v>
      </c>
      <c r="B26" s="241">
        <v>20</v>
      </c>
      <c r="C26" s="261" t="s">
        <v>252</v>
      </c>
      <c r="D26" s="418">
        <v>500</v>
      </c>
      <c r="E26" s="201"/>
      <c r="F26" s="198">
        <v>339676</v>
      </c>
      <c r="G26" s="138"/>
    </row>
    <row r="27" spans="1:9" s="150" customFormat="1" ht="24" customHeight="1">
      <c r="A27" s="340">
        <v>1</v>
      </c>
      <c r="B27" s="241">
        <v>21</v>
      </c>
      <c r="C27" s="261" t="s">
        <v>254</v>
      </c>
      <c r="D27" s="418">
        <v>103200</v>
      </c>
      <c r="E27" s="202"/>
      <c r="F27" s="198">
        <v>442876</v>
      </c>
      <c r="G27" s="50"/>
    </row>
    <row r="28" spans="1:9" s="150" customFormat="1" ht="24" customHeight="1">
      <c r="A28" s="340">
        <v>1</v>
      </c>
      <c r="B28" s="241">
        <v>22</v>
      </c>
      <c r="C28" s="432" t="s">
        <v>295</v>
      </c>
      <c r="D28" s="418">
        <v>1200</v>
      </c>
      <c r="E28" s="202"/>
      <c r="F28" s="198">
        <v>444076</v>
      </c>
      <c r="G28" s="50"/>
    </row>
    <row r="29" spans="1:9" s="150" customFormat="1" ht="24" customHeight="1">
      <c r="A29" s="340">
        <v>1</v>
      </c>
      <c r="B29" s="241">
        <v>23</v>
      </c>
      <c r="C29" s="261" t="s">
        <v>260</v>
      </c>
      <c r="D29" s="418"/>
      <c r="E29" s="202">
        <v>1470</v>
      </c>
      <c r="F29" s="198">
        <v>442606</v>
      </c>
      <c r="G29" s="50"/>
      <c r="I29" s="152"/>
    </row>
    <row r="30" spans="1:9" s="150" customFormat="1" ht="24" customHeight="1">
      <c r="A30" s="340">
        <v>1</v>
      </c>
      <c r="B30" s="241">
        <v>24</v>
      </c>
      <c r="C30" s="261" t="s">
        <v>255</v>
      </c>
      <c r="D30" s="418"/>
      <c r="E30" s="202">
        <v>2300</v>
      </c>
      <c r="F30" s="198">
        <v>440306</v>
      </c>
      <c r="G30" s="50"/>
      <c r="I30" s="152"/>
    </row>
    <row r="31" spans="1:9" s="150" customFormat="1" ht="24" customHeight="1">
      <c r="A31" s="340">
        <v>1</v>
      </c>
      <c r="B31" s="241">
        <v>25</v>
      </c>
      <c r="C31" s="261" t="s">
        <v>257</v>
      </c>
      <c r="D31" s="418"/>
      <c r="E31" s="202">
        <v>900</v>
      </c>
      <c r="F31" s="198">
        <v>439406</v>
      </c>
      <c r="G31" s="50"/>
      <c r="I31" s="152"/>
    </row>
    <row r="32" spans="1:9" s="150" customFormat="1" ht="24" customHeight="1">
      <c r="A32" s="340">
        <v>1</v>
      </c>
      <c r="B32" s="241">
        <v>25</v>
      </c>
      <c r="C32" s="261" t="s">
        <v>259</v>
      </c>
      <c r="D32" s="418"/>
      <c r="E32" s="202">
        <v>4055</v>
      </c>
      <c r="F32" s="198">
        <v>435351</v>
      </c>
      <c r="G32" s="50"/>
      <c r="I32" s="152"/>
    </row>
    <row r="33" spans="1:9" s="150" customFormat="1" ht="24" customHeight="1" thickBot="1">
      <c r="A33" s="410">
        <v>1</v>
      </c>
      <c r="B33" s="618">
        <v>26</v>
      </c>
      <c r="C33" s="627" t="s">
        <v>256</v>
      </c>
      <c r="D33" s="419"/>
      <c r="E33" s="259">
        <v>176141</v>
      </c>
      <c r="F33" s="260">
        <v>259210</v>
      </c>
      <c r="G33" s="628"/>
      <c r="I33" s="152"/>
    </row>
    <row r="34" spans="1:9" s="150" customFormat="1" ht="24" customHeight="1">
      <c r="A34" s="411">
        <v>1</v>
      </c>
      <c r="B34" s="617">
        <v>7</v>
      </c>
      <c r="C34" s="626" t="s">
        <v>284</v>
      </c>
      <c r="D34" s="420">
        <v>5600</v>
      </c>
      <c r="E34" s="203"/>
      <c r="F34" s="258">
        <v>264810</v>
      </c>
      <c r="G34" s="629"/>
    </row>
    <row r="35" spans="1:9" s="150" customFormat="1" ht="24" customHeight="1">
      <c r="A35" s="340">
        <v>1</v>
      </c>
      <c r="B35" s="241">
        <v>24</v>
      </c>
      <c r="C35" s="431" t="s">
        <v>233</v>
      </c>
      <c r="D35" s="421" t="s">
        <v>285</v>
      </c>
      <c r="E35" s="202"/>
      <c r="F35" s="198">
        <v>268310</v>
      </c>
      <c r="G35" s="50"/>
    </row>
    <row r="36" spans="1:9" s="150" customFormat="1" ht="24" customHeight="1">
      <c r="A36" s="410">
        <v>1</v>
      </c>
      <c r="B36" s="241">
        <v>25</v>
      </c>
      <c r="C36" s="261" t="s">
        <v>261</v>
      </c>
      <c r="D36" s="421" t="s">
        <v>286</v>
      </c>
      <c r="E36" s="202"/>
      <c r="F36" s="198">
        <v>275310</v>
      </c>
      <c r="G36" s="71"/>
    </row>
    <row r="37" spans="1:9" s="150" customFormat="1" ht="24" customHeight="1">
      <c r="A37" s="340">
        <v>2</v>
      </c>
      <c r="B37" s="241">
        <v>2</v>
      </c>
      <c r="C37" s="261" t="s">
        <v>226</v>
      </c>
      <c r="D37" s="422" t="s">
        <v>287</v>
      </c>
      <c r="E37" s="202"/>
      <c r="F37" s="198">
        <v>280910</v>
      </c>
      <c r="G37" s="71"/>
    </row>
    <row r="38" spans="1:9" s="150" customFormat="1" ht="24" customHeight="1">
      <c r="A38" s="340">
        <v>2</v>
      </c>
      <c r="B38" s="241">
        <v>3</v>
      </c>
      <c r="C38" s="261" t="s">
        <v>262</v>
      </c>
      <c r="D38" s="421" t="s">
        <v>286</v>
      </c>
      <c r="E38" s="202"/>
      <c r="F38" s="198">
        <v>287910</v>
      </c>
      <c r="G38" s="71"/>
    </row>
    <row r="39" spans="1:9" s="150" customFormat="1" ht="24" customHeight="1">
      <c r="A39" s="340">
        <v>2</v>
      </c>
      <c r="B39" s="241">
        <v>3</v>
      </c>
      <c r="C39" s="261" t="s">
        <v>290</v>
      </c>
      <c r="D39" s="421"/>
      <c r="E39" s="202">
        <v>4000</v>
      </c>
      <c r="F39" s="198">
        <v>283910</v>
      </c>
      <c r="G39" s="71"/>
    </row>
    <row r="40" spans="1:9" s="150" customFormat="1" ht="24" customHeight="1">
      <c r="A40" s="340">
        <v>2</v>
      </c>
      <c r="B40" s="241">
        <v>7</v>
      </c>
      <c r="C40" s="261" t="s">
        <v>232</v>
      </c>
      <c r="D40" s="421" t="s">
        <v>287</v>
      </c>
      <c r="E40" s="202"/>
      <c r="F40" s="198">
        <v>289510</v>
      </c>
      <c r="G40" s="71"/>
    </row>
    <row r="41" spans="1:9" s="150" customFormat="1" ht="24" customHeight="1">
      <c r="A41" s="340">
        <v>2</v>
      </c>
      <c r="B41" s="241">
        <v>11</v>
      </c>
      <c r="C41" s="431" t="s">
        <v>289</v>
      </c>
      <c r="D41" s="415"/>
      <c r="E41" s="201">
        <v>78</v>
      </c>
      <c r="F41" s="198">
        <v>289432</v>
      </c>
      <c r="G41" s="151"/>
    </row>
    <row r="42" spans="1:9" s="150" customFormat="1" ht="24" customHeight="1">
      <c r="A42" s="340">
        <v>2</v>
      </c>
      <c r="B42" s="241">
        <v>12</v>
      </c>
      <c r="C42" s="431" t="s">
        <v>288</v>
      </c>
      <c r="D42" s="415" t="s">
        <v>291</v>
      </c>
      <c r="E42" s="202"/>
      <c r="F42" s="198">
        <v>462632</v>
      </c>
      <c r="G42" s="71"/>
    </row>
    <row r="43" spans="1:9" s="150" customFormat="1" ht="24" customHeight="1">
      <c r="A43" s="340">
        <v>2</v>
      </c>
      <c r="B43" s="241">
        <v>3</v>
      </c>
      <c r="C43" s="431" t="s">
        <v>297</v>
      </c>
      <c r="D43" s="418">
        <v>5500</v>
      </c>
      <c r="E43" s="202"/>
      <c r="F43" s="198">
        <v>468132</v>
      </c>
      <c r="G43" s="71" t="s">
        <v>296</v>
      </c>
    </row>
    <row r="44" spans="1:9" s="150" customFormat="1" ht="24" customHeight="1">
      <c r="A44" s="410">
        <v>2</v>
      </c>
      <c r="B44" s="241">
        <v>5</v>
      </c>
      <c r="C44" s="431" t="s">
        <v>298</v>
      </c>
      <c r="D44" s="418"/>
      <c r="E44" s="244">
        <v>1100</v>
      </c>
      <c r="F44" s="242">
        <v>467032</v>
      </c>
      <c r="G44" s="246"/>
    </row>
    <row r="45" spans="1:9" s="150" customFormat="1" ht="24" customHeight="1">
      <c r="A45" s="340">
        <v>2</v>
      </c>
      <c r="B45" s="241">
        <v>12</v>
      </c>
      <c r="C45" s="261" t="s">
        <v>299</v>
      </c>
      <c r="D45" s="423">
        <v>1200</v>
      </c>
      <c r="E45" s="245"/>
      <c r="F45" s="243">
        <v>468232</v>
      </c>
      <c r="G45" s="141"/>
    </row>
    <row r="46" spans="1:9" s="150" customFormat="1" ht="24" customHeight="1">
      <c r="A46" s="340">
        <v>2</v>
      </c>
      <c r="B46" s="241">
        <v>13</v>
      </c>
      <c r="C46" s="261" t="s">
        <v>232</v>
      </c>
      <c r="D46" s="423">
        <v>4300</v>
      </c>
      <c r="E46" s="203"/>
      <c r="F46" s="198">
        <v>472532</v>
      </c>
      <c r="G46" s="138"/>
    </row>
    <row r="47" spans="1:9" s="150" customFormat="1" ht="24" customHeight="1">
      <c r="A47" s="340">
        <v>2</v>
      </c>
      <c r="B47" s="241">
        <v>14</v>
      </c>
      <c r="C47" s="261" t="s">
        <v>225</v>
      </c>
      <c r="D47" s="417">
        <v>2100</v>
      </c>
      <c r="E47" s="203"/>
      <c r="F47" s="198">
        <v>474632</v>
      </c>
      <c r="G47" s="50"/>
    </row>
    <row r="48" spans="1:9" s="150" customFormat="1" ht="24" customHeight="1">
      <c r="A48" s="340">
        <v>2</v>
      </c>
      <c r="B48" s="241">
        <v>14</v>
      </c>
      <c r="C48" s="261" t="s">
        <v>302</v>
      </c>
      <c r="D48" s="423">
        <v>2800</v>
      </c>
      <c r="E48" s="203"/>
      <c r="F48" s="198">
        <v>477432</v>
      </c>
      <c r="G48" s="138"/>
    </row>
    <row r="49" spans="1:7" s="150" customFormat="1" ht="24" customHeight="1">
      <c r="A49" s="340">
        <v>2</v>
      </c>
      <c r="B49" s="241">
        <v>15</v>
      </c>
      <c r="C49" s="431" t="s">
        <v>245</v>
      </c>
      <c r="D49" s="424">
        <v>2200</v>
      </c>
      <c r="E49" s="202"/>
      <c r="F49" s="198">
        <v>479632</v>
      </c>
      <c r="G49" s="50"/>
    </row>
    <row r="50" spans="1:7" s="150" customFormat="1" ht="24" customHeight="1">
      <c r="A50" s="340">
        <v>2</v>
      </c>
      <c r="B50" s="241">
        <v>15</v>
      </c>
      <c r="C50" s="431" t="s">
        <v>300</v>
      </c>
      <c r="D50" s="423">
        <v>3300</v>
      </c>
      <c r="E50" s="203"/>
      <c r="F50" s="198">
        <v>482932</v>
      </c>
      <c r="G50" s="138"/>
    </row>
    <row r="51" spans="1:7" s="150" customFormat="1" ht="24" customHeight="1">
      <c r="A51" s="340">
        <v>2</v>
      </c>
      <c r="B51" s="241">
        <v>16</v>
      </c>
      <c r="C51" s="431" t="s">
        <v>247</v>
      </c>
      <c r="D51" s="423">
        <v>2200</v>
      </c>
      <c r="E51" s="203"/>
      <c r="F51" s="198">
        <v>485132</v>
      </c>
      <c r="G51" s="138"/>
    </row>
    <row r="52" spans="1:7" s="150" customFormat="1" ht="24" customHeight="1">
      <c r="A52" s="338">
        <v>2</v>
      </c>
      <c r="B52" s="241">
        <v>17</v>
      </c>
      <c r="C52" s="431" t="s">
        <v>226</v>
      </c>
      <c r="D52" s="423">
        <v>4200</v>
      </c>
      <c r="E52" s="203"/>
      <c r="F52" s="198">
        <v>489332</v>
      </c>
      <c r="G52" s="138"/>
    </row>
    <row r="53" spans="1:7" s="150" customFormat="1" ht="24" customHeight="1">
      <c r="A53" s="338">
        <v>2</v>
      </c>
      <c r="B53" s="241">
        <v>18</v>
      </c>
      <c r="C53" s="431" t="s">
        <v>319</v>
      </c>
      <c r="D53" s="423">
        <v>1600</v>
      </c>
      <c r="E53" s="203"/>
      <c r="F53" s="198">
        <v>490932</v>
      </c>
      <c r="G53" s="138"/>
    </row>
    <row r="54" spans="1:7" s="150" customFormat="1" ht="24" customHeight="1">
      <c r="A54" s="338">
        <v>2</v>
      </c>
      <c r="B54" s="241">
        <v>18</v>
      </c>
      <c r="C54" s="431" t="s">
        <v>303</v>
      </c>
      <c r="D54" s="423">
        <v>400</v>
      </c>
      <c r="E54" s="203"/>
      <c r="F54" s="198">
        <v>491332</v>
      </c>
      <c r="G54" s="138"/>
    </row>
    <row r="55" spans="1:7" s="150" customFormat="1" ht="24" customHeight="1">
      <c r="A55" s="338">
        <v>2</v>
      </c>
      <c r="B55" s="241">
        <v>18</v>
      </c>
      <c r="C55" s="431" t="s">
        <v>304</v>
      </c>
      <c r="D55" s="423">
        <v>1200</v>
      </c>
      <c r="E55" s="203"/>
      <c r="F55" s="198">
        <v>492532</v>
      </c>
      <c r="G55" s="138"/>
    </row>
    <row r="56" spans="1:7" s="150" customFormat="1" ht="24" customHeight="1">
      <c r="A56" s="410">
        <v>2</v>
      </c>
      <c r="B56" s="241">
        <v>19</v>
      </c>
      <c r="C56" s="261" t="s">
        <v>233</v>
      </c>
      <c r="D56" s="418">
        <v>2200</v>
      </c>
      <c r="E56" s="244"/>
      <c r="F56" s="243">
        <v>494732</v>
      </c>
      <c r="G56" s="246"/>
    </row>
    <row r="57" spans="1:7" s="150" customFormat="1" ht="24" customHeight="1">
      <c r="A57" s="340">
        <v>2</v>
      </c>
      <c r="B57" s="241">
        <v>21</v>
      </c>
      <c r="C57" s="261" t="s">
        <v>306</v>
      </c>
      <c r="D57" s="417"/>
      <c r="E57" s="245">
        <v>1400</v>
      </c>
      <c r="F57" s="198">
        <v>493332</v>
      </c>
      <c r="G57" s="141"/>
    </row>
    <row r="58" spans="1:7" s="150" customFormat="1" ht="24" customHeight="1">
      <c r="A58" s="340">
        <v>2</v>
      </c>
      <c r="B58" s="241">
        <v>23</v>
      </c>
      <c r="C58" s="431" t="s">
        <v>231</v>
      </c>
      <c r="D58" s="418">
        <v>2200</v>
      </c>
      <c r="E58" s="202"/>
      <c r="F58" s="198">
        <v>495532</v>
      </c>
      <c r="G58" s="153"/>
    </row>
    <row r="59" spans="1:7" s="150" customFormat="1" ht="24" customHeight="1">
      <c r="A59" s="340">
        <v>2</v>
      </c>
      <c r="B59" s="241">
        <v>25</v>
      </c>
      <c r="C59" s="431" t="s">
        <v>310</v>
      </c>
      <c r="D59" s="425">
        <v>92100</v>
      </c>
      <c r="E59" s="202"/>
      <c r="F59" s="198">
        <v>587632</v>
      </c>
      <c r="G59" s="153"/>
    </row>
    <row r="60" spans="1:7" s="150" customFormat="1" ht="24" customHeight="1">
      <c r="A60" s="340">
        <v>2</v>
      </c>
      <c r="B60" s="241">
        <v>25</v>
      </c>
      <c r="C60" s="261" t="s">
        <v>320</v>
      </c>
      <c r="D60" s="418">
        <v>4400</v>
      </c>
      <c r="E60" s="202"/>
      <c r="F60" s="198">
        <v>592032</v>
      </c>
      <c r="G60" s="50"/>
    </row>
    <row r="61" spans="1:7" s="150" customFormat="1" ht="24" customHeight="1">
      <c r="A61" s="340">
        <v>2</v>
      </c>
      <c r="B61" s="241">
        <v>25</v>
      </c>
      <c r="C61" s="261" t="s">
        <v>311</v>
      </c>
      <c r="D61" s="418">
        <v>4200</v>
      </c>
      <c r="E61" s="202"/>
      <c r="F61" s="198">
        <v>596232</v>
      </c>
      <c r="G61" s="153"/>
    </row>
    <row r="62" spans="1:7" s="150" customFormat="1" ht="24" customHeight="1">
      <c r="A62" s="340">
        <v>2</v>
      </c>
      <c r="B62" s="241">
        <v>25</v>
      </c>
      <c r="C62" s="261" t="s">
        <v>252</v>
      </c>
      <c r="D62" s="424">
        <v>600</v>
      </c>
      <c r="E62" s="202"/>
      <c r="F62" s="198">
        <v>596832</v>
      </c>
      <c r="G62" s="50"/>
    </row>
    <row r="63" spans="1:7" s="150" customFormat="1" ht="24" customHeight="1">
      <c r="A63" s="340">
        <v>2</v>
      </c>
      <c r="B63" s="241">
        <v>26</v>
      </c>
      <c r="C63" s="261" t="s">
        <v>312</v>
      </c>
      <c r="D63" s="418">
        <v>2200</v>
      </c>
      <c r="E63" s="202"/>
      <c r="F63" s="198">
        <v>599032</v>
      </c>
      <c r="G63" s="50"/>
    </row>
    <row r="64" spans="1:7" s="150" customFormat="1" ht="24" customHeight="1" thickBot="1">
      <c r="A64" s="412">
        <v>3</v>
      </c>
      <c r="B64" s="618">
        <v>1</v>
      </c>
      <c r="C64" s="630" t="s">
        <v>313</v>
      </c>
      <c r="D64" s="426"/>
      <c r="E64" s="244">
        <v>213344</v>
      </c>
      <c r="F64" s="333">
        <v>385688</v>
      </c>
      <c r="G64" s="335"/>
    </row>
    <row r="65" spans="1:9" s="150" customFormat="1" ht="24" customHeight="1">
      <c r="A65" s="338">
        <v>3</v>
      </c>
      <c r="B65" s="617">
        <v>1</v>
      </c>
      <c r="C65" s="631" t="s">
        <v>283</v>
      </c>
      <c r="D65" s="417">
        <v>5500</v>
      </c>
      <c r="E65" s="334"/>
      <c r="F65" s="198">
        <v>391188</v>
      </c>
      <c r="G65" s="141"/>
    </row>
    <row r="66" spans="1:9" s="150" customFormat="1" ht="24" customHeight="1">
      <c r="A66" s="340">
        <v>3</v>
      </c>
      <c r="B66" s="241">
        <v>2</v>
      </c>
      <c r="C66" s="261" t="s">
        <v>315</v>
      </c>
      <c r="D66" s="418">
        <v>2200</v>
      </c>
      <c r="E66" s="201"/>
      <c r="F66" s="198">
        <v>393388</v>
      </c>
      <c r="G66" s="138"/>
    </row>
    <row r="67" spans="1:9" s="150" customFormat="1" ht="24" customHeight="1">
      <c r="A67" s="340">
        <v>3</v>
      </c>
      <c r="B67" s="241">
        <v>7</v>
      </c>
      <c r="C67" s="261" t="s">
        <v>243</v>
      </c>
      <c r="D67" s="418">
        <v>3000</v>
      </c>
      <c r="E67" s="202"/>
      <c r="F67" s="198">
        <v>396388</v>
      </c>
      <c r="G67" s="50"/>
    </row>
    <row r="68" spans="1:9" s="150" customFormat="1" ht="24" customHeight="1">
      <c r="A68" s="340">
        <v>3</v>
      </c>
      <c r="B68" s="241">
        <v>8</v>
      </c>
      <c r="C68" s="261" t="s">
        <v>316</v>
      </c>
      <c r="D68" s="418">
        <v>6000</v>
      </c>
      <c r="E68" s="202"/>
      <c r="F68" s="198">
        <v>402388</v>
      </c>
      <c r="G68" s="153"/>
    </row>
    <row r="69" spans="1:9" s="150" customFormat="1" ht="24" customHeight="1">
      <c r="A69" s="340">
        <v>3</v>
      </c>
      <c r="B69" s="241">
        <v>8</v>
      </c>
      <c r="C69" s="431" t="s">
        <v>232</v>
      </c>
      <c r="D69" s="418">
        <v>5400</v>
      </c>
      <c r="E69" s="202"/>
      <c r="F69" s="198">
        <v>407788</v>
      </c>
      <c r="G69" s="153"/>
    </row>
    <row r="70" spans="1:9" s="150" customFormat="1" ht="24" customHeight="1">
      <c r="A70" s="340">
        <v>3</v>
      </c>
      <c r="B70" s="241">
        <v>7</v>
      </c>
      <c r="C70" s="431" t="s">
        <v>317</v>
      </c>
      <c r="D70" s="418">
        <v>4400</v>
      </c>
      <c r="E70" s="201"/>
      <c r="F70" s="198">
        <v>412188</v>
      </c>
      <c r="G70" s="154"/>
      <c r="I70" s="152"/>
    </row>
    <row r="71" spans="1:9" s="150" customFormat="1" ht="24" customHeight="1">
      <c r="A71" s="340">
        <v>3</v>
      </c>
      <c r="B71" s="241">
        <v>8</v>
      </c>
      <c r="C71" s="431" t="s">
        <v>318</v>
      </c>
      <c r="D71" s="418">
        <v>3200</v>
      </c>
      <c r="E71" s="201"/>
      <c r="F71" s="198">
        <v>415388</v>
      </c>
      <c r="G71" s="154"/>
      <c r="I71" s="152"/>
    </row>
    <row r="72" spans="1:9" s="150" customFormat="1" ht="24" customHeight="1">
      <c r="A72" s="340">
        <v>3</v>
      </c>
      <c r="B72" s="241">
        <v>8</v>
      </c>
      <c r="C72" s="431" t="s">
        <v>321</v>
      </c>
      <c r="D72" s="418">
        <v>1200</v>
      </c>
      <c r="E72" s="202"/>
      <c r="F72" s="198">
        <v>416588</v>
      </c>
      <c r="G72" s="155"/>
    </row>
    <row r="73" spans="1:9" s="150" customFormat="1" ht="24" customHeight="1">
      <c r="A73" s="340">
        <v>3</v>
      </c>
      <c r="B73" s="241">
        <v>8</v>
      </c>
      <c r="C73" s="431" t="s">
        <v>345</v>
      </c>
      <c r="D73" s="418">
        <v>1200</v>
      </c>
      <c r="E73" s="202"/>
      <c r="F73" s="198">
        <v>417788</v>
      </c>
      <c r="G73" s="155"/>
    </row>
    <row r="74" spans="1:9" s="150" customFormat="1" ht="24" customHeight="1">
      <c r="A74" s="410">
        <v>3</v>
      </c>
      <c r="B74" s="241">
        <v>8</v>
      </c>
      <c r="C74" s="431" t="s">
        <v>322</v>
      </c>
      <c r="D74" s="418">
        <v>400</v>
      </c>
      <c r="E74" s="244"/>
      <c r="F74" s="243">
        <v>418188</v>
      </c>
      <c r="G74" s="246"/>
    </row>
    <row r="75" spans="1:9" s="150" customFormat="1" ht="24" customHeight="1">
      <c r="A75" s="340">
        <v>3</v>
      </c>
      <c r="B75" s="241">
        <v>8</v>
      </c>
      <c r="C75" s="431" t="s">
        <v>323</v>
      </c>
      <c r="D75" s="417">
        <v>1200</v>
      </c>
      <c r="E75" s="245"/>
      <c r="F75" s="198">
        <v>419388</v>
      </c>
      <c r="G75" s="336"/>
    </row>
    <row r="76" spans="1:9" s="150" customFormat="1" ht="24" customHeight="1">
      <c r="A76" s="340">
        <v>3</v>
      </c>
      <c r="B76" s="241">
        <v>8</v>
      </c>
      <c r="C76" s="431" t="s">
        <v>324</v>
      </c>
      <c r="D76" s="418">
        <v>400</v>
      </c>
      <c r="E76" s="202"/>
      <c r="F76" s="198">
        <v>419788</v>
      </c>
      <c r="G76" s="153"/>
    </row>
    <row r="77" spans="1:9" s="150" customFormat="1" ht="24" customHeight="1">
      <c r="A77" s="340">
        <v>3</v>
      </c>
      <c r="B77" s="241">
        <v>9</v>
      </c>
      <c r="C77" s="261" t="s">
        <v>325</v>
      </c>
      <c r="D77" s="418"/>
      <c r="E77" s="202">
        <v>3205</v>
      </c>
      <c r="F77" s="198">
        <v>416583</v>
      </c>
      <c r="G77" s="153"/>
    </row>
    <row r="78" spans="1:9" s="150" customFormat="1" ht="24" customHeight="1">
      <c r="A78" s="340">
        <v>3</v>
      </c>
      <c r="B78" s="241">
        <v>10</v>
      </c>
      <c r="C78" s="431" t="s">
        <v>226</v>
      </c>
      <c r="D78" s="418">
        <v>5400</v>
      </c>
      <c r="E78" s="202"/>
      <c r="F78" s="198">
        <v>421983</v>
      </c>
      <c r="G78" s="153"/>
    </row>
    <row r="79" spans="1:9" s="150" customFormat="1" ht="24" customHeight="1">
      <c r="A79" s="410">
        <v>3</v>
      </c>
      <c r="B79" s="241">
        <v>10</v>
      </c>
      <c r="C79" s="261" t="s">
        <v>330</v>
      </c>
      <c r="D79" s="419">
        <v>6500</v>
      </c>
      <c r="E79" s="244"/>
      <c r="F79" s="242">
        <v>428483</v>
      </c>
      <c r="G79" s="344"/>
      <c r="I79" s="339"/>
    </row>
    <row r="80" spans="1:9" s="150" customFormat="1" ht="24" customHeight="1">
      <c r="A80" s="413">
        <v>3</v>
      </c>
      <c r="B80" s="241">
        <v>10</v>
      </c>
      <c r="C80" s="261" t="s">
        <v>233</v>
      </c>
      <c r="D80" s="427">
        <v>3000</v>
      </c>
      <c r="E80" s="341"/>
      <c r="F80" s="342">
        <v>431483</v>
      </c>
      <c r="G80" s="343"/>
      <c r="H80" s="345"/>
    </row>
    <row r="81" spans="1:8" s="150" customFormat="1" ht="24" customHeight="1">
      <c r="A81" s="340">
        <v>3</v>
      </c>
      <c r="B81" s="241">
        <v>11</v>
      </c>
      <c r="C81" s="261" t="s">
        <v>225</v>
      </c>
      <c r="D81" s="418">
        <v>2900</v>
      </c>
      <c r="E81" s="202"/>
      <c r="F81" s="198">
        <v>434383</v>
      </c>
      <c r="G81" s="50"/>
    </row>
    <row r="82" spans="1:8" s="150" customFormat="1" ht="24" customHeight="1">
      <c r="A82" s="340">
        <v>3</v>
      </c>
      <c r="B82" s="241">
        <v>11</v>
      </c>
      <c r="C82" s="261" t="s">
        <v>331</v>
      </c>
      <c r="D82" s="418">
        <v>2200</v>
      </c>
      <c r="E82" s="202"/>
      <c r="F82" s="198">
        <v>436583</v>
      </c>
      <c r="G82" s="153"/>
    </row>
    <row r="83" spans="1:8" s="150" customFormat="1" ht="24" customHeight="1">
      <c r="A83" s="340">
        <v>3</v>
      </c>
      <c r="B83" s="241">
        <v>11</v>
      </c>
      <c r="C83" s="261" t="s">
        <v>332</v>
      </c>
      <c r="D83" s="418"/>
      <c r="E83" s="202">
        <v>745</v>
      </c>
      <c r="F83" s="198">
        <v>435838</v>
      </c>
      <c r="G83" s="153"/>
    </row>
    <row r="84" spans="1:8" s="150" customFormat="1" ht="24" customHeight="1">
      <c r="A84" s="340">
        <v>3</v>
      </c>
      <c r="B84" s="241">
        <v>15</v>
      </c>
      <c r="C84" s="261" t="s">
        <v>333</v>
      </c>
      <c r="D84" s="418">
        <v>800</v>
      </c>
      <c r="E84" s="201"/>
      <c r="F84" s="198">
        <v>436638</v>
      </c>
      <c r="G84" s="154"/>
    </row>
    <row r="85" spans="1:8" s="150" customFormat="1" ht="24" customHeight="1">
      <c r="A85" s="340">
        <v>3</v>
      </c>
      <c r="B85" s="241">
        <v>15</v>
      </c>
      <c r="C85" s="261" t="s">
        <v>334</v>
      </c>
      <c r="D85" s="418">
        <v>800</v>
      </c>
      <c r="E85" s="201"/>
      <c r="F85" s="198">
        <v>437438</v>
      </c>
      <c r="G85" s="154"/>
    </row>
    <row r="86" spans="1:8" s="150" customFormat="1" ht="24" customHeight="1">
      <c r="A86" s="340">
        <v>3</v>
      </c>
      <c r="B86" s="241">
        <v>15</v>
      </c>
      <c r="C86" s="261" t="s">
        <v>335</v>
      </c>
      <c r="D86" s="418">
        <v>800</v>
      </c>
      <c r="E86" s="202"/>
      <c r="F86" s="198">
        <v>438238</v>
      </c>
      <c r="G86" s="50"/>
    </row>
    <row r="87" spans="1:8" s="150" customFormat="1" ht="24" customHeight="1">
      <c r="A87" s="340">
        <v>3</v>
      </c>
      <c r="B87" s="241">
        <v>15</v>
      </c>
      <c r="C87" s="261" t="s">
        <v>336</v>
      </c>
      <c r="D87" s="418">
        <v>800</v>
      </c>
      <c r="E87" s="201"/>
      <c r="F87" s="198">
        <v>439038</v>
      </c>
      <c r="G87" s="138"/>
    </row>
    <row r="88" spans="1:8" s="150" customFormat="1" ht="24" customHeight="1">
      <c r="A88" s="340">
        <v>3</v>
      </c>
      <c r="B88" s="241">
        <v>17</v>
      </c>
      <c r="C88" s="431" t="s">
        <v>247</v>
      </c>
      <c r="D88" s="418">
        <v>3000</v>
      </c>
      <c r="E88" s="202"/>
      <c r="F88" s="198">
        <v>442038</v>
      </c>
      <c r="G88" s="50"/>
    </row>
    <row r="89" spans="1:8" s="150" customFormat="1" ht="24" customHeight="1">
      <c r="A89" s="340">
        <v>3</v>
      </c>
      <c r="B89" s="241">
        <v>24</v>
      </c>
      <c r="C89" s="261" t="s">
        <v>342</v>
      </c>
      <c r="D89" s="418">
        <v>600</v>
      </c>
      <c r="E89" s="201"/>
      <c r="F89" s="198">
        <v>442638</v>
      </c>
      <c r="G89" s="138"/>
    </row>
    <row r="90" spans="1:8" s="150" customFormat="1" ht="24" customHeight="1">
      <c r="A90" s="340">
        <v>3</v>
      </c>
      <c r="B90" s="241">
        <v>25</v>
      </c>
      <c r="C90" s="261" t="s">
        <v>306</v>
      </c>
      <c r="D90" s="418"/>
      <c r="E90" s="201">
        <v>1400</v>
      </c>
      <c r="F90" s="198">
        <v>441238</v>
      </c>
      <c r="G90" s="138"/>
    </row>
    <row r="91" spans="1:8" s="150" customFormat="1" ht="24" customHeight="1">
      <c r="A91" s="340">
        <v>3</v>
      </c>
      <c r="B91" s="241">
        <v>26</v>
      </c>
      <c r="C91" s="261" t="s">
        <v>337</v>
      </c>
      <c r="D91" s="418">
        <v>135300</v>
      </c>
      <c r="E91" s="202"/>
      <c r="F91" s="198">
        <v>576538</v>
      </c>
      <c r="G91" s="156"/>
    </row>
    <row r="92" spans="1:8" s="150" customFormat="1" ht="24" customHeight="1">
      <c r="A92" s="340">
        <v>3</v>
      </c>
      <c r="B92" s="241">
        <v>28</v>
      </c>
      <c r="C92" s="431" t="s">
        <v>339</v>
      </c>
      <c r="D92" s="424">
        <v>3000</v>
      </c>
      <c r="E92" s="202"/>
      <c r="F92" s="198">
        <v>579538</v>
      </c>
      <c r="G92" s="156"/>
    </row>
    <row r="93" spans="1:8" s="150" customFormat="1" ht="24" customHeight="1">
      <c r="A93" s="340">
        <v>3</v>
      </c>
      <c r="B93" s="241">
        <v>28</v>
      </c>
      <c r="C93" s="261" t="s">
        <v>234</v>
      </c>
      <c r="D93" s="418">
        <v>5500</v>
      </c>
      <c r="E93" s="202"/>
      <c r="F93" s="198">
        <v>585038</v>
      </c>
      <c r="G93" s="156"/>
    </row>
    <row r="94" spans="1:8" s="150" customFormat="1" ht="24" customHeight="1">
      <c r="A94" s="340">
        <v>3</v>
      </c>
      <c r="B94" s="241">
        <v>28</v>
      </c>
      <c r="C94" s="431" t="s">
        <v>340</v>
      </c>
      <c r="D94" s="418">
        <v>2900</v>
      </c>
      <c r="E94" s="202"/>
      <c r="F94" s="198">
        <v>587938</v>
      </c>
      <c r="G94" s="156"/>
    </row>
    <row r="95" spans="1:8" s="150" customFormat="1" ht="24" customHeight="1">
      <c r="A95" s="340">
        <v>4</v>
      </c>
      <c r="B95" s="241">
        <v>1</v>
      </c>
      <c r="C95" s="431" t="s">
        <v>343</v>
      </c>
      <c r="D95" s="418">
        <v>400</v>
      </c>
      <c r="E95" s="202"/>
      <c r="F95" s="198">
        <v>588338</v>
      </c>
      <c r="G95" s="153"/>
    </row>
    <row r="96" spans="1:8" s="150" customFormat="1" ht="24" customHeight="1">
      <c r="A96" s="340">
        <v>4</v>
      </c>
      <c r="B96" s="241">
        <v>2</v>
      </c>
      <c r="C96" s="431" t="s">
        <v>344</v>
      </c>
      <c r="D96" s="418">
        <v>3000</v>
      </c>
      <c r="E96" s="202"/>
      <c r="F96" s="198">
        <v>591338</v>
      </c>
      <c r="G96" s="153"/>
      <c r="H96" s="157"/>
    </row>
    <row r="97" spans="1:9" s="150" customFormat="1" ht="24" customHeight="1" thickBot="1">
      <c r="A97" s="410">
        <v>4</v>
      </c>
      <c r="B97" s="618">
        <v>3</v>
      </c>
      <c r="C97" s="627" t="s">
        <v>347</v>
      </c>
      <c r="D97" s="419"/>
      <c r="E97" s="259">
        <v>188775</v>
      </c>
      <c r="F97" s="360">
        <v>402563</v>
      </c>
      <c r="G97" s="361"/>
    </row>
    <row r="98" spans="1:9" s="150" customFormat="1" ht="24" customHeight="1">
      <c r="A98" s="411">
        <v>4</v>
      </c>
      <c r="B98" s="617">
        <v>1</v>
      </c>
      <c r="C98" s="626" t="s">
        <v>283</v>
      </c>
      <c r="D98" s="428">
        <v>5500</v>
      </c>
      <c r="E98" s="203"/>
      <c r="F98" s="198">
        <v>408063</v>
      </c>
      <c r="G98" s="362"/>
    </row>
    <row r="99" spans="1:9" s="150" customFormat="1" ht="24" customHeight="1">
      <c r="A99" s="340">
        <v>4</v>
      </c>
      <c r="B99" s="241">
        <v>6</v>
      </c>
      <c r="C99" s="261" t="s">
        <v>348</v>
      </c>
      <c r="D99" s="418">
        <v>6000</v>
      </c>
      <c r="E99" s="245"/>
      <c r="F99" s="243">
        <v>414063</v>
      </c>
      <c r="G99" s="246"/>
    </row>
    <row r="100" spans="1:9" s="150" customFormat="1" ht="24" customHeight="1">
      <c r="A100" s="338">
        <v>4</v>
      </c>
      <c r="B100" s="241">
        <v>6</v>
      </c>
      <c r="C100" s="261" t="s">
        <v>349</v>
      </c>
      <c r="D100" s="417">
        <v>6000</v>
      </c>
      <c r="E100" s="203"/>
      <c r="F100" s="198">
        <v>420063</v>
      </c>
      <c r="G100" s="159"/>
      <c r="I100" s="152"/>
    </row>
    <row r="101" spans="1:9" s="150" customFormat="1" ht="24" customHeight="1">
      <c r="A101" s="340">
        <v>4</v>
      </c>
      <c r="B101" s="241">
        <v>8</v>
      </c>
      <c r="C101" s="431" t="s">
        <v>226</v>
      </c>
      <c r="D101" s="418">
        <v>5400</v>
      </c>
      <c r="E101" s="202"/>
      <c r="F101" s="198">
        <v>425463</v>
      </c>
      <c r="G101" s="153"/>
      <c r="H101" s="158"/>
    </row>
    <row r="102" spans="1:9" s="150" customFormat="1" ht="24" customHeight="1">
      <c r="A102" s="340">
        <v>4</v>
      </c>
      <c r="B102" s="241">
        <v>11</v>
      </c>
      <c r="C102" s="431" t="s">
        <v>243</v>
      </c>
      <c r="D102" s="418">
        <v>3000</v>
      </c>
      <c r="E102" s="202"/>
      <c r="F102" s="198">
        <v>428463</v>
      </c>
      <c r="G102" s="153"/>
      <c r="H102" s="158"/>
    </row>
    <row r="103" spans="1:9" s="150" customFormat="1" ht="24" customHeight="1">
      <c r="A103" s="340">
        <v>4</v>
      </c>
      <c r="B103" s="241">
        <v>15</v>
      </c>
      <c r="C103" s="431" t="s">
        <v>350</v>
      </c>
      <c r="D103" s="418"/>
      <c r="E103" s="202">
        <v>350</v>
      </c>
      <c r="F103" s="198">
        <v>428113</v>
      </c>
      <c r="G103" s="153"/>
      <c r="H103" s="158"/>
    </row>
    <row r="104" spans="1:9" s="150" customFormat="1" ht="24" customHeight="1">
      <c r="A104" s="340">
        <v>4</v>
      </c>
      <c r="B104" s="241">
        <v>22</v>
      </c>
      <c r="C104" s="431" t="s">
        <v>351</v>
      </c>
      <c r="D104" s="418"/>
      <c r="E104" s="202">
        <v>1260</v>
      </c>
      <c r="F104" s="198">
        <v>426853</v>
      </c>
      <c r="G104" s="153"/>
      <c r="H104" s="158"/>
    </row>
    <row r="105" spans="1:9" s="150" customFormat="1" ht="24" customHeight="1">
      <c r="A105" s="340">
        <v>4</v>
      </c>
      <c r="B105" s="241">
        <v>28</v>
      </c>
      <c r="C105" s="431" t="s">
        <v>306</v>
      </c>
      <c r="D105" s="418"/>
      <c r="E105" s="202">
        <v>1400</v>
      </c>
      <c r="F105" s="198">
        <v>425453</v>
      </c>
      <c r="G105" s="153"/>
      <c r="H105" s="158"/>
    </row>
    <row r="106" spans="1:9" s="150" customFormat="1" ht="24" customHeight="1">
      <c r="A106" s="340">
        <v>4</v>
      </c>
      <c r="B106" s="241">
        <v>28</v>
      </c>
      <c r="C106" s="261" t="s">
        <v>342</v>
      </c>
      <c r="D106" s="418">
        <v>600</v>
      </c>
      <c r="E106" s="202"/>
      <c r="F106" s="198">
        <v>426053</v>
      </c>
      <c r="G106" s="153"/>
      <c r="H106" s="158"/>
    </row>
    <row r="107" spans="1:9" s="150" customFormat="1" ht="24" customHeight="1">
      <c r="A107" s="414">
        <v>4</v>
      </c>
      <c r="B107" s="433">
        <v>29</v>
      </c>
      <c r="C107" s="431" t="s">
        <v>355</v>
      </c>
      <c r="D107" s="418">
        <v>163000</v>
      </c>
      <c r="E107" s="202"/>
      <c r="F107" s="198">
        <v>589053</v>
      </c>
      <c r="G107" s="153"/>
      <c r="H107" s="158"/>
    </row>
    <row r="108" spans="1:9" s="150" customFormat="1" ht="24" customHeight="1">
      <c r="A108" s="340">
        <v>5</v>
      </c>
      <c r="B108" s="241">
        <v>2</v>
      </c>
      <c r="C108" s="431" t="s">
        <v>245</v>
      </c>
      <c r="D108" s="424">
        <v>3000</v>
      </c>
      <c r="E108" s="202"/>
      <c r="F108" s="198">
        <v>592053</v>
      </c>
      <c r="G108" s="153"/>
      <c r="H108" s="158"/>
    </row>
    <row r="109" spans="1:9" s="150" customFormat="1" ht="24" customHeight="1">
      <c r="A109" s="340">
        <v>5</v>
      </c>
      <c r="B109" s="241">
        <v>2</v>
      </c>
      <c r="C109" s="434" t="s">
        <v>356</v>
      </c>
      <c r="D109" s="418">
        <v>400</v>
      </c>
      <c r="E109" s="202"/>
      <c r="F109" s="198">
        <v>592453</v>
      </c>
      <c r="G109" s="153"/>
    </row>
    <row r="110" spans="1:9" s="150" customFormat="1" ht="24" customHeight="1">
      <c r="A110" s="340">
        <v>5</v>
      </c>
      <c r="B110" s="241">
        <v>2</v>
      </c>
      <c r="C110" s="431" t="s">
        <v>361</v>
      </c>
      <c r="D110" s="418"/>
      <c r="E110" s="201">
        <v>2250</v>
      </c>
      <c r="F110" s="198">
        <v>590203</v>
      </c>
      <c r="G110" s="154"/>
    </row>
    <row r="111" spans="1:9" s="150" customFormat="1" ht="24" customHeight="1">
      <c r="A111" s="340">
        <v>5</v>
      </c>
      <c r="B111" s="241">
        <v>4</v>
      </c>
      <c r="C111" s="431" t="s">
        <v>357</v>
      </c>
      <c r="D111" s="418"/>
      <c r="E111" s="201">
        <v>3690</v>
      </c>
      <c r="F111" s="198">
        <v>586513</v>
      </c>
      <c r="G111" s="154"/>
    </row>
    <row r="112" spans="1:9" s="150" customFormat="1" ht="24" customHeight="1" thickBot="1">
      <c r="A112" s="410">
        <v>5</v>
      </c>
      <c r="B112" s="634">
        <v>4</v>
      </c>
      <c r="C112" s="633" t="s">
        <v>360</v>
      </c>
      <c r="D112" s="419"/>
      <c r="E112" s="259">
        <v>180590</v>
      </c>
      <c r="F112" s="260">
        <v>405923</v>
      </c>
      <c r="G112" s="366"/>
    </row>
    <row r="113" spans="1:9" s="150" customFormat="1" ht="24" customHeight="1">
      <c r="A113" s="411">
        <v>5</v>
      </c>
      <c r="B113" s="454">
        <v>5</v>
      </c>
      <c r="C113" s="632" t="s">
        <v>362</v>
      </c>
      <c r="D113" s="428">
        <v>5400</v>
      </c>
      <c r="E113" s="203"/>
      <c r="F113" s="258">
        <v>411323</v>
      </c>
      <c r="G113" s="362"/>
    </row>
    <row r="114" spans="1:9" s="150" customFormat="1" ht="24" customHeight="1">
      <c r="A114" s="340">
        <v>5</v>
      </c>
      <c r="B114" s="241">
        <v>6</v>
      </c>
      <c r="C114" s="431" t="s">
        <v>283</v>
      </c>
      <c r="D114" s="419">
        <v>5500</v>
      </c>
      <c r="E114" s="201"/>
      <c r="F114" s="198">
        <v>416823</v>
      </c>
      <c r="G114" s="154"/>
    </row>
    <row r="115" spans="1:9" s="150" customFormat="1" ht="24" customHeight="1">
      <c r="A115" s="340">
        <v>5</v>
      </c>
      <c r="B115" s="241">
        <v>6</v>
      </c>
      <c r="C115" s="431" t="s">
        <v>364</v>
      </c>
      <c r="D115" s="418">
        <v>3000</v>
      </c>
      <c r="E115" s="201"/>
      <c r="F115" s="198">
        <v>419823</v>
      </c>
      <c r="G115" s="154"/>
    </row>
    <row r="116" spans="1:9" s="150" customFormat="1" ht="24" customHeight="1">
      <c r="A116" s="340">
        <v>5</v>
      </c>
      <c r="B116" s="241">
        <v>8</v>
      </c>
      <c r="C116" s="431" t="s">
        <v>365</v>
      </c>
      <c r="D116" s="418">
        <v>2300</v>
      </c>
      <c r="E116" s="201"/>
      <c r="F116" s="198">
        <v>422123</v>
      </c>
      <c r="G116" s="154"/>
    </row>
    <row r="117" spans="1:9" s="150" customFormat="1" ht="24" customHeight="1">
      <c r="A117" s="340">
        <v>5</v>
      </c>
      <c r="B117" s="241">
        <v>8</v>
      </c>
      <c r="C117" s="431" t="s">
        <v>233</v>
      </c>
      <c r="D117" s="418">
        <v>3000</v>
      </c>
      <c r="E117" s="201"/>
      <c r="F117" s="198">
        <v>425123</v>
      </c>
      <c r="G117" s="154"/>
      <c r="I117" s="152"/>
    </row>
    <row r="118" spans="1:9" s="150" customFormat="1" ht="24" customHeight="1">
      <c r="A118" s="340">
        <v>5</v>
      </c>
      <c r="B118" s="241">
        <v>8</v>
      </c>
      <c r="C118" s="431" t="s">
        <v>226</v>
      </c>
      <c r="D118" s="418">
        <v>5400</v>
      </c>
      <c r="E118" s="201"/>
      <c r="F118" s="198">
        <v>430523</v>
      </c>
      <c r="G118" s="154"/>
    </row>
    <row r="119" spans="1:9" s="150" customFormat="1" ht="24" customHeight="1">
      <c r="A119" s="340">
        <v>5</v>
      </c>
      <c r="B119" s="241">
        <v>9</v>
      </c>
      <c r="C119" s="431" t="s">
        <v>247</v>
      </c>
      <c r="D119" s="418">
        <v>3000</v>
      </c>
      <c r="E119" s="201"/>
      <c r="F119" s="198">
        <v>433523</v>
      </c>
      <c r="G119" s="154"/>
    </row>
    <row r="120" spans="1:9" s="150" customFormat="1" ht="24" customHeight="1">
      <c r="A120" s="410">
        <v>5</v>
      </c>
      <c r="B120" s="241">
        <v>12</v>
      </c>
      <c r="C120" s="261" t="s">
        <v>366</v>
      </c>
      <c r="D120" s="419"/>
      <c r="E120" s="244">
        <v>3484</v>
      </c>
      <c r="F120" s="242">
        <v>430039</v>
      </c>
      <c r="G120" s="369"/>
    </row>
    <row r="121" spans="1:9" s="150" customFormat="1" ht="24" customHeight="1">
      <c r="A121" s="340">
        <v>5</v>
      </c>
      <c r="B121" s="241">
        <v>12</v>
      </c>
      <c r="C121" s="261" t="s">
        <v>368</v>
      </c>
      <c r="D121" s="418"/>
      <c r="E121" s="368">
        <v>3576</v>
      </c>
      <c r="F121" s="367">
        <v>426463</v>
      </c>
      <c r="G121" s="159"/>
      <c r="I121" s="160"/>
    </row>
    <row r="122" spans="1:9" s="150" customFormat="1" ht="24" customHeight="1">
      <c r="A122" s="340">
        <v>5</v>
      </c>
      <c r="B122" s="241">
        <v>12</v>
      </c>
      <c r="C122" s="261" t="s">
        <v>369</v>
      </c>
      <c r="D122" s="418"/>
      <c r="E122" s="201">
        <v>1200</v>
      </c>
      <c r="F122" s="198">
        <v>425263</v>
      </c>
      <c r="G122" s="154"/>
      <c r="I122" s="160"/>
    </row>
    <row r="123" spans="1:9" s="150" customFormat="1" ht="24" customHeight="1">
      <c r="A123" s="340">
        <v>5</v>
      </c>
      <c r="B123" s="241">
        <v>12</v>
      </c>
      <c r="C123" s="431" t="s">
        <v>232</v>
      </c>
      <c r="D123" s="418">
        <v>5400</v>
      </c>
      <c r="E123" s="201"/>
      <c r="F123" s="198">
        <v>430663</v>
      </c>
      <c r="G123" s="154"/>
      <c r="I123" s="160"/>
    </row>
    <row r="124" spans="1:9" s="150" customFormat="1" ht="24" customHeight="1">
      <c r="A124" s="340">
        <v>5</v>
      </c>
      <c r="B124" s="241">
        <v>12</v>
      </c>
      <c r="C124" s="431" t="s">
        <v>245</v>
      </c>
      <c r="D124" s="418">
        <v>3000</v>
      </c>
      <c r="E124" s="201"/>
      <c r="F124" s="198">
        <v>433663</v>
      </c>
      <c r="G124" s="154"/>
      <c r="I124" s="160"/>
    </row>
    <row r="125" spans="1:9" s="150" customFormat="1" ht="24" customHeight="1">
      <c r="A125" s="340">
        <v>5</v>
      </c>
      <c r="B125" s="241">
        <v>12</v>
      </c>
      <c r="C125" s="431" t="s">
        <v>374</v>
      </c>
      <c r="D125" s="418">
        <v>800</v>
      </c>
      <c r="E125" s="201"/>
      <c r="F125" s="198">
        <v>434463</v>
      </c>
      <c r="G125" s="154"/>
      <c r="I125" s="160"/>
    </row>
    <row r="126" spans="1:9" s="150" customFormat="1" ht="24" customHeight="1">
      <c r="A126" s="340">
        <v>5</v>
      </c>
      <c r="B126" s="241">
        <v>16</v>
      </c>
      <c r="C126" s="431" t="s">
        <v>243</v>
      </c>
      <c r="D126" s="418">
        <v>3000</v>
      </c>
      <c r="E126" s="201"/>
      <c r="F126" s="198">
        <v>437463</v>
      </c>
      <c r="G126" s="154"/>
      <c r="I126" s="160"/>
    </row>
    <row r="127" spans="1:9" s="150" customFormat="1" ht="24" customHeight="1">
      <c r="A127" s="340">
        <v>5</v>
      </c>
      <c r="B127" s="241">
        <v>16</v>
      </c>
      <c r="C127" s="431" t="s">
        <v>376</v>
      </c>
      <c r="D127" s="418"/>
      <c r="E127" s="201">
        <v>6982</v>
      </c>
      <c r="F127" s="198">
        <v>430481</v>
      </c>
      <c r="G127" s="154"/>
      <c r="I127" s="160"/>
    </row>
    <row r="128" spans="1:9" s="150" customFormat="1" ht="24" customHeight="1">
      <c r="A128" s="340">
        <v>5</v>
      </c>
      <c r="B128" s="241">
        <v>16</v>
      </c>
      <c r="C128" s="431" t="s">
        <v>377</v>
      </c>
      <c r="D128" s="418"/>
      <c r="E128" s="201">
        <v>5744</v>
      </c>
      <c r="F128" s="198">
        <v>424737</v>
      </c>
      <c r="G128" s="154"/>
      <c r="I128" s="160"/>
    </row>
    <row r="129" spans="1:9" s="150" customFormat="1" ht="24" customHeight="1">
      <c r="A129" s="340">
        <v>5</v>
      </c>
      <c r="B129" s="241">
        <v>16</v>
      </c>
      <c r="C129" s="431" t="s">
        <v>380</v>
      </c>
      <c r="D129" s="418"/>
      <c r="E129" s="201">
        <v>1200</v>
      </c>
      <c r="F129" s="198">
        <v>421737</v>
      </c>
      <c r="G129" s="154"/>
      <c r="I129" s="160"/>
    </row>
    <row r="130" spans="1:9" s="150" customFormat="1" ht="24" customHeight="1">
      <c r="A130" s="410">
        <v>5</v>
      </c>
      <c r="B130" s="241">
        <v>16</v>
      </c>
      <c r="C130" s="261" t="s">
        <v>375</v>
      </c>
      <c r="D130" s="419"/>
      <c r="E130" s="375">
        <v>3000</v>
      </c>
      <c r="F130" s="198">
        <v>420537</v>
      </c>
      <c r="G130" s="370"/>
      <c r="I130" s="160"/>
    </row>
    <row r="131" spans="1:9" s="150" customFormat="1" ht="24" customHeight="1">
      <c r="A131" s="443">
        <v>5</v>
      </c>
      <c r="B131" s="241">
        <v>27</v>
      </c>
      <c r="C131" s="431" t="s">
        <v>383</v>
      </c>
      <c r="D131" s="417">
        <v>152700</v>
      </c>
      <c r="E131" s="395"/>
      <c r="F131" s="198">
        <v>573237</v>
      </c>
      <c r="G131" s="370"/>
      <c r="I131" s="160"/>
    </row>
    <row r="132" spans="1:9" s="150" customFormat="1" ht="24" customHeight="1">
      <c r="A132" s="340">
        <v>5</v>
      </c>
      <c r="B132" s="241">
        <v>29</v>
      </c>
      <c r="C132" s="431" t="s">
        <v>409</v>
      </c>
      <c r="D132" s="418">
        <v>6000</v>
      </c>
      <c r="E132" s="395"/>
      <c r="F132" s="198">
        <v>579237</v>
      </c>
      <c r="G132" s="154"/>
      <c r="I132" s="160"/>
    </row>
    <row r="133" spans="1:9" s="150" customFormat="1" ht="24" customHeight="1">
      <c r="A133" s="340">
        <v>5</v>
      </c>
      <c r="B133" s="241">
        <v>29</v>
      </c>
      <c r="C133" s="431" t="s">
        <v>384</v>
      </c>
      <c r="D133" s="418">
        <v>2400</v>
      </c>
      <c r="E133" s="395"/>
      <c r="F133" s="198">
        <v>581637</v>
      </c>
      <c r="G133" s="154"/>
      <c r="I133" s="160"/>
    </row>
    <row r="134" spans="1:9" s="150" customFormat="1" ht="24" customHeight="1">
      <c r="A134" s="340">
        <v>5</v>
      </c>
      <c r="B134" s="241">
        <v>22</v>
      </c>
      <c r="C134" s="435" t="s">
        <v>389</v>
      </c>
      <c r="D134" s="419"/>
      <c r="E134" s="396">
        <v>315</v>
      </c>
      <c r="F134" s="242">
        <v>581322</v>
      </c>
      <c r="G134" s="369"/>
    </row>
    <row r="135" spans="1:9" s="150" customFormat="1" ht="24" customHeight="1" thickBot="1">
      <c r="A135" s="412">
        <v>5</v>
      </c>
      <c r="B135" s="437">
        <v>30</v>
      </c>
      <c r="C135" s="455" t="s">
        <v>388</v>
      </c>
      <c r="D135" s="419"/>
      <c r="E135" s="259">
        <v>187290</v>
      </c>
      <c r="F135" s="360">
        <v>394032</v>
      </c>
      <c r="G135" s="361"/>
      <c r="I135" s="160"/>
    </row>
    <row r="136" spans="1:9" s="150" customFormat="1" ht="24" customHeight="1">
      <c r="A136" s="338">
        <v>6</v>
      </c>
      <c r="B136" s="454">
        <v>2</v>
      </c>
      <c r="C136" s="456" t="s">
        <v>283</v>
      </c>
      <c r="D136" s="428">
        <v>5500</v>
      </c>
      <c r="E136" s="398"/>
      <c r="F136" s="198">
        <v>399532</v>
      </c>
      <c r="G136" s="159"/>
      <c r="I136" s="160"/>
    </row>
    <row r="137" spans="1:9" s="150" customFormat="1" ht="24" customHeight="1">
      <c r="A137" s="340">
        <v>6</v>
      </c>
      <c r="B137" s="241">
        <v>3</v>
      </c>
      <c r="C137" s="431" t="s">
        <v>390</v>
      </c>
      <c r="D137" s="418"/>
      <c r="E137" s="399">
        <v>780</v>
      </c>
      <c r="F137" s="199">
        <v>398752</v>
      </c>
      <c r="G137" s="154"/>
      <c r="I137" s="160"/>
    </row>
    <row r="138" spans="1:9" s="150" customFormat="1" ht="24" customHeight="1">
      <c r="A138" s="340">
        <v>6</v>
      </c>
      <c r="B138" s="241">
        <v>3</v>
      </c>
      <c r="C138" s="431" t="s">
        <v>233</v>
      </c>
      <c r="D138" s="418">
        <v>3000</v>
      </c>
      <c r="E138" s="399"/>
      <c r="F138" s="198">
        <v>401752</v>
      </c>
      <c r="G138" s="154"/>
      <c r="I138" s="160"/>
    </row>
    <row r="139" spans="1:9" ht="24" customHeight="1">
      <c r="A139" s="340">
        <v>6</v>
      </c>
      <c r="B139" s="241">
        <v>4</v>
      </c>
      <c r="C139" s="431" t="s">
        <v>247</v>
      </c>
      <c r="D139" s="418">
        <v>3000</v>
      </c>
      <c r="E139" s="400"/>
      <c r="F139" s="371">
        <v>404752</v>
      </c>
      <c r="G139" s="155"/>
    </row>
    <row r="140" spans="1:9" ht="24" customHeight="1">
      <c r="A140" s="340">
        <v>6</v>
      </c>
      <c r="B140" s="241">
        <v>4</v>
      </c>
      <c r="C140" s="436" t="s">
        <v>391</v>
      </c>
      <c r="D140" s="418"/>
      <c r="E140" s="397">
        <v>1000</v>
      </c>
      <c r="F140" s="199">
        <v>403752</v>
      </c>
      <c r="G140" s="155"/>
    </row>
    <row r="141" spans="1:9" ht="24" customHeight="1">
      <c r="A141" s="340">
        <v>6</v>
      </c>
      <c r="B141" s="241">
        <v>7</v>
      </c>
      <c r="C141" s="436" t="s">
        <v>232</v>
      </c>
      <c r="D141" s="418">
        <v>5400</v>
      </c>
      <c r="E141" s="204"/>
      <c r="F141" s="199">
        <v>409152</v>
      </c>
      <c r="G141" s="155"/>
    </row>
    <row r="142" spans="1:9" ht="24" customHeight="1">
      <c r="A142" s="340">
        <v>6</v>
      </c>
      <c r="B142" s="241">
        <v>8</v>
      </c>
      <c r="C142" s="436" t="s">
        <v>365</v>
      </c>
      <c r="D142" s="418">
        <v>3000</v>
      </c>
      <c r="E142" s="204"/>
      <c r="F142" s="199">
        <v>412152</v>
      </c>
      <c r="G142" s="155"/>
    </row>
    <row r="143" spans="1:9" ht="24" customHeight="1">
      <c r="A143" s="340">
        <v>6</v>
      </c>
      <c r="B143" s="241">
        <v>8</v>
      </c>
      <c r="C143" s="436" t="s">
        <v>226</v>
      </c>
      <c r="D143" s="429">
        <v>5400</v>
      </c>
      <c r="E143" s="205"/>
      <c r="F143" s="199">
        <v>417552</v>
      </c>
      <c r="G143" s="155"/>
    </row>
    <row r="144" spans="1:9" ht="24" customHeight="1">
      <c r="A144" s="340">
        <v>6</v>
      </c>
      <c r="B144" s="241">
        <v>14</v>
      </c>
      <c r="C144" s="436" t="s">
        <v>404</v>
      </c>
      <c r="D144" s="429">
        <v>3500</v>
      </c>
      <c r="E144" s="205"/>
      <c r="F144" s="199">
        <v>421052</v>
      </c>
      <c r="G144" s="155"/>
    </row>
    <row r="145" spans="1:7" ht="24" customHeight="1">
      <c r="A145" s="340">
        <v>6</v>
      </c>
      <c r="B145" s="241">
        <v>14</v>
      </c>
      <c r="C145" s="436" t="s">
        <v>398</v>
      </c>
      <c r="D145" s="429"/>
      <c r="E145" s="395">
        <v>1600</v>
      </c>
      <c r="F145" s="199">
        <v>419452</v>
      </c>
      <c r="G145" s="155"/>
    </row>
    <row r="146" spans="1:7" ht="24" customHeight="1">
      <c r="A146" s="340">
        <v>6</v>
      </c>
      <c r="B146" s="241">
        <v>14</v>
      </c>
      <c r="C146" s="436" t="s">
        <v>393</v>
      </c>
      <c r="D146" s="429"/>
      <c r="E146" s="395">
        <v>3000</v>
      </c>
      <c r="F146" s="199">
        <v>416452</v>
      </c>
      <c r="G146" s="155"/>
    </row>
    <row r="147" spans="1:7" ht="24" customHeight="1">
      <c r="A147" s="340">
        <v>6</v>
      </c>
      <c r="B147" s="241">
        <v>14</v>
      </c>
      <c r="C147" s="436" t="s">
        <v>399</v>
      </c>
      <c r="D147" s="429"/>
      <c r="E147" s="395">
        <v>6000</v>
      </c>
      <c r="F147" s="199">
        <v>410452</v>
      </c>
      <c r="G147" s="155"/>
    </row>
    <row r="148" spans="1:7" ht="24" customHeight="1">
      <c r="A148" s="340">
        <v>6</v>
      </c>
      <c r="B148" s="241">
        <v>14</v>
      </c>
      <c r="C148" s="436" t="s">
        <v>395</v>
      </c>
      <c r="D148" s="429"/>
      <c r="E148" s="395">
        <v>2813</v>
      </c>
      <c r="F148" s="199">
        <v>407639</v>
      </c>
      <c r="G148" s="162"/>
    </row>
    <row r="149" spans="1:7" ht="25.5" customHeight="1">
      <c r="A149" s="340">
        <v>6</v>
      </c>
      <c r="B149" s="241">
        <v>14</v>
      </c>
      <c r="C149" s="436" t="s">
        <v>394</v>
      </c>
      <c r="D149" s="429"/>
      <c r="E149" s="395">
        <v>3500</v>
      </c>
      <c r="F149" s="199">
        <v>404139</v>
      </c>
      <c r="G149" s="162"/>
    </row>
    <row r="150" spans="1:7" ht="24" customHeight="1">
      <c r="A150" s="340">
        <v>6</v>
      </c>
      <c r="B150" s="241">
        <v>14</v>
      </c>
      <c r="C150" s="436" t="s">
        <v>397</v>
      </c>
      <c r="D150" s="429">
        <v>4650</v>
      </c>
      <c r="E150" s="395"/>
      <c r="F150" s="199">
        <v>408789</v>
      </c>
      <c r="G150" s="162"/>
    </row>
    <row r="151" spans="1:7" ht="24" customHeight="1">
      <c r="A151" s="340">
        <v>6</v>
      </c>
      <c r="B151" s="241">
        <v>14</v>
      </c>
      <c r="C151" s="436" t="s">
        <v>396</v>
      </c>
      <c r="D151" s="429"/>
      <c r="E151" s="395">
        <v>64</v>
      </c>
      <c r="F151" s="199">
        <v>408725</v>
      </c>
    </row>
    <row r="152" spans="1:7" ht="23.25" customHeight="1">
      <c r="A152" s="340">
        <v>6</v>
      </c>
      <c r="B152" s="241">
        <v>16</v>
      </c>
      <c r="C152" s="436" t="s">
        <v>243</v>
      </c>
      <c r="D152" s="429">
        <v>3000</v>
      </c>
      <c r="E152" s="395"/>
      <c r="F152" s="199">
        <v>411725</v>
      </c>
      <c r="G152" s="162"/>
    </row>
    <row r="153" spans="1:7" ht="24" customHeight="1">
      <c r="A153" s="340">
        <v>6</v>
      </c>
      <c r="B153" s="241">
        <v>17</v>
      </c>
      <c r="C153" s="436" t="s">
        <v>245</v>
      </c>
      <c r="D153" s="429">
        <v>3000</v>
      </c>
      <c r="E153" s="395"/>
      <c r="F153" s="199">
        <v>414725</v>
      </c>
      <c r="G153" s="162"/>
    </row>
    <row r="154" spans="1:7" ht="24" customHeight="1">
      <c r="A154" s="340">
        <v>6</v>
      </c>
      <c r="B154" s="241">
        <v>19</v>
      </c>
      <c r="C154" s="436" t="s">
        <v>403</v>
      </c>
      <c r="D154" s="429">
        <v>3000</v>
      </c>
      <c r="E154" s="395"/>
      <c r="F154" s="199">
        <v>417725</v>
      </c>
      <c r="G154" s="148"/>
    </row>
    <row r="155" spans="1:7" ht="24" customHeight="1">
      <c r="A155" s="340">
        <v>6</v>
      </c>
      <c r="B155" s="241">
        <v>19</v>
      </c>
      <c r="C155" s="436" t="s">
        <v>405</v>
      </c>
      <c r="D155" s="429"/>
      <c r="E155" s="395">
        <v>150</v>
      </c>
      <c r="F155" s="199">
        <v>417575</v>
      </c>
      <c r="G155" s="162"/>
    </row>
    <row r="156" spans="1:7" ht="24" customHeight="1">
      <c r="A156" s="340">
        <v>6</v>
      </c>
      <c r="B156" s="241">
        <v>21</v>
      </c>
      <c r="C156" s="436" t="s">
        <v>406</v>
      </c>
      <c r="D156" s="429">
        <v>1470</v>
      </c>
      <c r="E156" s="395"/>
      <c r="F156" s="199">
        <v>419045</v>
      </c>
      <c r="G156" s="162"/>
    </row>
    <row r="157" spans="1:7" ht="24" customHeight="1">
      <c r="A157" s="340">
        <v>6</v>
      </c>
      <c r="B157" s="241">
        <v>23</v>
      </c>
      <c r="C157" s="436" t="s">
        <v>306</v>
      </c>
      <c r="D157" s="429"/>
      <c r="E157" s="395">
        <v>1400</v>
      </c>
      <c r="F157" s="199">
        <v>417645</v>
      </c>
      <c r="G157" s="162"/>
    </row>
    <row r="158" spans="1:7" ht="24" customHeight="1">
      <c r="A158" s="340">
        <v>6</v>
      </c>
      <c r="B158" s="241">
        <v>24</v>
      </c>
      <c r="C158" s="436" t="s">
        <v>407</v>
      </c>
      <c r="D158" s="429"/>
      <c r="E158" s="395">
        <v>938</v>
      </c>
      <c r="F158" s="199">
        <v>416707</v>
      </c>
      <c r="G158" s="162"/>
    </row>
    <row r="159" spans="1:7" ht="24" customHeight="1">
      <c r="A159" s="340">
        <v>6</v>
      </c>
      <c r="B159" s="241">
        <v>24</v>
      </c>
      <c r="C159" s="436" t="s">
        <v>400</v>
      </c>
      <c r="D159" s="429"/>
      <c r="E159" s="395">
        <v>30000</v>
      </c>
      <c r="F159" s="199">
        <v>386707</v>
      </c>
      <c r="G159" s="162"/>
    </row>
    <row r="160" spans="1:7" ht="24" customHeight="1">
      <c r="A160" s="340">
        <v>6</v>
      </c>
      <c r="B160" s="241">
        <v>25</v>
      </c>
      <c r="C160" s="436" t="s">
        <v>402</v>
      </c>
      <c r="D160" s="429">
        <v>151500</v>
      </c>
      <c r="E160" s="395"/>
      <c r="F160" s="199">
        <v>538207</v>
      </c>
      <c r="G160" s="162"/>
    </row>
    <row r="161" spans="1:7" ht="24" customHeight="1">
      <c r="A161" s="340">
        <v>6</v>
      </c>
      <c r="B161" s="241">
        <v>25</v>
      </c>
      <c r="C161" s="436" t="s">
        <v>410</v>
      </c>
      <c r="D161" s="429">
        <v>3000</v>
      </c>
      <c r="E161" s="395"/>
      <c r="F161" s="199">
        <v>541207</v>
      </c>
      <c r="G161" s="162"/>
    </row>
    <row r="162" spans="1:7" ht="24" customHeight="1">
      <c r="A162" s="340">
        <v>6</v>
      </c>
      <c r="B162" s="241">
        <v>28</v>
      </c>
      <c r="C162" s="436" t="s">
        <v>408</v>
      </c>
      <c r="D162" s="429">
        <v>3500</v>
      </c>
      <c r="E162" s="395"/>
      <c r="F162" s="199">
        <v>544707</v>
      </c>
      <c r="G162" s="162"/>
    </row>
    <row r="163" spans="1:7" ht="24" customHeight="1" thickBot="1">
      <c r="A163" s="444">
        <v>7</v>
      </c>
      <c r="B163" s="412">
        <v>2</v>
      </c>
      <c r="C163" s="449" t="s">
        <v>411</v>
      </c>
      <c r="D163" s="446"/>
      <c r="E163" s="448">
        <v>189985</v>
      </c>
      <c r="F163" s="401">
        <v>354722</v>
      </c>
      <c r="G163" s="403"/>
    </row>
    <row r="164" spans="1:7" ht="24" customHeight="1">
      <c r="A164" s="443">
        <v>7</v>
      </c>
      <c r="B164" s="443">
        <v>2</v>
      </c>
      <c r="C164" s="445" t="s">
        <v>283</v>
      </c>
      <c r="D164" s="447">
        <v>7000</v>
      </c>
      <c r="E164" s="441"/>
      <c r="F164" s="402">
        <v>361722</v>
      </c>
      <c r="G164" s="404"/>
    </row>
    <row r="165" spans="1:7" ht="24" customHeight="1">
      <c r="A165" s="340">
        <v>7</v>
      </c>
      <c r="B165" s="241">
        <v>8</v>
      </c>
      <c r="C165" s="436" t="s">
        <v>412</v>
      </c>
      <c r="D165" s="429">
        <v>3000</v>
      </c>
      <c r="E165" s="395"/>
      <c r="F165" s="199">
        <v>364722</v>
      </c>
      <c r="G165" s="162"/>
    </row>
    <row r="166" spans="1:7" ht="24" customHeight="1">
      <c r="A166" s="340">
        <v>7</v>
      </c>
      <c r="B166" s="241">
        <v>9</v>
      </c>
      <c r="C166" s="436" t="s">
        <v>365</v>
      </c>
      <c r="D166" s="429">
        <v>3500</v>
      </c>
      <c r="E166" s="395"/>
      <c r="F166" s="199">
        <v>368222</v>
      </c>
      <c r="G166" s="162"/>
    </row>
    <row r="167" spans="1:7" ht="24" customHeight="1">
      <c r="A167" s="340">
        <v>7</v>
      </c>
      <c r="B167" s="241">
        <v>10</v>
      </c>
      <c r="C167" s="436" t="s">
        <v>233</v>
      </c>
      <c r="D167" s="429">
        <v>5000</v>
      </c>
      <c r="E167" s="395"/>
      <c r="F167" s="199">
        <v>373222</v>
      </c>
      <c r="G167" s="162"/>
    </row>
    <row r="168" spans="1:7" ht="24" customHeight="1">
      <c r="A168" s="340">
        <v>7</v>
      </c>
      <c r="B168" s="241">
        <v>12</v>
      </c>
      <c r="C168" s="436" t="s">
        <v>232</v>
      </c>
      <c r="D168" s="429">
        <v>10000</v>
      </c>
      <c r="E168" s="395"/>
      <c r="F168" s="199">
        <v>383222</v>
      </c>
      <c r="G168" s="162"/>
    </row>
    <row r="169" spans="1:7" ht="24" customHeight="1">
      <c r="A169" s="340">
        <v>7</v>
      </c>
      <c r="B169" s="241">
        <v>13</v>
      </c>
      <c r="C169" s="436" t="s">
        <v>226</v>
      </c>
      <c r="D169" s="429">
        <v>7000</v>
      </c>
      <c r="E169" s="395"/>
      <c r="F169" s="199">
        <v>390222</v>
      </c>
      <c r="G169" s="162"/>
    </row>
    <row r="170" spans="1:7" ht="24" customHeight="1">
      <c r="A170" s="340">
        <v>7</v>
      </c>
      <c r="B170" s="241">
        <v>14</v>
      </c>
      <c r="C170" s="436" t="s">
        <v>414</v>
      </c>
      <c r="D170" s="429">
        <v>8500</v>
      </c>
      <c r="E170" s="395"/>
      <c r="F170" s="199">
        <v>398722</v>
      </c>
      <c r="G170" s="162"/>
    </row>
    <row r="171" spans="1:7" ht="24" customHeight="1">
      <c r="A171" s="340">
        <v>7</v>
      </c>
      <c r="B171" s="241">
        <v>15</v>
      </c>
      <c r="C171" s="436" t="s">
        <v>245</v>
      </c>
      <c r="D171" s="429">
        <v>5000</v>
      </c>
      <c r="E171" s="395"/>
      <c r="F171" s="199">
        <v>403722</v>
      </c>
      <c r="G171" s="162"/>
    </row>
    <row r="172" spans="1:7" ht="24" customHeight="1">
      <c r="A172" s="340">
        <v>7</v>
      </c>
      <c r="B172" s="241">
        <v>15</v>
      </c>
      <c r="C172" s="436" t="s">
        <v>415</v>
      </c>
      <c r="D172" s="429"/>
      <c r="E172" s="395">
        <v>4200</v>
      </c>
      <c r="F172" s="199">
        <v>399522</v>
      </c>
      <c r="G172" s="162"/>
    </row>
    <row r="173" spans="1:7" ht="24" customHeight="1">
      <c r="A173" s="340">
        <v>7</v>
      </c>
      <c r="B173" s="241">
        <v>15</v>
      </c>
      <c r="C173" s="436" t="s">
        <v>416</v>
      </c>
      <c r="D173" s="429"/>
      <c r="E173" s="395">
        <v>7365</v>
      </c>
      <c r="F173" s="199">
        <v>392157</v>
      </c>
      <c r="G173" s="162"/>
    </row>
    <row r="174" spans="1:7" ht="24" customHeight="1">
      <c r="A174" s="340">
        <v>7</v>
      </c>
      <c r="B174" s="241">
        <v>15</v>
      </c>
      <c r="C174" s="436" t="s">
        <v>417</v>
      </c>
      <c r="D174" s="429"/>
      <c r="E174" s="395">
        <v>3659</v>
      </c>
      <c r="F174" s="199">
        <v>388498</v>
      </c>
      <c r="G174" s="162"/>
    </row>
    <row r="175" spans="1:7" ht="24" customHeight="1">
      <c r="A175" s="340">
        <v>7</v>
      </c>
      <c r="B175" s="439">
        <v>26</v>
      </c>
      <c r="C175" s="453" t="s">
        <v>444</v>
      </c>
      <c r="D175" s="429"/>
      <c r="E175" s="466">
        <v>1400</v>
      </c>
      <c r="F175" s="467">
        <v>387098</v>
      </c>
      <c r="G175" s="440"/>
    </row>
    <row r="176" spans="1:7" ht="24" customHeight="1">
      <c r="A176" s="340">
        <v>7</v>
      </c>
      <c r="B176" s="241">
        <v>26</v>
      </c>
      <c r="C176" s="436" t="s">
        <v>243</v>
      </c>
      <c r="D176" s="429">
        <v>5000</v>
      </c>
      <c r="E176" s="205"/>
      <c r="F176" s="451">
        <v>392098</v>
      </c>
      <c r="G176" s="162"/>
    </row>
    <row r="177" spans="1:9" ht="24" customHeight="1">
      <c r="A177" s="340">
        <v>7</v>
      </c>
      <c r="B177" s="241">
        <v>26</v>
      </c>
      <c r="C177" s="436" t="s">
        <v>420</v>
      </c>
      <c r="D177" s="429"/>
      <c r="E177" s="395">
        <v>336</v>
      </c>
      <c r="F177" s="451">
        <v>391762</v>
      </c>
      <c r="G177" s="162"/>
    </row>
    <row r="178" spans="1:9" ht="24" customHeight="1">
      <c r="A178" s="410">
        <v>7</v>
      </c>
      <c r="B178" s="437">
        <v>26</v>
      </c>
      <c r="C178" s="452" t="s">
        <v>421</v>
      </c>
      <c r="D178" s="438"/>
      <c r="E178" s="396">
        <v>2000</v>
      </c>
      <c r="F178" s="457">
        <v>389762</v>
      </c>
      <c r="G178" s="403"/>
    </row>
    <row r="179" spans="1:9" ht="24" customHeight="1">
      <c r="A179" s="439">
        <v>7</v>
      </c>
      <c r="B179" s="439">
        <v>21</v>
      </c>
      <c r="C179" s="453" t="s">
        <v>436</v>
      </c>
      <c r="D179" s="442">
        <v>6000</v>
      </c>
      <c r="E179" s="450"/>
      <c r="F179" s="458">
        <v>395762</v>
      </c>
      <c r="G179" s="440"/>
      <c r="H179" s="440"/>
      <c r="I179" s="440"/>
    </row>
    <row r="180" spans="1:9" ht="24" customHeight="1">
      <c r="A180" s="439">
        <v>7</v>
      </c>
      <c r="B180" s="439">
        <v>30</v>
      </c>
      <c r="C180" s="453" t="s">
        <v>435</v>
      </c>
      <c r="D180" s="442">
        <v>250700</v>
      </c>
      <c r="E180" s="450"/>
      <c r="F180" s="458">
        <v>646462</v>
      </c>
      <c r="G180" s="440"/>
      <c r="H180" s="440"/>
      <c r="I180" s="440"/>
    </row>
    <row r="181" spans="1:9" ht="24" customHeight="1">
      <c r="A181" s="439">
        <v>8</v>
      </c>
      <c r="B181" s="439">
        <v>2</v>
      </c>
      <c r="C181" s="453" t="s">
        <v>437</v>
      </c>
      <c r="D181" s="442">
        <v>5500</v>
      </c>
      <c r="E181" s="450"/>
      <c r="F181" s="458">
        <v>651962</v>
      </c>
      <c r="G181" s="440"/>
      <c r="H181" s="440"/>
      <c r="I181" s="440"/>
    </row>
    <row r="182" spans="1:9" ht="24" customHeight="1">
      <c r="A182" s="439">
        <v>8</v>
      </c>
      <c r="B182" s="439">
        <v>2</v>
      </c>
      <c r="C182" s="453" t="s">
        <v>438</v>
      </c>
      <c r="D182" s="442">
        <v>2400</v>
      </c>
      <c r="E182" s="450"/>
      <c r="F182" s="458">
        <v>654362</v>
      </c>
      <c r="G182" s="440"/>
      <c r="H182" s="440"/>
      <c r="I182" s="440"/>
    </row>
    <row r="183" spans="1:9" ht="24" customHeight="1">
      <c r="A183" s="439">
        <v>8</v>
      </c>
      <c r="B183" s="439">
        <v>2</v>
      </c>
      <c r="C183" s="453" t="s">
        <v>439</v>
      </c>
      <c r="D183" s="442">
        <v>3000</v>
      </c>
      <c r="E183" s="450"/>
      <c r="F183" s="458">
        <v>657362</v>
      </c>
      <c r="G183" s="440"/>
      <c r="H183" s="440"/>
      <c r="I183" s="440"/>
    </row>
    <row r="184" spans="1:9" ht="24" customHeight="1">
      <c r="A184" s="439">
        <v>8</v>
      </c>
      <c r="B184" s="439">
        <v>3</v>
      </c>
      <c r="C184" s="453" t="s">
        <v>442</v>
      </c>
      <c r="D184" s="442"/>
      <c r="E184" s="466">
        <v>14946</v>
      </c>
      <c r="F184" s="458">
        <v>642416</v>
      </c>
      <c r="G184" s="440"/>
      <c r="H184" s="440"/>
      <c r="I184" s="440"/>
    </row>
    <row r="185" spans="1:9" ht="24" customHeight="1">
      <c r="A185" s="439">
        <v>8</v>
      </c>
      <c r="B185" s="439">
        <v>3</v>
      </c>
      <c r="C185" s="453" t="s">
        <v>443</v>
      </c>
      <c r="D185" s="442"/>
      <c r="E185" s="466">
        <v>11015</v>
      </c>
      <c r="F185" s="458">
        <v>631401</v>
      </c>
      <c r="G185" s="440"/>
      <c r="H185" s="440"/>
      <c r="I185" s="440"/>
    </row>
    <row r="186" spans="1:9" ht="24" customHeight="1" thickBot="1">
      <c r="A186" s="437">
        <v>8</v>
      </c>
      <c r="B186" s="444">
        <v>5</v>
      </c>
      <c r="C186" s="452" t="s">
        <v>448</v>
      </c>
      <c r="D186" s="446"/>
      <c r="E186" s="396">
        <v>342835</v>
      </c>
      <c r="F186" s="470">
        <v>288566</v>
      </c>
      <c r="G186" s="472"/>
      <c r="H186" s="440"/>
      <c r="I186" s="440"/>
    </row>
    <row r="187" spans="1:9" ht="24" customHeight="1">
      <c r="A187" s="454">
        <v>8</v>
      </c>
      <c r="B187" s="468">
        <v>1</v>
      </c>
      <c r="C187" s="445" t="s">
        <v>283</v>
      </c>
      <c r="D187" s="447">
        <v>8000</v>
      </c>
      <c r="E187" s="473"/>
      <c r="F187" s="469">
        <v>296566</v>
      </c>
      <c r="G187" s="471"/>
      <c r="H187" s="440"/>
      <c r="I187" s="440"/>
    </row>
    <row r="188" spans="1:9" ht="24" customHeight="1">
      <c r="A188" s="439">
        <v>8</v>
      </c>
      <c r="B188" s="439">
        <v>6</v>
      </c>
      <c r="C188" s="453" t="s">
        <v>449</v>
      </c>
      <c r="D188" s="442"/>
      <c r="E188" s="466">
        <v>2000</v>
      </c>
      <c r="F188" s="458">
        <v>294566</v>
      </c>
      <c r="G188" s="440"/>
      <c r="H188" s="440"/>
      <c r="I188" s="440"/>
    </row>
    <row r="189" spans="1:9" ht="24" customHeight="1">
      <c r="A189" s="439">
        <v>8</v>
      </c>
      <c r="B189" s="439">
        <v>7</v>
      </c>
      <c r="C189" s="453" t="s">
        <v>226</v>
      </c>
      <c r="D189" s="442">
        <v>8000</v>
      </c>
      <c r="E189" s="450"/>
      <c r="F189" s="458">
        <v>302566</v>
      </c>
      <c r="G189" s="440"/>
      <c r="H189" s="440"/>
      <c r="I189" s="440"/>
    </row>
    <row r="190" spans="1:9" ht="24" customHeight="1">
      <c r="A190" s="439">
        <v>8</v>
      </c>
      <c r="B190" s="439">
        <v>8</v>
      </c>
      <c r="C190" s="453" t="s">
        <v>233</v>
      </c>
      <c r="D190" s="442">
        <v>5500</v>
      </c>
      <c r="E190" s="450"/>
      <c r="F190" s="458">
        <v>308066</v>
      </c>
      <c r="G190" s="440"/>
      <c r="H190" s="440"/>
      <c r="I190" s="440"/>
    </row>
    <row r="191" spans="1:9" ht="24" customHeight="1">
      <c r="A191" s="439">
        <v>8</v>
      </c>
      <c r="B191" s="439">
        <v>8</v>
      </c>
      <c r="C191" s="453" t="s">
        <v>450</v>
      </c>
      <c r="D191" s="442"/>
      <c r="E191" s="466">
        <v>100</v>
      </c>
      <c r="F191" s="458">
        <v>307966</v>
      </c>
      <c r="G191" s="440"/>
      <c r="H191" s="440"/>
      <c r="I191" s="440"/>
    </row>
    <row r="192" spans="1:9" ht="24" customHeight="1">
      <c r="A192" s="439">
        <v>8</v>
      </c>
      <c r="B192" s="439">
        <v>8</v>
      </c>
      <c r="C192" s="453" t="s">
        <v>453</v>
      </c>
      <c r="D192" s="442"/>
      <c r="E192" s="466">
        <v>1760</v>
      </c>
      <c r="F192" s="458">
        <v>306206</v>
      </c>
      <c r="G192" s="440"/>
      <c r="H192" s="440"/>
      <c r="I192" s="440"/>
    </row>
    <row r="193" spans="1:9" ht="24" customHeight="1">
      <c r="A193" s="439">
        <v>8</v>
      </c>
      <c r="B193" s="439">
        <v>11</v>
      </c>
      <c r="C193" s="453" t="s">
        <v>451</v>
      </c>
      <c r="D193" s="442">
        <v>700</v>
      </c>
      <c r="E193" s="450"/>
      <c r="F193" s="458">
        <v>306906</v>
      </c>
      <c r="G193" s="440"/>
      <c r="H193" s="440"/>
      <c r="I193" s="440"/>
    </row>
    <row r="194" spans="1:9" ht="24" customHeight="1">
      <c r="A194" s="439">
        <v>8</v>
      </c>
      <c r="B194" s="439">
        <v>13</v>
      </c>
      <c r="C194" s="453" t="s">
        <v>414</v>
      </c>
      <c r="D194" s="442">
        <v>9500</v>
      </c>
      <c r="E194" s="450"/>
      <c r="F194" s="458">
        <v>316406</v>
      </c>
      <c r="G194" s="440"/>
      <c r="H194" s="440"/>
      <c r="I194" s="440"/>
    </row>
    <row r="195" spans="1:9" ht="24" customHeight="1">
      <c r="A195" s="439">
        <v>8</v>
      </c>
      <c r="B195" s="439">
        <v>19</v>
      </c>
      <c r="C195" s="453" t="s">
        <v>245</v>
      </c>
      <c r="D195" s="442">
        <v>5500</v>
      </c>
      <c r="E195" s="450"/>
      <c r="F195" s="458">
        <v>321906</v>
      </c>
      <c r="G195" s="440"/>
      <c r="H195" s="440"/>
      <c r="I195" s="440"/>
    </row>
    <row r="196" spans="1:9" ht="24" customHeight="1">
      <c r="A196" s="439">
        <v>8</v>
      </c>
      <c r="B196" s="439">
        <v>20</v>
      </c>
      <c r="C196" s="453" t="s">
        <v>232</v>
      </c>
      <c r="D196" s="442">
        <v>11000</v>
      </c>
      <c r="E196" s="450"/>
      <c r="F196" s="458">
        <v>332906</v>
      </c>
      <c r="G196" s="440"/>
      <c r="H196" s="440"/>
      <c r="I196" s="440"/>
    </row>
    <row r="197" spans="1:9" ht="24" customHeight="1">
      <c r="A197" s="439">
        <v>8</v>
      </c>
      <c r="B197" s="439">
        <v>21</v>
      </c>
      <c r="C197" s="453" t="s">
        <v>243</v>
      </c>
      <c r="D197" s="442">
        <v>5500</v>
      </c>
      <c r="E197" s="450"/>
      <c r="F197" s="458">
        <v>338406</v>
      </c>
      <c r="G197" s="440"/>
      <c r="H197" s="440"/>
      <c r="I197" s="440"/>
    </row>
    <row r="198" spans="1:9" ht="24" customHeight="1">
      <c r="A198" s="439">
        <v>8</v>
      </c>
      <c r="B198" s="439">
        <v>21</v>
      </c>
      <c r="C198" s="453" t="s">
        <v>472</v>
      </c>
      <c r="D198" s="442"/>
      <c r="E198" s="466">
        <v>1072</v>
      </c>
      <c r="F198" s="458">
        <v>337334</v>
      </c>
      <c r="G198" s="440"/>
      <c r="H198" s="440"/>
      <c r="I198" s="440"/>
    </row>
    <row r="199" spans="1:9" ht="24" customHeight="1">
      <c r="A199" s="439">
        <v>8</v>
      </c>
      <c r="B199" s="439">
        <v>21</v>
      </c>
      <c r="C199" s="453" t="s">
        <v>452</v>
      </c>
      <c r="D199" s="442"/>
      <c r="E199" s="466">
        <v>710</v>
      </c>
      <c r="F199" s="458">
        <v>336624</v>
      </c>
      <c r="G199" s="440"/>
      <c r="H199" s="440"/>
      <c r="I199" s="440"/>
    </row>
    <row r="200" spans="1:9" ht="24" customHeight="1">
      <c r="A200" s="439">
        <v>8</v>
      </c>
      <c r="B200" s="439">
        <v>25</v>
      </c>
      <c r="C200" s="453" t="s">
        <v>306</v>
      </c>
      <c r="D200" s="442"/>
      <c r="E200" s="466">
        <v>1400</v>
      </c>
      <c r="F200" s="458">
        <v>335224</v>
      </c>
      <c r="G200" s="440"/>
      <c r="H200" s="440"/>
      <c r="I200" s="440"/>
    </row>
    <row r="201" spans="1:9" ht="24" customHeight="1">
      <c r="A201" s="439">
        <v>8</v>
      </c>
      <c r="B201" s="439">
        <v>29</v>
      </c>
      <c r="C201" s="453" t="s">
        <v>455</v>
      </c>
      <c r="D201" s="442">
        <v>247250</v>
      </c>
      <c r="E201" s="450"/>
      <c r="F201" s="458">
        <v>582474</v>
      </c>
      <c r="G201" s="440"/>
      <c r="H201" s="440"/>
      <c r="I201" s="440"/>
    </row>
    <row r="202" spans="1:9" ht="24" customHeight="1">
      <c r="A202" s="439">
        <v>8</v>
      </c>
      <c r="B202" s="439">
        <v>29</v>
      </c>
      <c r="C202" s="453" t="s">
        <v>475</v>
      </c>
      <c r="D202" s="442"/>
      <c r="E202" s="466">
        <v>3005</v>
      </c>
      <c r="F202" s="458">
        <v>579469</v>
      </c>
      <c r="G202" s="440"/>
      <c r="H202" s="440"/>
      <c r="I202" s="440"/>
    </row>
    <row r="203" spans="1:9" ht="24" customHeight="1">
      <c r="A203" s="439">
        <v>8</v>
      </c>
      <c r="B203" s="439">
        <v>29</v>
      </c>
      <c r="C203" s="453" t="s">
        <v>476</v>
      </c>
      <c r="D203" s="442"/>
      <c r="E203" s="466">
        <v>3118</v>
      </c>
      <c r="F203" s="458">
        <v>576351</v>
      </c>
      <c r="G203" s="440"/>
      <c r="H203" s="440"/>
      <c r="I203" s="440"/>
    </row>
    <row r="204" spans="1:9" ht="24" customHeight="1">
      <c r="A204" s="439">
        <v>8</v>
      </c>
      <c r="B204" s="439">
        <v>30</v>
      </c>
      <c r="C204" s="453" t="s">
        <v>459</v>
      </c>
      <c r="D204" s="442">
        <v>10500</v>
      </c>
      <c r="E204" s="450"/>
      <c r="F204" s="458">
        <v>586851</v>
      </c>
      <c r="G204" s="440"/>
      <c r="H204" s="440"/>
      <c r="I204" s="440"/>
    </row>
    <row r="205" spans="1:9" ht="24" customHeight="1">
      <c r="A205" s="439">
        <v>8</v>
      </c>
      <c r="B205" s="439">
        <v>30</v>
      </c>
      <c r="C205" s="453" t="s">
        <v>460</v>
      </c>
      <c r="D205" s="477">
        <v>800</v>
      </c>
      <c r="E205" s="450"/>
      <c r="F205" s="458">
        <v>587651</v>
      </c>
      <c r="G205" s="440"/>
      <c r="H205" s="440"/>
      <c r="I205" s="440"/>
    </row>
    <row r="206" spans="1:9" ht="24" customHeight="1">
      <c r="A206" s="439">
        <v>8</v>
      </c>
      <c r="B206" s="439">
        <v>30</v>
      </c>
      <c r="C206" s="453" t="s">
        <v>461</v>
      </c>
      <c r="D206" s="442">
        <v>1200</v>
      </c>
      <c r="E206" s="450"/>
      <c r="F206" s="458">
        <v>588851</v>
      </c>
      <c r="G206" s="440"/>
      <c r="H206" s="440"/>
      <c r="I206" s="440"/>
    </row>
    <row r="207" spans="1:9" ht="24" customHeight="1">
      <c r="A207" s="439">
        <v>8</v>
      </c>
      <c r="B207" s="439">
        <v>30</v>
      </c>
      <c r="C207" s="453" t="s">
        <v>462</v>
      </c>
      <c r="D207" s="442">
        <v>1200</v>
      </c>
      <c r="E207" s="450"/>
      <c r="F207" s="458">
        <v>590051</v>
      </c>
      <c r="G207" s="440"/>
      <c r="H207" s="440"/>
      <c r="I207" s="440"/>
    </row>
    <row r="208" spans="1:9" ht="24" customHeight="1">
      <c r="A208" s="439">
        <v>8</v>
      </c>
      <c r="B208" s="439">
        <v>30</v>
      </c>
      <c r="C208" s="453" t="s">
        <v>463</v>
      </c>
      <c r="D208" s="442">
        <v>400</v>
      </c>
      <c r="E208" s="450"/>
      <c r="F208" s="458">
        <v>590451</v>
      </c>
      <c r="G208" s="440"/>
      <c r="H208" s="440"/>
      <c r="I208" s="440"/>
    </row>
    <row r="209" spans="1:9" ht="24" customHeight="1">
      <c r="A209" s="439">
        <v>8</v>
      </c>
      <c r="B209" s="439">
        <v>30</v>
      </c>
      <c r="C209" s="453" t="s">
        <v>464</v>
      </c>
      <c r="D209" s="442">
        <v>800</v>
      </c>
      <c r="E209" s="450"/>
      <c r="F209" s="458">
        <v>591251</v>
      </c>
      <c r="G209" s="440"/>
      <c r="H209" s="440"/>
      <c r="I209" s="440"/>
    </row>
    <row r="210" spans="1:9" ht="24" customHeight="1">
      <c r="A210" s="439">
        <v>8</v>
      </c>
      <c r="B210" s="439">
        <v>30</v>
      </c>
      <c r="C210" s="453" t="s">
        <v>465</v>
      </c>
      <c r="D210" s="442">
        <v>400</v>
      </c>
      <c r="E210" s="450"/>
      <c r="F210" s="458">
        <v>591651</v>
      </c>
      <c r="G210" s="440"/>
      <c r="H210" s="440"/>
      <c r="I210" s="440"/>
    </row>
    <row r="211" spans="1:9" ht="24" customHeight="1">
      <c r="A211" s="439">
        <v>8</v>
      </c>
      <c r="B211" s="439">
        <v>30</v>
      </c>
      <c r="C211" s="453" t="s">
        <v>466</v>
      </c>
      <c r="D211" s="440"/>
      <c r="E211" s="466">
        <v>12800</v>
      </c>
      <c r="F211" s="458">
        <v>578851</v>
      </c>
      <c r="G211" s="440"/>
      <c r="H211" s="440"/>
      <c r="I211" s="440"/>
    </row>
    <row r="212" spans="1:9" ht="24" customHeight="1">
      <c r="A212" s="439">
        <v>8</v>
      </c>
      <c r="B212" s="439">
        <v>30</v>
      </c>
      <c r="C212" s="453" t="s">
        <v>467</v>
      </c>
      <c r="D212" s="440"/>
      <c r="E212" s="466">
        <v>452</v>
      </c>
      <c r="F212" s="458">
        <v>578399</v>
      </c>
      <c r="G212" s="440"/>
      <c r="H212" s="440"/>
      <c r="I212" s="440"/>
    </row>
    <row r="213" spans="1:9" ht="24" customHeight="1">
      <c r="A213" s="476" t="s">
        <v>160</v>
      </c>
      <c r="B213" s="439">
        <v>30</v>
      </c>
      <c r="C213" s="453" t="s">
        <v>468</v>
      </c>
      <c r="D213" s="440"/>
      <c r="E213" s="466">
        <v>600</v>
      </c>
      <c r="F213" s="458">
        <v>577799</v>
      </c>
      <c r="G213" s="440"/>
      <c r="H213" s="440"/>
      <c r="I213" s="440"/>
    </row>
    <row r="214" spans="1:9" ht="24" customHeight="1">
      <c r="A214" s="439">
        <v>9</v>
      </c>
      <c r="B214" s="439">
        <v>2</v>
      </c>
      <c r="C214" s="453" t="s">
        <v>473</v>
      </c>
      <c r="D214" s="442">
        <v>5500</v>
      </c>
      <c r="E214" s="474"/>
      <c r="F214" s="458">
        <v>583299</v>
      </c>
      <c r="G214" s="440"/>
      <c r="H214" s="440"/>
      <c r="I214" s="440"/>
    </row>
    <row r="215" spans="1:9" ht="24" customHeight="1">
      <c r="A215" s="439">
        <v>9</v>
      </c>
      <c r="B215" s="439">
        <v>2</v>
      </c>
      <c r="C215" s="453" t="s">
        <v>474</v>
      </c>
      <c r="D215" s="442">
        <v>4000</v>
      </c>
      <c r="E215" s="474"/>
      <c r="F215" s="458">
        <v>587299</v>
      </c>
      <c r="G215" s="440"/>
      <c r="H215" s="440"/>
      <c r="I215" s="440"/>
    </row>
    <row r="216" spans="1:9" ht="24" customHeight="1">
      <c r="A216" s="439">
        <v>9</v>
      </c>
      <c r="B216" s="439">
        <v>4</v>
      </c>
      <c r="C216" s="453" t="s">
        <v>536</v>
      </c>
      <c r="D216" s="440"/>
      <c r="E216" s="466">
        <v>1580</v>
      </c>
      <c r="F216" s="458">
        <v>585719</v>
      </c>
      <c r="G216" s="440"/>
      <c r="H216" s="440"/>
      <c r="I216" s="440"/>
    </row>
    <row r="217" spans="1:9" ht="24" customHeight="1">
      <c r="A217" s="439">
        <v>9</v>
      </c>
      <c r="B217" s="439">
        <v>4</v>
      </c>
      <c r="C217" s="453" t="s">
        <v>537</v>
      </c>
      <c r="D217" s="440"/>
      <c r="E217" s="466">
        <v>2681</v>
      </c>
      <c r="F217" s="458">
        <v>583038</v>
      </c>
      <c r="G217" s="440"/>
      <c r="H217" s="440"/>
      <c r="I217" s="440"/>
    </row>
    <row r="218" spans="1:9" ht="24" customHeight="1">
      <c r="A218" s="439">
        <v>9</v>
      </c>
      <c r="B218" s="439">
        <v>4</v>
      </c>
      <c r="C218" s="453" t="s">
        <v>477</v>
      </c>
      <c r="D218" s="442">
        <v>4000</v>
      </c>
      <c r="E218" s="474"/>
      <c r="F218" s="458">
        <v>587038</v>
      </c>
      <c r="G218" s="440"/>
      <c r="H218" s="440"/>
      <c r="I218" s="440"/>
    </row>
    <row r="219" spans="1:9" ht="24" customHeight="1" thickBot="1">
      <c r="A219" s="492">
        <v>9</v>
      </c>
      <c r="B219" s="492">
        <v>5</v>
      </c>
      <c r="C219" s="495" t="s">
        <v>483</v>
      </c>
      <c r="D219" s="496"/>
      <c r="E219" s="497">
        <v>308183</v>
      </c>
      <c r="F219" s="498">
        <v>278855</v>
      </c>
      <c r="G219" s="493"/>
      <c r="H219" s="440"/>
      <c r="I219" s="440"/>
    </row>
    <row r="220" spans="1:9" ht="24" customHeight="1">
      <c r="A220" s="454">
        <v>9</v>
      </c>
      <c r="B220" s="454">
        <v>5</v>
      </c>
      <c r="C220" s="445" t="s">
        <v>283</v>
      </c>
      <c r="D220" s="499">
        <v>6100</v>
      </c>
      <c r="E220" s="494"/>
      <c r="F220" s="469">
        <v>284955</v>
      </c>
      <c r="G220" s="404"/>
      <c r="H220" s="440"/>
      <c r="I220" s="440"/>
    </row>
    <row r="221" spans="1:9" ht="24" customHeight="1">
      <c r="A221" s="439">
        <v>9</v>
      </c>
      <c r="B221" s="439">
        <v>9</v>
      </c>
      <c r="C221" s="453" t="s">
        <v>247</v>
      </c>
      <c r="D221" s="458">
        <v>3300</v>
      </c>
      <c r="E221" s="504"/>
      <c r="F221" s="500">
        <v>288255</v>
      </c>
      <c r="G221" s="440"/>
      <c r="H221" s="440"/>
      <c r="I221" s="440"/>
    </row>
    <row r="222" spans="1:9" ht="24" customHeight="1">
      <c r="A222" s="439">
        <v>9</v>
      </c>
      <c r="B222" s="439">
        <v>10</v>
      </c>
      <c r="C222" s="453" t="s">
        <v>484</v>
      </c>
      <c r="D222" s="458">
        <v>6600</v>
      </c>
      <c r="E222" s="504"/>
      <c r="F222" s="458">
        <v>294855</v>
      </c>
      <c r="G222" s="440"/>
      <c r="H222" s="440"/>
      <c r="I222" s="440"/>
    </row>
    <row r="223" spans="1:9" ht="24" customHeight="1">
      <c r="A223" s="501">
        <v>9</v>
      </c>
      <c r="B223" s="501">
        <v>14</v>
      </c>
      <c r="C223" s="453" t="s">
        <v>232</v>
      </c>
      <c r="D223" s="500">
        <v>5900</v>
      </c>
      <c r="E223" s="505"/>
      <c r="F223" s="500">
        <v>300755</v>
      </c>
      <c r="G223" s="502"/>
      <c r="H223" s="502"/>
      <c r="I223" s="502"/>
    </row>
    <row r="224" spans="1:9" ht="24" customHeight="1">
      <c r="A224" s="501">
        <v>9</v>
      </c>
      <c r="B224" s="501">
        <v>14</v>
      </c>
      <c r="C224" s="453" t="s">
        <v>414</v>
      </c>
      <c r="D224" s="500">
        <v>6100</v>
      </c>
      <c r="E224" s="505"/>
      <c r="F224" s="500">
        <v>306855</v>
      </c>
      <c r="G224" s="502"/>
      <c r="H224" s="502"/>
      <c r="I224" s="502"/>
    </row>
    <row r="225" spans="1:9" ht="24" customHeight="1">
      <c r="A225" s="501">
        <v>9</v>
      </c>
      <c r="B225" s="501">
        <v>15</v>
      </c>
      <c r="C225" s="453" t="s">
        <v>245</v>
      </c>
      <c r="D225" s="500">
        <v>3200</v>
      </c>
      <c r="E225" s="505"/>
      <c r="F225" s="500">
        <v>310055</v>
      </c>
      <c r="G225" s="502"/>
      <c r="H225" s="502"/>
      <c r="I225" s="502"/>
    </row>
    <row r="226" spans="1:9" ht="24" customHeight="1">
      <c r="A226" s="501">
        <v>9</v>
      </c>
      <c r="B226" s="501">
        <v>15</v>
      </c>
      <c r="C226" s="453" t="s">
        <v>365</v>
      </c>
      <c r="D226" s="500">
        <v>3300</v>
      </c>
      <c r="E226" s="505"/>
      <c r="F226" s="500">
        <v>313355</v>
      </c>
      <c r="G226" s="502"/>
      <c r="H226" s="502"/>
      <c r="I226" s="502"/>
    </row>
    <row r="227" spans="1:9" ht="24" customHeight="1">
      <c r="A227" s="501">
        <v>9</v>
      </c>
      <c r="B227" s="501">
        <v>16</v>
      </c>
      <c r="C227" s="514" t="s">
        <v>226</v>
      </c>
      <c r="D227" s="500">
        <v>5900</v>
      </c>
      <c r="E227" s="505"/>
      <c r="F227" s="500">
        <v>319255</v>
      </c>
      <c r="G227" s="502"/>
      <c r="H227" s="502"/>
      <c r="I227" s="502"/>
    </row>
    <row r="228" spans="1:9" ht="24" customHeight="1">
      <c r="A228" s="501">
        <v>9</v>
      </c>
      <c r="B228" s="501">
        <v>22</v>
      </c>
      <c r="C228" s="453" t="s">
        <v>342</v>
      </c>
      <c r="D228" s="500">
        <v>600</v>
      </c>
      <c r="E228" s="505"/>
      <c r="F228" s="500">
        <v>319855</v>
      </c>
      <c r="G228" s="502"/>
      <c r="H228" s="502"/>
      <c r="I228" s="502"/>
    </row>
    <row r="229" spans="1:9" ht="24" customHeight="1">
      <c r="A229" s="501">
        <v>9</v>
      </c>
      <c r="B229" s="501">
        <v>23</v>
      </c>
      <c r="C229" s="453" t="s">
        <v>485</v>
      </c>
      <c r="D229" s="500">
        <v>145400</v>
      </c>
      <c r="E229" s="505"/>
      <c r="F229" s="500">
        <v>465255</v>
      </c>
      <c r="G229" s="502"/>
      <c r="H229" s="502"/>
      <c r="I229" s="502"/>
    </row>
    <row r="230" spans="1:9" ht="24" customHeight="1">
      <c r="A230" s="501">
        <v>9</v>
      </c>
      <c r="B230" s="501">
        <v>23</v>
      </c>
      <c r="C230" s="515" t="s">
        <v>489</v>
      </c>
      <c r="D230" s="500"/>
      <c r="E230" s="505">
        <v>3675</v>
      </c>
      <c r="F230" s="500">
        <v>461580</v>
      </c>
      <c r="G230" s="502"/>
      <c r="H230" s="502"/>
      <c r="I230" s="502"/>
    </row>
    <row r="231" spans="1:9" ht="24" customHeight="1">
      <c r="A231" s="501">
        <v>9</v>
      </c>
      <c r="B231" s="501">
        <v>23</v>
      </c>
      <c r="C231" s="514" t="s">
        <v>490</v>
      </c>
      <c r="D231" s="500"/>
      <c r="E231" s="505">
        <v>1900</v>
      </c>
      <c r="F231" s="500">
        <v>459680</v>
      </c>
      <c r="G231" s="502"/>
      <c r="H231" s="502"/>
      <c r="I231" s="502"/>
    </row>
    <row r="232" spans="1:9" ht="24" customHeight="1">
      <c r="A232" s="501">
        <v>9</v>
      </c>
      <c r="B232" s="501">
        <v>23</v>
      </c>
      <c r="C232" s="514" t="s">
        <v>491</v>
      </c>
      <c r="D232" s="500"/>
      <c r="E232" s="505">
        <v>263</v>
      </c>
      <c r="F232" s="500">
        <v>459417</v>
      </c>
      <c r="G232" s="502"/>
      <c r="H232" s="502"/>
      <c r="I232" s="502"/>
    </row>
    <row r="233" spans="1:9" ht="24" customHeight="1">
      <c r="A233" s="501">
        <v>9</v>
      </c>
      <c r="B233" s="501">
        <v>26</v>
      </c>
      <c r="C233" s="514" t="s">
        <v>492</v>
      </c>
      <c r="D233" s="500">
        <v>2400</v>
      </c>
      <c r="E233" s="505"/>
      <c r="F233" s="500">
        <v>461817</v>
      </c>
      <c r="G233" s="502"/>
      <c r="H233" s="502"/>
      <c r="I233" s="502"/>
    </row>
    <row r="234" spans="1:9" ht="24" customHeight="1">
      <c r="A234" s="501">
        <v>9</v>
      </c>
      <c r="B234" s="501">
        <v>26</v>
      </c>
      <c r="C234" s="514" t="s">
        <v>494</v>
      </c>
      <c r="D234" s="500">
        <v>2300</v>
      </c>
      <c r="E234" s="505"/>
      <c r="F234" s="500">
        <v>464117</v>
      </c>
      <c r="G234" s="502"/>
      <c r="H234" s="502"/>
      <c r="I234" s="502"/>
    </row>
    <row r="235" spans="1:9" ht="24" customHeight="1">
      <c r="A235" s="501">
        <v>9</v>
      </c>
      <c r="B235" s="501">
        <v>27</v>
      </c>
      <c r="C235" s="514" t="s">
        <v>507</v>
      </c>
      <c r="D235" s="500"/>
      <c r="E235" s="505">
        <v>1600</v>
      </c>
      <c r="F235" s="500">
        <v>462517</v>
      </c>
      <c r="G235" s="502"/>
      <c r="H235" s="502"/>
      <c r="I235" s="502"/>
    </row>
    <row r="236" spans="1:9" ht="24" customHeight="1">
      <c r="A236" s="501">
        <v>9</v>
      </c>
      <c r="B236" s="501">
        <v>27</v>
      </c>
      <c r="C236" s="514" t="s">
        <v>495</v>
      </c>
      <c r="D236" s="500"/>
      <c r="E236" s="505">
        <v>4000</v>
      </c>
      <c r="F236" s="500">
        <v>458517</v>
      </c>
      <c r="G236" s="502"/>
      <c r="H236" s="502"/>
      <c r="I236" s="502"/>
    </row>
    <row r="237" spans="1:9" ht="24" customHeight="1">
      <c r="A237" s="501">
        <v>9</v>
      </c>
      <c r="B237" s="501">
        <v>27</v>
      </c>
      <c r="C237" s="514" t="s">
        <v>496</v>
      </c>
      <c r="D237" s="500"/>
      <c r="E237" s="505">
        <v>6000</v>
      </c>
      <c r="F237" s="500">
        <v>452517</v>
      </c>
      <c r="G237" s="502"/>
      <c r="H237" s="502"/>
      <c r="I237" s="502"/>
    </row>
    <row r="238" spans="1:9" ht="24" customHeight="1">
      <c r="A238" s="501">
        <v>9</v>
      </c>
      <c r="B238" s="501">
        <v>30</v>
      </c>
      <c r="C238" s="514" t="s">
        <v>474</v>
      </c>
      <c r="D238" s="500">
        <v>3300</v>
      </c>
      <c r="E238" s="505"/>
      <c r="F238" s="500">
        <v>455817</v>
      </c>
      <c r="G238" s="502"/>
      <c r="H238" s="502"/>
      <c r="I238" s="502"/>
    </row>
    <row r="239" spans="1:9" ht="24" customHeight="1">
      <c r="A239" s="501">
        <v>10</v>
      </c>
      <c r="B239" s="501">
        <v>2</v>
      </c>
      <c r="C239" s="514" t="s">
        <v>497</v>
      </c>
      <c r="D239" s="500">
        <v>3300</v>
      </c>
      <c r="E239" s="505"/>
      <c r="F239" s="500">
        <v>459117</v>
      </c>
      <c r="G239" s="502"/>
      <c r="H239" s="502"/>
      <c r="I239" s="502"/>
    </row>
    <row r="240" spans="1:9" ht="24" customHeight="1">
      <c r="A240" s="501">
        <v>10</v>
      </c>
      <c r="B240" s="501">
        <v>2</v>
      </c>
      <c r="C240" s="514" t="s">
        <v>498</v>
      </c>
      <c r="D240" s="500">
        <v>4000</v>
      </c>
      <c r="E240" s="505"/>
      <c r="F240" s="500">
        <v>463117</v>
      </c>
      <c r="G240" s="502"/>
      <c r="H240" s="502"/>
      <c r="I240" s="502"/>
    </row>
    <row r="241" spans="1:9" ht="24" customHeight="1">
      <c r="A241" s="501">
        <v>10</v>
      </c>
      <c r="B241" s="501">
        <v>3</v>
      </c>
      <c r="C241" s="514" t="s">
        <v>499</v>
      </c>
      <c r="D241" s="500">
        <v>6600</v>
      </c>
      <c r="E241" s="505"/>
      <c r="F241" s="500">
        <v>469717</v>
      </c>
      <c r="G241" s="502"/>
      <c r="H241" s="502"/>
      <c r="I241" s="502"/>
    </row>
    <row r="242" spans="1:9" ht="24" customHeight="1">
      <c r="A242" s="501">
        <v>10</v>
      </c>
      <c r="B242" s="501">
        <v>3</v>
      </c>
      <c r="C242" s="514" t="s">
        <v>500</v>
      </c>
      <c r="D242" s="500">
        <v>2300</v>
      </c>
      <c r="E242" s="505"/>
      <c r="F242" s="500">
        <v>472017</v>
      </c>
      <c r="G242" s="502"/>
      <c r="H242" s="502"/>
      <c r="I242" s="502"/>
    </row>
    <row r="243" spans="1:9" ht="24" customHeight="1">
      <c r="A243" s="501">
        <v>10</v>
      </c>
      <c r="B243" s="501">
        <v>3</v>
      </c>
      <c r="C243" s="514" t="s">
        <v>501</v>
      </c>
      <c r="D243" s="500"/>
      <c r="E243" s="505">
        <v>4500</v>
      </c>
      <c r="F243" s="500">
        <v>467517</v>
      </c>
      <c r="G243" s="502"/>
      <c r="H243" s="502"/>
      <c r="I243" s="502"/>
    </row>
    <row r="244" spans="1:9" ht="24" customHeight="1">
      <c r="A244" s="501">
        <v>10</v>
      </c>
      <c r="B244" s="501">
        <v>4</v>
      </c>
      <c r="C244" s="514" t="s">
        <v>502</v>
      </c>
      <c r="D244" s="500">
        <v>1200</v>
      </c>
      <c r="E244" s="505"/>
      <c r="F244" s="500">
        <v>468717</v>
      </c>
      <c r="G244" s="502"/>
      <c r="H244" s="502"/>
      <c r="I244" s="502"/>
    </row>
    <row r="245" spans="1:9" ht="24" customHeight="1">
      <c r="A245" s="501">
        <v>10</v>
      </c>
      <c r="B245" s="501">
        <v>4</v>
      </c>
      <c r="C245" s="514" t="s">
        <v>506</v>
      </c>
      <c r="D245" s="500"/>
      <c r="E245" s="505">
        <v>2520</v>
      </c>
      <c r="F245" s="500">
        <v>466197</v>
      </c>
      <c r="G245" s="502"/>
      <c r="H245" s="502"/>
      <c r="I245" s="502"/>
    </row>
    <row r="246" spans="1:9" ht="24" customHeight="1">
      <c r="A246" s="501">
        <v>10</v>
      </c>
      <c r="B246" s="501">
        <v>4</v>
      </c>
      <c r="C246" s="514" t="s">
        <v>504</v>
      </c>
      <c r="D246" s="500"/>
      <c r="E246" s="505">
        <v>1501</v>
      </c>
      <c r="F246" s="500">
        <v>464696</v>
      </c>
      <c r="G246" s="502"/>
      <c r="H246" s="502"/>
      <c r="I246" s="502"/>
    </row>
    <row r="247" spans="1:9" ht="24" customHeight="1">
      <c r="A247" s="501">
        <v>10</v>
      </c>
      <c r="B247" s="501">
        <v>4</v>
      </c>
      <c r="C247" s="514" t="s">
        <v>503</v>
      </c>
      <c r="D247" s="500"/>
      <c r="E247" s="505">
        <v>10000</v>
      </c>
      <c r="F247" s="500">
        <v>454696</v>
      </c>
      <c r="G247" s="502"/>
      <c r="H247" s="502"/>
      <c r="I247" s="502"/>
    </row>
    <row r="248" spans="1:9" ht="24" customHeight="1" thickBot="1">
      <c r="A248" s="519">
        <v>10</v>
      </c>
      <c r="B248" s="492">
        <v>4</v>
      </c>
      <c r="C248" s="495" t="s">
        <v>505</v>
      </c>
      <c r="D248" s="520"/>
      <c r="E248" s="523">
        <v>217340</v>
      </c>
      <c r="F248" s="524">
        <v>237356</v>
      </c>
      <c r="G248" s="493"/>
      <c r="H248" s="496"/>
      <c r="I248" s="493"/>
    </row>
    <row r="249" spans="1:9" ht="24" customHeight="1">
      <c r="A249" s="468">
        <v>10</v>
      </c>
      <c r="B249" s="454">
        <v>1</v>
      </c>
      <c r="C249" s="514" t="s">
        <v>283</v>
      </c>
      <c r="D249" s="521">
        <v>5500</v>
      </c>
      <c r="E249" s="522"/>
      <c r="F249" s="469">
        <v>242856</v>
      </c>
      <c r="G249" s="404"/>
      <c r="H249" s="471"/>
      <c r="I249" s="404"/>
    </row>
    <row r="250" spans="1:9" ht="24" customHeight="1">
      <c r="A250" s="501">
        <v>10</v>
      </c>
      <c r="B250" s="501">
        <v>10</v>
      </c>
      <c r="C250" s="514" t="s">
        <v>232</v>
      </c>
      <c r="D250" s="500">
        <v>5400</v>
      </c>
      <c r="E250" s="505"/>
      <c r="F250" s="500">
        <v>248256</v>
      </c>
      <c r="G250" s="502"/>
      <c r="H250" s="502"/>
      <c r="I250" s="502"/>
    </row>
    <row r="251" spans="1:9" ht="24" customHeight="1">
      <c r="A251" s="501">
        <v>10</v>
      </c>
      <c r="B251" s="501">
        <v>14</v>
      </c>
      <c r="C251" s="514" t="s">
        <v>226</v>
      </c>
      <c r="D251" s="500">
        <v>5400</v>
      </c>
      <c r="E251" s="505"/>
      <c r="F251" s="500">
        <v>253656</v>
      </c>
      <c r="G251" s="502"/>
      <c r="H251" s="502"/>
      <c r="I251" s="502"/>
    </row>
    <row r="252" spans="1:9" ht="24" customHeight="1">
      <c r="A252" s="501">
        <v>10</v>
      </c>
      <c r="B252" s="501">
        <v>14</v>
      </c>
      <c r="C252" s="514" t="s">
        <v>515</v>
      </c>
      <c r="D252" s="500">
        <v>9000</v>
      </c>
      <c r="E252" s="505"/>
      <c r="F252" s="500">
        <v>262656</v>
      </c>
      <c r="G252" s="502"/>
      <c r="H252" s="502"/>
      <c r="I252" s="502"/>
    </row>
    <row r="253" spans="1:9" ht="24" customHeight="1">
      <c r="A253" s="501">
        <v>10</v>
      </c>
      <c r="B253" s="501">
        <v>14</v>
      </c>
      <c r="C253" s="514" t="s">
        <v>516</v>
      </c>
      <c r="D253" s="500">
        <v>250</v>
      </c>
      <c r="E253" s="505"/>
      <c r="F253" s="500">
        <v>262906</v>
      </c>
      <c r="G253" s="502"/>
      <c r="H253" s="502"/>
      <c r="I253" s="502"/>
    </row>
    <row r="254" spans="1:9" ht="24" customHeight="1">
      <c r="A254" s="501">
        <v>10</v>
      </c>
      <c r="B254" s="501">
        <v>16</v>
      </c>
      <c r="C254" s="514" t="s">
        <v>517</v>
      </c>
      <c r="D254" s="500"/>
      <c r="E254" s="505">
        <v>4440</v>
      </c>
      <c r="F254" s="500">
        <v>258466</v>
      </c>
      <c r="G254" s="502"/>
      <c r="H254" s="502"/>
      <c r="I254" s="502"/>
    </row>
    <row r="255" spans="1:9" ht="24" customHeight="1">
      <c r="A255" s="501">
        <v>10</v>
      </c>
      <c r="B255" s="501">
        <v>16</v>
      </c>
      <c r="C255" s="514" t="s">
        <v>538</v>
      </c>
      <c r="D255" s="500"/>
      <c r="E255" s="505">
        <v>6337</v>
      </c>
      <c r="F255" s="500">
        <v>252129</v>
      </c>
      <c r="G255" s="502"/>
      <c r="H255" s="502"/>
      <c r="I255" s="502"/>
    </row>
    <row r="256" spans="1:9" ht="24" customHeight="1">
      <c r="A256" s="501">
        <v>10</v>
      </c>
      <c r="B256" s="501">
        <v>19</v>
      </c>
      <c r="C256" s="514" t="s">
        <v>414</v>
      </c>
      <c r="D256" s="500">
        <v>5500</v>
      </c>
      <c r="E256" s="505"/>
      <c r="F256" s="500">
        <v>257629</v>
      </c>
      <c r="G256" s="502"/>
      <c r="H256" s="502"/>
      <c r="I256" s="502"/>
    </row>
    <row r="257" spans="1:9" ht="24" customHeight="1">
      <c r="A257" s="501">
        <v>10</v>
      </c>
      <c r="B257" s="501">
        <v>20</v>
      </c>
      <c r="C257" s="514" t="s">
        <v>247</v>
      </c>
      <c r="D257" s="500">
        <v>3000</v>
      </c>
      <c r="E257" s="505"/>
      <c r="F257" s="500">
        <v>260629</v>
      </c>
      <c r="G257" s="502"/>
      <c r="H257" s="502"/>
      <c r="I257" s="502"/>
    </row>
    <row r="258" spans="1:9" ht="24" customHeight="1">
      <c r="A258" s="501">
        <v>10</v>
      </c>
      <c r="B258" s="501">
        <v>22</v>
      </c>
      <c r="C258" s="514" t="s">
        <v>518</v>
      </c>
      <c r="D258" s="500">
        <v>1600</v>
      </c>
      <c r="E258" s="505"/>
      <c r="F258" s="500">
        <v>262229</v>
      </c>
      <c r="G258" s="502"/>
      <c r="H258" s="502"/>
      <c r="I258" s="502"/>
    </row>
    <row r="259" spans="1:9" ht="24" customHeight="1">
      <c r="A259" s="501">
        <v>10</v>
      </c>
      <c r="B259" s="501">
        <v>23</v>
      </c>
      <c r="C259" s="514" t="s">
        <v>519</v>
      </c>
      <c r="D259" s="500">
        <v>1000</v>
      </c>
      <c r="E259" s="505"/>
      <c r="F259" s="500">
        <v>263229</v>
      </c>
      <c r="G259" s="502"/>
      <c r="H259" s="502"/>
      <c r="I259" s="502"/>
    </row>
    <row r="260" spans="1:9" ht="24" customHeight="1">
      <c r="A260" s="501">
        <v>10</v>
      </c>
      <c r="B260" s="501">
        <v>26</v>
      </c>
      <c r="C260" s="514" t="s">
        <v>243</v>
      </c>
      <c r="D260" s="500">
        <v>3000</v>
      </c>
      <c r="E260" s="505"/>
      <c r="F260" s="500">
        <v>266229</v>
      </c>
      <c r="G260" s="502"/>
      <c r="H260" s="502"/>
      <c r="I260" s="502"/>
    </row>
    <row r="261" spans="1:9" ht="24" customHeight="1">
      <c r="A261" s="501">
        <v>10</v>
      </c>
      <c r="B261" s="501">
        <v>27</v>
      </c>
      <c r="C261" s="514" t="s">
        <v>306</v>
      </c>
      <c r="D261" s="500"/>
      <c r="E261" s="505">
        <v>1400</v>
      </c>
      <c r="F261" s="500">
        <v>264829</v>
      </c>
      <c r="G261" s="502"/>
      <c r="H261" s="502"/>
      <c r="I261" s="502"/>
    </row>
    <row r="262" spans="1:9" ht="24" customHeight="1">
      <c r="A262" s="501">
        <v>10</v>
      </c>
      <c r="B262" s="501">
        <v>28</v>
      </c>
      <c r="C262" s="514" t="s">
        <v>522</v>
      </c>
      <c r="D262" s="500"/>
      <c r="E262" s="505">
        <v>4240</v>
      </c>
      <c r="F262" s="500">
        <v>260589</v>
      </c>
      <c r="G262" s="502"/>
      <c r="H262" s="502"/>
      <c r="I262" s="502"/>
    </row>
    <row r="263" spans="1:9" ht="24" customHeight="1">
      <c r="A263" s="501">
        <v>10</v>
      </c>
      <c r="B263" s="501">
        <v>28</v>
      </c>
      <c r="C263" s="514" t="s">
        <v>523</v>
      </c>
      <c r="D263" s="500"/>
      <c r="E263" s="505">
        <v>3675</v>
      </c>
      <c r="F263" s="500">
        <v>256914</v>
      </c>
      <c r="G263" s="502"/>
      <c r="H263" s="502"/>
      <c r="I263" s="502"/>
    </row>
    <row r="264" spans="1:9" ht="24" customHeight="1">
      <c r="A264" s="501">
        <v>10</v>
      </c>
      <c r="B264" s="501">
        <v>28</v>
      </c>
      <c r="C264" s="514" t="s">
        <v>524</v>
      </c>
      <c r="D264" s="500"/>
      <c r="E264" s="505">
        <v>335</v>
      </c>
      <c r="F264" s="500">
        <v>256579</v>
      </c>
      <c r="G264" s="502"/>
      <c r="H264" s="502"/>
      <c r="I264" s="502"/>
    </row>
    <row r="265" spans="1:9" ht="24" customHeight="1">
      <c r="A265" s="501">
        <v>10</v>
      </c>
      <c r="B265" s="501">
        <v>28</v>
      </c>
      <c r="C265" s="514" t="s">
        <v>539</v>
      </c>
      <c r="D265" s="500"/>
      <c r="E265" s="505">
        <v>380</v>
      </c>
      <c r="F265" s="500">
        <v>256199</v>
      </c>
      <c r="G265" s="502"/>
      <c r="H265" s="502"/>
      <c r="I265" s="502"/>
    </row>
    <row r="266" spans="1:9" ht="24" customHeight="1">
      <c r="A266" s="501">
        <v>10</v>
      </c>
      <c r="B266" s="501">
        <v>30</v>
      </c>
      <c r="C266" s="514" t="s">
        <v>485</v>
      </c>
      <c r="D266" s="500">
        <v>162600</v>
      </c>
      <c r="E266" s="505"/>
      <c r="F266" s="500">
        <v>418799</v>
      </c>
      <c r="G266" s="502"/>
      <c r="H266" s="502"/>
      <c r="I266" s="502"/>
    </row>
    <row r="267" spans="1:9" ht="24" customHeight="1">
      <c r="A267" s="501">
        <v>11</v>
      </c>
      <c r="B267" s="501">
        <v>1</v>
      </c>
      <c r="C267" s="514" t="s">
        <v>540</v>
      </c>
      <c r="D267" s="500">
        <v>800</v>
      </c>
      <c r="E267" s="505"/>
      <c r="F267" s="500">
        <v>419599</v>
      </c>
      <c r="G267" s="502"/>
      <c r="H267" s="502"/>
      <c r="I267" s="502"/>
    </row>
    <row r="268" spans="1:9" ht="24" customHeight="1" thickBot="1">
      <c r="A268" s="560">
        <v>11</v>
      </c>
      <c r="B268" s="560">
        <v>4</v>
      </c>
      <c r="C268" s="564" t="s">
        <v>541</v>
      </c>
      <c r="D268" s="565"/>
      <c r="E268" s="567">
        <v>193640</v>
      </c>
      <c r="F268" s="569">
        <v>225959</v>
      </c>
      <c r="G268" s="570"/>
      <c r="H268" s="502"/>
      <c r="I268" s="502"/>
    </row>
    <row r="269" spans="1:9" ht="24" customHeight="1">
      <c r="A269" s="561">
        <v>11</v>
      </c>
      <c r="B269" s="562">
        <v>1</v>
      </c>
      <c r="C269" s="563" t="s">
        <v>283</v>
      </c>
      <c r="D269" s="521">
        <v>5500</v>
      </c>
      <c r="E269" s="566"/>
      <c r="F269" s="568">
        <v>231459</v>
      </c>
      <c r="G269" s="404"/>
      <c r="H269" s="502"/>
      <c r="I269" s="502"/>
    </row>
    <row r="270" spans="1:9" ht="24" customHeight="1">
      <c r="A270" s="501">
        <v>11</v>
      </c>
      <c r="B270" s="501">
        <v>10</v>
      </c>
      <c r="C270" s="514" t="s">
        <v>542</v>
      </c>
      <c r="D270" s="500">
        <v>3000</v>
      </c>
      <c r="E270" s="505"/>
      <c r="F270" s="500">
        <v>234459</v>
      </c>
      <c r="G270" s="502"/>
      <c r="H270" s="502"/>
      <c r="I270" s="502"/>
    </row>
    <row r="271" spans="1:9" ht="24" customHeight="1">
      <c r="A271" s="501">
        <v>11</v>
      </c>
      <c r="B271" s="501">
        <v>10</v>
      </c>
      <c r="C271" s="514" t="s">
        <v>543</v>
      </c>
      <c r="D271" s="500">
        <v>3300</v>
      </c>
      <c r="E271" s="505"/>
      <c r="F271" s="500">
        <v>237759</v>
      </c>
      <c r="G271" s="502"/>
      <c r="H271" s="502"/>
      <c r="I271" s="502"/>
    </row>
    <row r="272" spans="1:9" ht="24" customHeight="1">
      <c r="A272" s="501">
        <v>11</v>
      </c>
      <c r="B272" s="501">
        <v>10</v>
      </c>
      <c r="C272" s="514" t="s">
        <v>544</v>
      </c>
      <c r="D272" s="500">
        <v>1200</v>
      </c>
      <c r="E272" s="505"/>
      <c r="F272" s="500">
        <v>238959</v>
      </c>
      <c r="G272" s="502"/>
      <c r="H272" s="502"/>
      <c r="I272" s="502"/>
    </row>
    <row r="273" spans="1:9" ht="24" customHeight="1">
      <c r="A273" s="501">
        <v>11</v>
      </c>
      <c r="B273" s="501">
        <v>10</v>
      </c>
      <c r="C273" s="514" t="s">
        <v>545</v>
      </c>
      <c r="D273" s="500">
        <v>1600</v>
      </c>
      <c r="E273" s="505"/>
      <c r="F273" s="500">
        <v>240559</v>
      </c>
      <c r="G273" s="502"/>
      <c r="H273" s="502"/>
      <c r="I273" s="502"/>
    </row>
    <row r="274" spans="1:9" ht="24" customHeight="1">
      <c r="A274" s="501">
        <v>11</v>
      </c>
      <c r="B274" s="501">
        <v>12</v>
      </c>
      <c r="C274" s="514" t="s">
        <v>226</v>
      </c>
      <c r="D274" s="500">
        <v>5400</v>
      </c>
      <c r="E274" s="505"/>
      <c r="F274" s="500">
        <v>245959</v>
      </c>
      <c r="G274" s="502"/>
      <c r="H274" s="502"/>
      <c r="I274" s="502"/>
    </row>
    <row r="275" spans="1:9" ht="24" customHeight="1">
      <c r="A275" s="501">
        <v>11</v>
      </c>
      <c r="B275" s="501">
        <v>13</v>
      </c>
      <c r="C275" s="514" t="s">
        <v>365</v>
      </c>
      <c r="D275" s="500">
        <v>3000</v>
      </c>
      <c r="E275" s="505"/>
      <c r="F275" s="500">
        <v>248959</v>
      </c>
      <c r="G275" s="502"/>
      <c r="H275" s="502"/>
      <c r="I275" s="502"/>
    </row>
    <row r="276" spans="1:9" ht="24" customHeight="1">
      <c r="A276" s="501">
        <v>11</v>
      </c>
      <c r="B276" s="501">
        <v>13</v>
      </c>
      <c r="C276" s="514" t="s">
        <v>232</v>
      </c>
      <c r="D276" s="500">
        <v>5400</v>
      </c>
      <c r="E276" s="505"/>
      <c r="F276" s="500">
        <v>254359</v>
      </c>
      <c r="G276" s="502"/>
      <c r="H276" s="502"/>
      <c r="I276" s="502"/>
    </row>
    <row r="277" spans="1:9" ht="24" customHeight="1">
      <c r="A277" s="501">
        <v>11</v>
      </c>
      <c r="B277" s="501">
        <v>15</v>
      </c>
      <c r="C277" s="514" t="s">
        <v>243</v>
      </c>
      <c r="D277" s="500">
        <v>3000</v>
      </c>
      <c r="E277" s="505"/>
      <c r="F277" s="500">
        <v>257359</v>
      </c>
      <c r="G277" s="502"/>
      <c r="H277" s="502"/>
      <c r="I277" s="502"/>
    </row>
    <row r="278" spans="1:9" ht="24" customHeight="1">
      <c r="A278" s="501">
        <v>11</v>
      </c>
      <c r="B278" s="501">
        <v>16</v>
      </c>
      <c r="C278" s="514" t="s">
        <v>233</v>
      </c>
      <c r="D278" s="500">
        <v>3000</v>
      </c>
      <c r="E278" s="505"/>
      <c r="F278" s="500">
        <v>260359</v>
      </c>
      <c r="G278" s="502"/>
      <c r="H278" s="502"/>
      <c r="I278" s="502"/>
    </row>
    <row r="279" spans="1:9" ht="24" customHeight="1">
      <c r="A279" s="501">
        <v>11</v>
      </c>
      <c r="B279" s="501">
        <v>17</v>
      </c>
      <c r="C279" s="514" t="s">
        <v>578</v>
      </c>
      <c r="D279" s="500"/>
      <c r="E279" s="505">
        <v>373</v>
      </c>
      <c r="F279" s="500">
        <v>259986</v>
      </c>
      <c r="G279" s="502"/>
      <c r="H279" s="502"/>
      <c r="I279" s="502"/>
    </row>
    <row r="280" spans="1:9" ht="24" customHeight="1">
      <c r="A280" s="501">
        <v>11</v>
      </c>
      <c r="B280" s="501">
        <v>18</v>
      </c>
      <c r="C280" s="514" t="s">
        <v>245</v>
      </c>
      <c r="D280" s="500">
        <v>3000</v>
      </c>
      <c r="E280" s="505"/>
      <c r="F280" s="500">
        <v>262986</v>
      </c>
      <c r="G280" s="502"/>
      <c r="H280" s="502"/>
      <c r="I280" s="502"/>
    </row>
    <row r="281" spans="1:9" ht="24" customHeight="1">
      <c r="A281" s="501">
        <v>11</v>
      </c>
      <c r="B281" s="501">
        <v>22</v>
      </c>
      <c r="C281" s="514" t="s">
        <v>579</v>
      </c>
      <c r="D281" s="500"/>
      <c r="E281" s="505">
        <v>2600</v>
      </c>
      <c r="F281" s="500">
        <v>260386</v>
      </c>
      <c r="G281" s="502"/>
      <c r="H281" s="502"/>
      <c r="I281" s="502"/>
    </row>
    <row r="282" spans="1:9" ht="24" customHeight="1">
      <c r="A282" s="501">
        <v>11</v>
      </c>
      <c r="B282" s="501">
        <v>22</v>
      </c>
      <c r="C282" s="514" t="s">
        <v>580</v>
      </c>
      <c r="D282" s="500"/>
      <c r="E282" s="505">
        <v>5000</v>
      </c>
      <c r="F282" s="500">
        <v>255386</v>
      </c>
      <c r="G282" s="502"/>
      <c r="H282" s="502"/>
      <c r="I282" s="502"/>
    </row>
    <row r="283" spans="1:9" ht="24" customHeight="1">
      <c r="A283" s="501">
        <v>11</v>
      </c>
      <c r="B283" s="501">
        <v>24</v>
      </c>
      <c r="C283" s="514" t="s">
        <v>581</v>
      </c>
      <c r="D283" s="500">
        <v>158900</v>
      </c>
      <c r="E283" s="505"/>
      <c r="F283" s="500">
        <v>414286</v>
      </c>
      <c r="G283" s="502"/>
      <c r="H283" s="502"/>
      <c r="I283" s="502"/>
    </row>
    <row r="284" spans="1:9" ht="24" customHeight="1">
      <c r="A284" s="501">
        <v>11</v>
      </c>
      <c r="B284" s="501">
        <v>25</v>
      </c>
      <c r="C284" s="514" t="s">
        <v>582</v>
      </c>
      <c r="D284" s="500">
        <v>11500</v>
      </c>
      <c r="E284" s="505"/>
      <c r="F284" s="500">
        <v>425786</v>
      </c>
      <c r="G284" s="502"/>
      <c r="H284" s="502"/>
      <c r="I284" s="502"/>
    </row>
    <row r="285" spans="1:9" ht="24" customHeight="1">
      <c r="A285" s="501">
        <v>11</v>
      </c>
      <c r="B285" s="501">
        <v>25</v>
      </c>
      <c r="C285" s="514" t="s">
        <v>585</v>
      </c>
      <c r="D285" s="500">
        <v>6000</v>
      </c>
      <c r="E285" s="505"/>
      <c r="F285" s="500">
        <v>431786</v>
      </c>
      <c r="G285" s="502"/>
      <c r="H285" s="502"/>
      <c r="I285" s="502"/>
    </row>
    <row r="286" spans="1:9" ht="24" customHeight="1">
      <c r="A286" s="501">
        <v>11</v>
      </c>
      <c r="B286" s="501">
        <v>25</v>
      </c>
      <c r="C286" s="514" t="s">
        <v>583</v>
      </c>
      <c r="D286" s="500">
        <v>2400</v>
      </c>
      <c r="E286" s="505"/>
      <c r="F286" s="500">
        <v>434186</v>
      </c>
      <c r="G286" s="502"/>
      <c r="H286" s="502"/>
      <c r="I286" s="502"/>
    </row>
    <row r="287" spans="1:9" ht="24" customHeight="1">
      <c r="A287" s="501">
        <v>11</v>
      </c>
      <c r="B287" s="501">
        <v>25</v>
      </c>
      <c r="C287" s="514" t="s">
        <v>584</v>
      </c>
      <c r="D287" s="500">
        <v>1200</v>
      </c>
      <c r="E287" s="505"/>
      <c r="F287" s="500">
        <v>435386</v>
      </c>
      <c r="G287" s="502"/>
      <c r="H287" s="502"/>
      <c r="I287" s="502"/>
    </row>
    <row r="288" spans="1:9" ht="24" customHeight="1">
      <c r="A288" s="501">
        <v>11</v>
      </c>
      <c r="B288" s="501">
        <v>25</v>
      </c>
      <c r="C288" s="514" t="s">
        <v>306</v>
      </c>
      <c r="D288" s="500"/>
      <c r="E288" s="505">
        <v>1400</v>
      </c>
      <c r="F288" s="500">
        <v>433986</v>
      </c>
      <c r="G288" s="502"/>
      <c r="H288" s="502"/>
      <c r="I288" s="502"/>
    </row>
    <row r="289" spans="1:9" ht="24" customHeight="1">
      <c r="A289" s="501">
        <v>11</v>
      </c>
      <c r="B289" s="501">
        <v>26</v>
      </c>
      <c r="C289" s="514" t="s">
        <v>247</v>
      </c>
      <c r="D289" s="500">
        <v>3000</v>
      </c>
      <c r="E289" s="505"/>
      <c r="F289" s="500">
        <v>436986</v>
      </c>
      <c r="G289" s="502"/>
      <c r="H289" s="502"/>
      <c r="I289" s="502"/>
    </row>
    <row r="290" spans="1:9" ht="24" customHeight="1">
      <c r="A290" s="501">
        <v>11</v>
      </c>
      <c r="B290" s="501">
        <v>29</v>
      </c>
      <c r="C290" s="514" t="s">
        <v>587</v>
      </c>
      <c r="D290" s="500">
        <v>3000</v>
      </c>
      <c r="E290" s="505"/>
      <c r="F290" s="500">
        <v>439986</v>
      </c>
      <c r="G290" s="502"/>
      <c r="H290" s="502"/>
      <c r="I290" s="502"/>
    </row>
    <row r="291" spans="1:9" ht="24" customHeight="1" thickBot="1">
      <c r="A291" s="571">
        <v>12</v>
      </c>
      <c r="B291" s="571">
        <v>2</v>
      </c>
      <c r="C291" s="495" t="s">
        <v>590</v>
      </c>
      <c r="D291" s="569"/>
      <c r="E291" s="572">
        <v>165590</v>
      </c>
      <c r="F291" s="565">
        <v>274396</v>
      </c>
      <c r="G291" s="575"/>
      <c r="H291" s="502"/>
      <c r="I291" s="502"/>
    </row>
    <row r="292" spans="1:9" ht="24" customHeight="1">
      <c r="A292" s="454">
        <v>12</v>
      </c>
      <c r="B292" s="454">
        <v>9</v>
      </c>
      <c r="C292" s="514" t="s">
        <v>600</v>
      </c>
      <c r="D292" s="568"/>
      <c r="E292" s="573">
        <v>2255</v>
      </c>
      <c r="F292" s="521">
        <v>272141</v>
      </c>
      <c r="G292" s="574"/>
      <c r="H292" s="502"/>
      <c r="I292" s="502"/>
    </row>
    <row r="293" spans="1:9" ht="24" customHeight="1">
      <c r="A293" s="501">
        <v>12</v>
      </c>
      <c r="B293" s="501">
        <v>9</v>
      </c>
      <c r="C293" s="514" t="s">
        <v>593</v>
      </c>
      <c r="D293" s="500"/>
      <c r="E293" s="505">
        <v>750</v>
      </c>
      <c r="F293" s="500">
        <v>271391</v>
      </c>
      <c r="G293" s="502"/>
      <c r="H293" s="502"/>
      <c r="I293" s="502"/>
    </row>
    <row r="294" spans="1:9" ht="24" customHeight="1">
      <c r="A294" s="501">
        <v>12</v>
      </c>
      <c r="B294" s="501">
        <v>9</v>
      </c>
      <c r="C294" s="514" t="s">
        <v>594</v>
      </c>
      <c r="D294" s="500"/>
      <c r="E294" s="505">
        <v>1400</v>
      </c>
      <c r="F294" s="500">
        <v>269991</v>
      </c>
      <c r="G294" s="502"/>
      <c r="H294" s="502"/>
      <c r="I294" s="502"/>
    </row>
    <row r="295" spans="1:9" ht="24" customHeight="1">
      <c r="A295" s="605">
        <v>12</v>
      </c>
      <c r="B295" s="605">
        <v>9</v>
      </c>
      <c r="C295" s="606" t="s">
        <v>595</v>
      </c>
      <c r="D295" s="607">
        <v>2800</v>
      </c>
      <c r="E295" s="608"/>
      <c r="F295" s="607">
        <v>272791</v>
      </c>
      <c r="G295" s="609"/>
      <c r="H295" s="609"/>
      <c r="I295" s="609"/>
    </row>
    <row r="296" spans="1:9" ht="24" customHeight="1">
      <c r="A296" s="605">
        <v>12</v>
      </c>
      <c r="B296" s="605">
        <v>9</v>
      </c>
      <c r="C296" s="606" t="s">
        <v>596</v>
      </c>
      <c r="D296" s="607">
        <v>1600</v>
      </c>
      <c r="E296" s="608"/>
      <c r="F296" s="607">
        <v>274391</v>
      </c>
      <c r="G296" s="609"/>
      <c r="H296" s="609"/>
      <c r="I296" s="609"/>
    </row>
    <row r="297" spans="1:9" ht="24" customHeight="1">
      <c r="A297" s="501">
        <v>12</v>
      </c>
      <c r="B297" s="501">
        <v>10</v>
      </c>
      <c r="C297" s="514" t="s">
        <v>226</v>
      </c>
      <c r="D297" s="500">
        <v>5300</v>
      </c>
      <c r="E297" s="505"/>
      <c r="F297" s="500">
        <v>279691</v>
      </c>
      <c r="G297" s="502"/>
      <c r="H297" s="502"/>
      <c r="I297" s="502"/>
    </row>
    <row r="298" spans="1:9" ht="24" customHeight="1">
      <c r="A298" s="501">
        <v>12</v>
      </c>
      <c r="B298" s="501">
        <v>10</v>
      </c>
      <c r="C298" s="514" t="s">
        <v>233</v>
      </c>
      <c r="D298" s="500">
        <v>2900</v>
      </c>
      <c r="E298" s="505"/>
      <c r="F298" s="500">
        <v>282591</v>
      </c>
      <c r="G298" s="502"/>
      <c r="H298" s="502"/>
      <c r="I298" s="502"/>
    </row>
    <row r="299" spans="1:9" ht="24" customHeight="1">
      <c r="A299" s="501">
        <v>12</v>
      </c>
      <c r="B299" s="501">
        <v>11</v>
      </c>
      <c r="C299" s="514" t="s">
        <v>283</v>
      </c>
      <c r="D299" s="500">
        <v>5500</v>
      </c>
      <c r="E299" s="505"/>
      <c r="F299" s="500">
        <v>288091</v>
      </c>
      <c r="G299" s="502"/>
      <c r="H299" s="502"/>
      <c r="I299" s="502"/>
    </row>
    <row r="300" spans="1:9" ht="24" customHeight="1">
      <c r="A300" s="501">
        <v>12</v>
      </c>
      <c r="B300" s="501">
        <v>11</v>
      </c>
      <c r="C300" s="514" t="s">
        <v>243</v>
      </c>
      <c r="D300" s="500">
        <v>3000</v>
      </c>
      <c r="E300" s="505"/>
      <c r="F300" s="500">
        <v>291091</v>
      </c>
      <c r="G300" s="502"/>
      <c r="H300" s="502"/>
      <c r="I300" s="502"/>
    </row>
    <row r="301" spans="1:9" ht="24" customHeight="1">
      <c r="A301" s="501">
        <v>12</v>
      </c>
      <c r="B301" s="501">
        <v>11</v>
      </c>
      <c r="C301" s="514" t="s">
        <v>232</v>
      </c>
      <c r="D301" s="500">
        <v>5300</v>
      </c>
      <c r="E301" s="505"/>
      <c r="F301" s="500">
        <v>296391</v>
      </c>
      <c r="G301" s="502"/>
      <c r="H301" s="502"/>
      <c r="I301" s="502"/>
    </row>
    <row r="302" spans="1:9" ht="24" customHeight="1">
      <c r="A302" s="501">
        <v>12</v>
      </c>
      <c r="B302" s="501">
        <v>13</v>
      </c>
      <c r="C302" s="514" t="s">
        <v>599</v>
      </c>
      <c r="D302" s="500">
        <v>3300</v>
      </c>
      <c r="E302" s="505"/>
      <c r="F302" s="500">
        <v>299691</v>
      </c>
      <c r="G302" s="502"/>
      <c r="H302" s="502"/>
      <c r="I302" s="502"/>
    </row>
    <row r="303" spans="1:9" ht="24" customHeight="1">
      <c r="A303" s="501">
        <v>12</v>
      </c>
      <c r="B303" s="501">
        <v>13</v>
      </c>
      <c r="C303" s="514" t="s">
        <v>601</v>
      </c>
      <c r="D303" s="500">
        <v>800</v>
      </c>
      <c r="E303" s="505"/>
      <c r="F303" s="500">
        <v>300491</v>
      </c>
      <c r="G303" s="502"/>
      <c r="H303" s="502"/>
      <c r="I303" s="502"/>
    </row>
    <row r="304" spans="1:9" ht="24" customHeight="1">
      <c r="A304" s="501">
        <v>12</v>
      </c>
      <c r="B304" s="501">
        <v>14</v>
      </c>
      <c r="C304" s="514" t="s">
        <v>365</v>
      </c>
      <c r="D304" s="500">
        <v>3000</v>
      </c>
      <c r="E304" s="505"/>
      <c r="F304" s="500">
        <v>303491</v>
      </c>
      <c r="G304" s="502"/>
      <c r="H304" s="502"/>
      <c r="I304" s="502"/>
    </row>
    <row r="305" spans="1:9" ht="24" customHeight="1">
      <c r="A305" s="501">
        <v>12</v>
      </c>
      <c r="B305" s="501">
        <v>15</v>
      </c>
      <c r="C305" s="514" t="s">
        <v>414</v>
      </c>
      <c r="D305" s="500">
        <v>5500</v>
      </c>
      <c r="E305" s="505"/>
      <c r="F305" s="500">
        <v>308991</v>
      </c>
      <c r="G305" s="502"/>
      <c r="H305" s="502"/>
      <c r="I305" s="502"/>
    </row>
    <row r="306" spans="1:9" ht="24" customHeight="1">
      <c r="A306" s="501">
        <v>12</v>
      </c>
      <c r="B306" s="501">
        <v>17</v>
      </c>
      <c r="C306" s="514" t="s">
        <v>603</v>
      </c>
      <c r="D306" s="500">
        <v>900</v>
      </c>
      <c r="E306" s="505"/>
      <c r="F306" s="500">
        <v>309891</v>
      </c>
      <c r="G306" s="502"/>
      <c r="H306" s="502"/>
      <c r="I306" s="502"/>
    </row>
    <row r="307" spans="1:9" ht="24" customHeight="1">
      <c r="A307" s="501">
        <v>12</v>
      </c>
      <c r="B307" s="501">
        <v>17</v>
      </c>
      <c r="C307" s="514" t="s">
        <v>604</v>
      </c>
      <c r="D307" s="500"/>
      <c r="E307" s="505">
        <v>4928</v>
      </c>
      <c r="F307" s="500">
        <v>304963</v>
      </c>
      <c r="G307" s="502"/>
      <c r="H307" s="502"/>
      <c r="I307" s="502"/>
    </row>
    <row r="308" spans="1:9" ht="24" customHeight="1" thickBot="1">
      <c r="A308" s="618">
        <v>12</v>
      </c>
      <c r="B308" s="618">
        <v>20</v>
      </c>
      <c r="C308" s="635" t="s">
        <v>245</v>
      </c>
      <c r="D308" s="500">
        <v>3000</v>
      </c>
      <c r="E308" s="505"/>
      <c r="F308" s="500">
        <v>307963</v>
      </c>
      <c r="G308" s="502"/>
      <c r="H308" s="502"/>
      <c r="I308" s="502"/>
    </row>
    <row r="309" spans="1:9" ht="24" customHeight="1">
      <c r="A309" s="617">
        <v>12</v>
      </c>
      <c r="B309" s="617">
        <v>21</v>
      </c>
      <c r="C309" s="635" t="s">
        <v>406</v>
      </c>
      <c r="D309" s="500">
        <v>1214</v>
      </c>
      <c r="E309" s="505"/>
      <c r="F309" s="500">
        <v>309177</v>
      </c>
      <c r="G309" s="502"/>
      <c r="H309" s="502"/>
      <c r="I309" s="502"/>
    </row>
    <row r="310" spans="1:9" ht="24" customHeight="1">
      <c r="A310" s="501">
        <v>12</v>
      </c>
      <c r="B310" s="634">
        <v>22</v>
      </c>
      <c r="C310" s="514" t="s">
        <v>306</v>
      </c>
      <c r="D310" s="500"/>
      <c r="E310" s="505">
        <v>1400</v>
      </c>
      <c r="F310" s="500">
        <v>307777</v>
      </c>
      <c r="G310" s="502"/>
      <c r="H310" s="502"/>
      <c r="I310" s="502"/>
    </row>
    <row r="311" spans="1:9" ht="24" customHeight="1">
      <c r="A311" s="501">
        <v>12</v>
      </c>
      <c r="B311" s="636">
        <v>24</v>
      </c>
      <c r="C311" s="514" t="s">
        <v>247</v>
      </c>
      <c r="D311" s="500">
        <v>3000</v>
      </c>
      <c r="E311" s="505"/>
      <c r="F311" s="500">
        <v>310777</v>
      </c>
      <c r="G311" s="502"/>
      <c r="H311" s="502"/>
      <c r="I311" s="502"/>
    </row>
    <row r="312" spans="1:9" ht="24" customHeight="1">
      <c r="A312" s="501">
        <v>12</v>
      </c>
      <c r="B312" s="501">
        <v>30</v>
      </c>
      <c r="C312" s="514" t="s">
        <v>609</v>
      </c>
      <c r="D312" s="500">
        <v>175900</v>
      </c>
      <c r="E312" s="505"/>
      <c r="F312" s="500">
        <v>486677</v>
      </c>
      <c r="G312" s="502"/>
      <c r="H312" s="502"/>
      <c r="I312" s="502"/>
    </row>
    <row r="313" spans="1:9" ht="24" customHeight="1">
      <c r="A313" s="501">
        <v>12</v>
      </c>
      <c r="B313" s="501">
        <v>31</v>
      </c>
      <c r="C313" s="514" t="s">
        <v>610</v>
      </c>
      <c r="D313" s="500"/>
      <c r="E313" s="505">
        <v>4400</v>
      </c>
      <c r="F313" s="500">
        <v>482277</v>
      </c>
      <c r="G313" s="502"/>
      <c r="H313" s="502"/>
      <c r="I313" s="502"/>
    </row>
    <row r="314" spans="1:9" ht="24" customHeight="1">
      <c r="A314" s="501">
        <v>12</v>
      </c>
      <c r="B314" s="501">
        <v>31</v>
      </c>
      <c r="C314" s="514" t="s">
        <v>611</v>
      </c>
      <c r="D314" s="500"/>
      <c r="E314" s="505">
        <v>398</v>
      </c>
      <c r="F314" s="500">
        <v>481879</v>
      </c>
      <c r="G314" s="502"/>
      <c r="H314" s="502"/>
      <c r="I314" s="502"/>
    </row>
    <row r="315" spans="1:9" ht="24" customHeight="1">
      <c r="A315" s="501">
        <v>12</v>
      </c>
      <c r="B315" s="501">
        <v>31</v>
      </c>
      <c r="C315" s="514" t="s">
        <v>612</v>
      </c>
      <c r="D315" s="500"/>
      <c r="E315" s="505">
        <v>600</v>
      </c>
      <c r="F315" s="500">
        <v>481279</v>
      </c>
      <c r="G315" s="502"/>
      <c r="H315" s="502"/>
      <c r="I315" s="502"/>
    </row>
    <row r="316" spans="1:9" ht="24" customHeight="1">
      <c r="A316" s="501">
        <v>1</v>
      </c>
      <c r="B316" s="501">
        <v>3</v>
      </c>
      <c r="C316" s="514" t="s">
        <v>631</v>
      </c>
      <c r="D316" s="500">
        <v>3600</v>
      </c>
      <c r="E316" s="505"/>
      <c r="F316" s="500">
        <v>484879</v>
      </c>
      <c r="G316" s="502"/>
      <c r="H316" s="502"/>
      <c r="I316" s="502"/>
    </row>
    <row r="317" spans="1:9" ht="24" customHeight="1">
      <c r="A317" s="501">
        <v>1</v>
      </c>
      <c r="B317" s="501">
        <v>3</v>
      </c>
      <c r="C317" s="514" t="s">
        <v>630</v>
      </c>
      <c r="D317" s="500"/>
      <c r="E317" s="505">
        <v>173575</v>
      </c>
      <c r="F317" s="500">
        <v>311304</v>
      </c>
      <c r="G317" s="502"/>
      <c r="H317" s="502"/>
      <c r="I317" s="502"/>
    </row>
    <row r="318" spans="1:9" ht="24" customHeight="1">
      <c r="A318" s="501"/>
      <c r="B318" s="501"/>
      <c r="C318" s="514"/>
      <c r="D318" s="500"/>
      <c r="E318" s="505"/>
      <c r="F318" s="500"/>
      <c r="G318" s="502"/>
      <c r="H318" s="502"/>
      <c r="I318" s="502"/>
    </row>
    <row r="319" spans="1:9" ht="24" customHeight="1">
      <c r="A319" s="501"/>
      <c r="B319" s="501"/>
      <c r="C319" s="514"/>
      <c r="D319" s="500"/>
      <c r="E319" s="505"/>
      <c r="F319" s="500"/>
      <c r="G319" s="502"/>
      <c r="H319" s="502"/>
      <c r="I319" s="502"/>
    </row>
    <row r="320" spans="1:9" ht="24" customHeight="1">
      <c r="A320" s="501"/>
      <c r="B320" s="501"/>
      <c r="C320" s="514"/>
      <c r="D320" s="500"/>
      <c r="E320" s="505"/>
      <c r="F320" s="500"/>
      <c r="G320" s="502"/>
      <c r="H320" s="502"/>
      <c r="I320" s="502"/>
    </row>
    <row r="321" spans="1:9" ht="24" customHeight="1">
      <c r="A321" s="501"/>
      <c r="B321" s="501"/>
      <c r="C321" s="514"/>
      <c r="D321" s="500"/>
      <c r="E321" s="505"/>
      <c r="F321" s="500"/>
      <c r="G321" s="502"/>
      <c r="H321" s="502"/>
      <c r="I321" s="502"/>
    </row>
    <row r="322" spans="1:9" ht="24" customHeight="1">
      <c r="A322" s="501"/>
      <c r="B322" s="501"/>
      <c r="C322" s="514"/>
      <c r="D322" s="500"/>
      <c r="E322" s="505"/>
      <c r="F322" s="500"/>
      <c r="G322" s="502"/>
      <c r="H322" s="502"/>
      <c r="I322" s="502"/>
    </row>
    <row r="323" spans="1:9" ht="24" customHeight="1">
      <c r="A323" s="501"/>
      <c r="B323" s="501"/>
      <c r="C323" s="514"/>
      <c r="D323" s="500"/>
      <c r="E323" s="505"/>
      <c r="F323" s="500"/>
      <c r="G323" s="502"/>
      <c r="H323" s="502"/>
      <c r="I323" s="502"/>
    </row>
    <row r="324" spans="1:9" ht="24" customHeight="1">
      <c r="A324" s="501"/>
      <c r="B324" s="501"/>
      <c r="C324" s="514"/>
      <c r="D324" s="500"/>
      <c r="E324" s="505"/>
      <c r="F324" s="500"/>
      <c r="G324" s="502"/>
      <c r="H324" s="502"/>
      <c r="I324" s="502"/>
    </row>
    <row r="325" spans="1:9" ht="24" customHeight="1">
      <c r="A325" s="501"/>
      <c r="B325" s="501"/>
      <c r="C325" s="514"/>
      <c r="D325" s="502"/>
      <c r="E325" s="503"/>
      <c r="F325" s="502"/>
      <c r="G325" s="502"/>
      <c r="H325" s="502"/>
      <c r="I325" s="502"/>
    </row>
    <row r="326" spans="1:9" ht="24" customHeight="1">
      <c r="A326" s="501"/>
      <c r="B326" s="501"/>
      <c r="C326" s="514"/>
      <c r="D326" s="502"/>
      <c r="E326" s="503"/>
      <c r="F326" s="502"/>
      <c r="G326" s="502"/>
      <c r="H326" s="502"/>
      <c r="I326" s="502"/>
    </row>
    <row r="327" spans="1:9" ht="24" customHeight="1">
      <c r="A327" s="501"/>
      <c r="B327" s="501"/>
      <c r="C327" s="514"/>
      <c r="D327" s="502"/>
      <c r="E327" s="503"/>
      <c r="F327" s="502"/>
      <c r="G327" s="502"/>
      <c r="H327" s="502"/>
      <c r="I327" s="502"/>
    </row>
    <row r="328" spans="1:9" ht="24" customHeight="1">
      <c r="A328" s="501"/>
      <c r="B328" s="501"/>
      <c r="C328" s="514"/>
      <c r="D328" s="502"/>
      <c r="E328" s="503"/>
      <c r="F328" s="502"/>
      <c r="G328" s="502"/>
      <c r="H328" s="502"/>
      <c r="I328" s="502"/>
    </row>
    <row r="329" spans="1:9" ht="24" customHeight="1">
      <c r="A329" s="501"/>
      <c r="B329" s="501"/>
      <c r="C329" s="514"/>
      <c r="D329" s="502"/>
      <c r="E329" s="503"/>
      <c r="F329" s="502"/>
      <c r="G329" s="502"/>
      <c r="H329" s="502"/>
      <c r="I329" s="502"/>
    </row>
    <row r="330" spans="1:9" ht="24" customHeight="1">
      <c r="A330" s="501"/>
      <c r="B330" s="501"/>
      <c r="C330" s="514"/>
      <c r="D330" s="502"/>
      <c r="E330" s="503"/>
      <c r="F330" s="502"/>
      <c r="G330" s="502"/>
      <c r="H330" s="502"/>
      <c r="I330" s="502"/>
    </row>
    <row r="331" spans="1:9" ht="24" customHeight="1">
      <c r="A331" s="501"/>
      <c r="B331" s="501"/>
      <c r="C331" s="502"/>
      <c r="D331" s="502"/>
      <c r="E331" s="503"/>
      <c r="F331" s="502"/>
      <c r="G331" s="502"/>
      <c r="H331" s="502"/>
      <c r="I331" s="502"/>
    </row>
    <row r="332" spans="1:9" ht="24" customHeight="1">
      <c r="A332" s="501"/>
      <c r="B332" s="501"/>
      <c r="C332" s="502"/>
      <c r="D332" s="502"/>
      <c r="E332" s="503"/>
      <c r="F332" s="502"/>
      <c r="G332" s="502"/>
      <c r="H332" s="502"/>
      <c r="I332" s="502"/>
    </row>
    <row r="333" spans="1:9" ht="24" customHeight="1">
      <c r="A333" s="501"/>
      <c r="B333" s="501"/>
      <c r="C333" s="502"/>
      <c r="D333" s="502"/>
      <c r="E333" s="503"/>
      <c r="F333" s="502"/>
      <c r="G333" s="502"/>
      <c r="H333" s="502"/>
      <c r="I333" s="502"/>
    </row>
    <row r="334" spans="1:9" ht="24" customHeight="1">
      <c r="A334" s="501"/>
      <c r="B334" s="501"/>
      <c r="C334" s="502"/>
      <c r="D334" s="502"/>
      <c r="E334" s="503"/>
      <c r="F334" s="502"/>
      <c r="G334" s="502"/>
      <c r="H334" s="502"/>
      <c r="I334" s="502"/>
    </row>
    <row r="335" spans="1:9" ht="24" customHeight="1">
      <c r="A335" s="501"/>
      <c r="B335" s="501"/>
      <c r="C335" s="502"/>
      <c r="D335" s="502"/>
      <c r="E335" s="503"/>
      <c r="F335" s="502"/>
      <c r="G335" s="502"/>
      <c r="H335" s="502"/>
      <c r="I335" s="502"/>
    </row>
    <row r="336" spans="1:9" ht="24" customHeight="1">
      <c r="A336" s="501"/>
      <c r="B336" s="501"/>
      <c r="C336" s="502"/>
      <c r="D336" s="502"/>
      <c r="E336" s="503"/>
      <c r="F336" s="502"/>
      <c r="G336" s="502"/>
      <c r="H336" s="502"/>
      <c r="I336" s="502"/>
    </row>
    <row r="337" spans="1:9" ht="24" customHeight="1">
      <c r="A337" s="501"/>
      <c r="B337" s="501"/>
      <c r="C337" s="502"/>
      <c r="D337" s="502"/>
      <c r="E337" s="503"/>
      <c r="F337" s="502"/>
      <c r="G337" s="502"/>
      <c r="H337" s="502"/>
      <c r="I337" s="502"/>
    </row>
    <row r="338" spans="1:9" ht="24" customHeight="1">
      <c r="A338" s="501"/>
      <c r="B338" s="501"/>
      <c r="C338" s="502"/>
      <c r="D338" s="502"/>
      <c r="E338" s="503"/>
      <c r="F338" s="502"/>
      <c r="G338" s="502"/>
      <c r="H338" s="502"/>
      <c r="I338" s="502"/>
    </row>
    <row r="339" spans="1:9" ht="24" customHeight="1">
      <c r="A339" s="501"/>
      <c r="B339" s="501"/>
      <c r="C339" s="502"/>
      <c r="D339" s="502"/>
      <c r="E339" s="503"/>
      <c r="F339" s="502"/>
      <c r="G339" s="502"/>
      <c r="H339" s="502"/>
      <c r="I339" s="502"/>
    </row>
    <row r="340" spans="1:9" ht="24" customHeight="1">
      <c r="A340" s="501"/>
      <c r="B340" s="501"/>
      <c r="C340" s="502"/>
      <c r="D340" s="502"/>
      <c r="E340" s="503"/>
      <c r="F340" s="502"/>
      <c r="G340" s="502"/>
      <c r="H340" s="502"/>
      <c r="I340" s="502"/>
    </row>
    <row r="341" spans="1:9" ht="24" customHeight="1">
      <c r="A341" s="501"/>
      <c r="B341" s="501"/>
      <c r="C341" s="502"/>
      <c r="D341" s="502"/>
      <c r="E341" s="503"/>
      <c r="F341" s="502"/>
      <c r="G341" s="502"/>
      <c r="H341" s="502"/>
      <c r="I341" s="502"/>
    </row>
    <row r="342" spans="1:9" ht="24" customHeight="1">
      <c r="A342" s="501"/>
      <c r="B342" s="501"/>
      <c r="C342" s="502"/>
      <c r="D342" s="502"/>
      <c r="E342" s="503"/>
      <c r="F342" s="502"/>
      <c r="G342" s="502"/>
      <c r="H342" s="502"/>
      <c r="I342" s="502"/>
    </row>
    <row r="343" spans="1:9" ht="24" customHeight="1">
      <c r="A343" s="501"/>
      <c r="B343" s="501"/>
      <c r="C343" s="502"/>
      <c r="D343" s="502"/>
      <c r="E343" s="503"/>
      <c r="F343" s="502"/>
      <c r="G343" s="502"/>
      <c r="H343" s="502"/>
      <c r="I343" s="502"/>
    </row>
    <row r="344" spans="1:9" ht="24" customHeight="1">
      <c r="A344" s="501"/>
      <c r="B344" s="501"/>
      <c r="C344" s="502"/>
      <c r="D344" s="502"/>
      <c r="E344" s="503"/>
      <c r="F344" s="502"/>
      <c r="G344" s="502"/>
      <c r="H344" s="502"/>
      <c r="I344" s="502"/>
    </row>
    <row r="345" spans="1:9" ht="24" customHeight="1">
      <c r="A345" s="501"/>
      <c r="B345" s="501"/>
      <c r="C345" s="502"/>
      <c r="D345" s="502"/>
      <c r="E345" s="503"/>
      <c r="F345" s="502"/>
      <c r="G345" s="502"/>
      <c r="H345" s="502"/>
      <c r="I345" s="502"/>
    </row>
    <row r="346" spans="1:9" ht="24" customHeight="1">
      <c r="A346" s="501"/>
      <c r="B346" s="501"/>
      <c r="C346" s="502"/>
      <c r="D346" s="502"/>
      <c r="E346" s="503"/>
      <c r="F346" s="502"/>
      <c r="G346" s="502"/>
      <c r="H346" s="502"/>
      <c r="I346" s="502"/>
    </row>
    <row r="347" spans="1:9" ht="24" customHeight="1">
      <c r="A347" s="501"/>
      <c r="B347" s="501"/>
      <c r="C347" s="502"/>
      <c r="D347" s="502"/>
      <c r="E347" s="503"/>
      <c r="F347" s="502"/>
      <c r="G347" s="502"/>
      <c r="H347" s="502"/>
      <c r="I347" s="502"/>
    </row>
    <row r="348" spans="1:9" ht="24" customHeight="1">
      <c r="A348" s="501"/>
      <c r="B348" s="501"/>
      <c r="C348" s="502"/>
      <c r="D348" s="502"/>
      <c r="E348" s="503"/>
      <c r="F348" s="502"/>
      <c r="G348" s="502"/>
      <c r="H348" s="502"/>
      <c r="I348" s="502"/>
    </row>
    <row r="349" spans="1:9" ht="24" customHeight="1">
      <c r="A349" s="501"/>
      <c r="B349" s="501"/>
      <c r="C349" s="502"/>
      <c r="D349" s="502"/>
      <c r="E349" s="503"/>
      <c r="F349" s="502"/>
      <c r="G349" s="502"/>
      <c r="H349" s="502"/>
      <c r="I349" s="502"/>
    </row>
    <row r="350" spans="1:9" ht="24" customHeight="1">
      <c r="A350" s="501"/>
      <c r="B350" s="501"/>
      <c r="C350" s="502"/>
      <c r="D350" s="502"/>
      <c r="E350" s="503"/>
      <c r="F350" s="502"/>
      <c r="G350" s="502"/>
      <c r="H350" s="502"/>
      <c r="I350" s="502"/>
    </row>
    <row r="351" spans="1:9" ht="24" customHeight="1">
      <c r="A351" s="501"/>
      <c r="B351" s="501"/>
      <c r="C351" s="502"/>
      <c r="D351" s="502"/>
      <c r="E351" s="503"/>
      <c r="F351" s="502"/>
      <c r="G351" s="502"/>
      <c r="H351" s="502"/>
      <c r="I351" s="502"/>
    </row>
    <row r="352" spans="1:9" ht="24" customHeight="1">
      <c r="A352" s="501"/>
      <c r="B352" s="501"/>
      <c r="C352" s="502"/>
      <c r="D352" s="502"/>
      <c r="E352" s="503"/>
      <c r="F352" s="502"/>
      <c r="G352" s="502"/>
      <c r="H352" s="502"/>
      <c r="I352" s="502"/>
    </row>
    <row r="353" spans="1:9" ht="24" customHeight="1">
      <c r="A353" s="501"/>
      <c r="B353" s="501"/>
      <c r="C353" s="502"/>
      <c r="D353" s="502"/>
      <c r="E353" s="503"/>
      <c r="F353" s="502"/>
      <c r="G353" s="502"/>
      <c r="H353" s="502"/>
      <c r="I353" s="502"/>
    </row>
    <row r="354" spans="1:9" ht="24" customHeight="1">
      <c r="A354" s="501"/>
      <c r="B354" s="501"/>
      <c r="C354" s="502"/>
      <c r="D354" s="502"/>
      <c r="E354" s="503"/>
      <c r="F354" s="502"/>
      <c r="G354" s="502"/>
      <c r="H354" s="502"/>
      <c r="I354" s="502"/>
    </row>
    <row r="355" spans="1:9" ht="24" customHeight="1">
      <c r="A355" s="501"/>
      <c r="B355" s="501"/>
      <c r="C355" s="502"/>
      <c r="D355" s="502"/>
      <c r="E355" s="503"/>
      <c r="F355" s="502"/>
      <c r="G355" s="502"/>
      <c r="H355" s="502"/>
      <c r="I355" s="502"/>
    </row>
    <row r="356" spans="1:9" ht="24" customHeight="1">
      <c r="A356" s="501"/>
      <c r="B356" s="501"/>
      <c r="C356" s="502"/>
      <c r="D356" s="502"/>
      <c r="E356" s="503"/>
      <c r="F356" s="502"/>
      <c r="G356" s="502"/>
      <c r="H356" s="502"/>
      <c r="I356" s="502"/>
    </row>
    <row r="357" spans="1:9" ht="24" customHeight="1">
      <c r="A357" s="501"/>
      <c r="B357" s="501"/>
      <c r="C357" s="502"/>
      <c r="D357" s="502"/>
      <c r="E357" s="503"/>
      <c r="F357" s="502"/>
      <c r="G357" s="502"/>
      <c r="H357" s="502"/>
      <c r="I357" s="502"/>
    </row>
    <row r="358" spans="1:9" ht="24" customHeight="1">
      <c r="A358" s="501"/>
      <c r="B358" s="501"/>
      <c r="C358" s="502"/>
      <c r="D358" s="502"/>
      <c r="E358" s="503"/>
      <c r="F358" s="502"/>
      <c r="G358" s="502"/>
      <c r="H358" s="502"/>
      <c r="I358" s="502"/>
    </row>
    <row r="359" spans="1:9" ht="24" customHeight="1">
      <c r="A359" s="501"/>
      <c r="B359" s="501"/>
      <c r="C359" s="502"/>
      <c r="D359" s="502"/>
      <c r="E359" s="503"/>
      <c r="F359" s="502"/>
      <c r="G359" s="502"/>
      <c r="H359" s="502"/>
      <c r="I359" s="502"/>
    </row>
    <row r="360" spans="1:9" ht="24" customHeight="1">
      <c r="A360" s="501"/>
      <c r="B360" s="501"/>
      <c r="C360" s="502"/>
      <c r="D360" s="502"/>
      <c r="E360" s="503"/>
      <c r="F360" s="502"/>
      <c r="G360" s="502"/>
      <c r="H360" s="502"/>
      <c r="I360" s="502"/>
    </row>
    <row r="361" spans="1:9" ht="24" customHeight="1">
      <c r="A361" s="501"/>
      <c r="B361" s="501"/>
      <c r="C361" s="502"/>
      <c r="D361" s="502"/>
      <c r="E361" s="503"/>
      <c r="F361" s="502"/>
      <c r="G361" s="502"/>
      <c r="H361" s="502"/>
      <c r="I361" s="502"/>
    </row>
    <row r="362" spans="1:9" ht="24" customHeight="1">
      <c r="A362" s="501"/>
      <c r="B362" s="501"/>
      <c r="C362" s="502"/>
      <c r="D362" s="502"/>
      <c r="E362" s="503"/>
      <c r="F362" s="502"/>
      <c r="G362" s="502"/>
      <c r="H362" s="502"/>
      <c r="I362" s="502"/>
    </row>
    <row r="363" spans="1:9" ht="24" customHeight="1">
      <c r="A363" s="501"/>
      <c r="B363" s="501"/>
      <c r="C363" s="502"/>
      <c r="D363" s="502"/>
      <c r="E363" s="503"/>
      <c r="F363" s="502"/>
      <c r="G363" s="502"/>
      <c r="H363" s="502"/>
      <c r="I363" s="502"/>
    </row>
    <row r="364" spans="1:9" ht="24" customHeight="1">
      <c r="A364" s="501"/>
      <c r="B364" s="501"/>
      <c r="C364" s="502"/>
      <c r="D364" s="502"/>
      <c r="E364" s="503"/>
      <c r="F364" s="502"/>
      <c r="G364" s="502"/>
      <c r="H364" s="502"/>
      <c r="I364" s="502"/>
    </row>
    <row r="365" spans="1:9" ht="24" customHeight="1">
      <c r="A365" s="501"/>
      <c r="B365" s="501"/>
      <c r="C365" s="502"/>
      <c r="D365" s="502"/>
      <c r="E365" s="503"/>
      <c r="F365" s="502"/>
      <c r="G365" s="502"/>
      <c r="H365" s="502"/>
      <c r="I365" s="502"/>
    </row>
    <row r="366" spans="1:9" ht="24" customHeight="1">
      <c r="A366" s="501"/>
      <c r="B366" s="501"/>
      <c r="C366" s="502"/>
      <c r="D366" s="502"/>
      <c r="E366" s="503"/>
      <c r="F366" s="502"/>
      <c r="G366" s="502"/>
      <c r="H366" s="502"/>
      <c r="I366" s="502"/>
    </row>
    <row r="367" spans="1:9" ht="24" customHeight="1">
      <c r="A367" s="501"/>
      <c r="B367" s="501"/>
      <c r="C367" s="502"/>
      <c r="D367" s="502"/>
      <c r="E367" s="503"/>
      <c r="F367" s="502"/>
      <c r="G367" s="502"/>
      <c r="H367" s="502"/>
      <c r="I367" s="502"/>
    </row>
    <row r="368" spans="1:9" ht="24" customHeight="1">
      <c r="A368" s="501"/>
      <c r="B368" s="501"/>
      <c r="C368" s="502"/>
      <c r="D368" s="502"/>
      <c r="E368" s="503"/>
      <c r="F368" s="502"/>
      <c r="G368" s="502"/>
      <c r="H368" s="502"/>
      <c r="I368" s="502"/>
    </row>
    <row r="369" spans="1:9" ht="24" customHeight="1">
      <c r="A369" s="501"/>
      <c r="B369" s="501"/>
      <c r="C369" s="502"/>
      <c r="D369" s="502"/>
      <c r="E369" s="503"/>
      <c r="F369" s="502"/>
      <c r="G369" s="502"/>
      <c r="H369" s="502"/>
      <c r="I369" s="502"/>
    </row>
    <row r="370" spans="1:9" ht="24" customHeight="1">
      <c r="A370" s="501"/>
      <c r="B370" s="501"/>
      <c r="C370" s="502"/>
      <c r="D370" s="502"/>
      <c r="E370" s="503"/>
      <c r="F370" s="502"/>
      <c r="G370" s="502"/>
      <c r="H370" s="502"/>
      <c r="I370" s="502"/>
    </row>
    <row r="371" spans="1:9" ht="24" customHeight="1">
      <c r="A371" s="501"/>
      <c r="B371" s="501"/>
      <c r="C371" s="502"/>
      <c r="D371" s="502"/>
      <c r="E371" s="503"/>
      <c r="F371" s="502"/>
      <c r="G371" s="502"/>
      <c r="H371" s="502"/>
      <c r="I371" s="502"/>
    </row>
    <row r="372" spans="1:9" ht="24" customHeight="1">
      <c r="A372" s="501"/>
      <c r="B372" s="501"/>
      <c r="C372" s="502"/>
      <c r="D372" s="502"/>
      <c r="E372" s="503"/>
      <c r="F372" s="502"/>
      <c r="G372" s="502"/>
      <c r="H372" s="502"/>
      <c r="I372" s="502"/>
    </row>
    <row r="373" spans="1:9" ht="24" customHeight="1">
      <c r="A373" s="501"/>
      <c r="B373" s="501"/>
      <c r="C373" s="502"/>
      <c r="D373" s="502"/>
      <c r="E373" s="503"/>
      <c r="F373" s="502"/>
      <c r="G373" s="502"/>
      <c r="H373" s="502"/>
      <c r="I373" s="502"/>
    </row>
    <row r="374" spans="1:9" ht="24" customHeight="1">
      <c r="A374" s="501"/>
      <c r="B374" s="501"/>
      <c r="C374" s="502"/>
      <c r="D374" s="502"/>
      <c r="E374" s="503"/>
      <c r="F374" s="502"/>
      <c r="G374" s="502"/>
      <c r="H374" s="502"/>
      <c r="I374" s="502"/>
    </row>
    <row r="375" spans="1:9" ht="24" customHeight="1">
      <c r="A375" s="501"/>
      <c r="B375" s="501"/>
      <c r="C375" s="502"/>
      <c r="D375" s="502"/>
      <c r="E375" s="503"/>
      <c r="F375" s="502"/>
      <c r="G375" s="502"/>
      <c r="H375" s="502"/>
      <c r="I375" s="502"/>
    </row>
    <row r="376" spans="1:9" ht="24" customHeight="1">
      <c r="A376" s="501"/>
      <c r="B376" s="501"/>
      <c r="C376" s="502"/>
      <c r="D376" s="502"/>
      <c r="E376" s="503"/>
      <c r="F376" s="502"/>
      <c r="G376" s="502"/>
      <c r="H376" s="502"/>
      <c r="I376" s="502"/>
    </row>
    <row r="377" spans="1:9" ht="24" customHeight="1">
      <c r="A377" s="501"/>
      <c r="B377" s="501"/>
      <c r="C377" s="502"/>
      <c r="D377" s="502"/>
      <c r="E377" s="503"/>
      <c r="F377" s="502"/>
      <c r="G377" s="502"/>
      <c r="H377" s="502"/>
      <c r="I377" s="502"/>
    </row>
    <row r="378" spans="1:9" ht="24" customHeight="1">
      <c r="A378" s="501"/>
      <c r="B378" s="501"/>
      <c r="C378" s="502"/>
      <c r="D378" s="502"/>
      <c r="E378" s="503"/>
      <c r="F378" s="502"/>
      <c r="G378" s="502"/>
      <c r="H378" s="502"/>
      <c r="I378" s="502"/>
    </row>
    <row r="379" spans="1:9" ht="24" customHeight="1">
      <c r="A379" s="501"/>
      <c r="B379" s="501"/>
      <c r="C379" s="502"/>
      <c r="D379" s="502"/>
      <c r="E379" s="503"/>
      <c r="F379" s="502"/>
      <c r="G379" s="502"/>
      <c r="H379" s="502"/>
      <c r="I379" s="502"/>
    </row>
    <row r="380" spans="1:9" ht="24" customHeight="1">
      <c r="A380" s="501"/>
      <c r="B380" s="501"/>
      <c r="C380" s="502"/>
      <c r="D380" s="502"/>
      <c r="E380" s="503"/>
      <c r="F380" s="502"/>
      <c r="G380" s="502"/>
      <c r="H380" s="502"/>
      <c r="I380" s="502"/>
    </row>
    <row r="381" spans="1:9" ht="24" customHeight="1">
      <c r="A381" s="501"/>
      <c r="B381" s="501"/>
      <c r="C381" s="502"/>
      <c r="D381" s="502"/>
      <c r="E381" s="503"/>
      <c r="F381" s="502"/>
      <c r="G381" s="502"/>
      <c r="H381" s="502"/>
      <c r="I381" s="502"/>
    </row>
    <row r="382" spans="1:9" ht="24" customHeight="1">
      <c r="A382" s="501"/>
      <c r="B382" s="501"/>
      <c r="C382" s="502"/>
      <c r="D382" s="502"/>
      <c r="E382" s="503"/>
      <c r="F382" s="502"/>
      <c r="G382" s="502"/>
      <c r="H382" s="502"/>
      <c r="I382" s="502"/>
    </row>
    <row r="383" spans="1:9" ht="24" customHeight="1">
      <c r="A383" s="501"/>
      <c r="B383" s="501"/>
      <c r="C383" s="502"/>
      <c r="D383" s="502"/>
      <c r="E383" s="503"/>
      <c r="F383" s="502"/>
      <c r="G383" s="502"/>
      <c r="H383" s="502"/>
      <c r="I383" s="502"/>
    </row>
    <row r="384" spans="1:9" ht="24" customHeight="1">
      <c r="A384" s="501"/>
      <c r="B384" s="501"/>
      <c r="C384" s="502"/>
      <c r="D384" s="502"/>
      <c r="E384" s="503"/>
      <c r="F384" s="502"/>
      <c r="G384" s="502"/>
      <c r="H384" s="502"/>
      <c r="I384" s="502"/>
    </row>
    <row r="385" spans="1:9" ht="24" customHeight="1">
      <c r="A385" s="501"/>
      <c r="B385" s="501"/>
      <c r="C385" s="502"/>
      <c r="D385" s="502"/>
      <c r="E385" s="503"/>
      <c r="F385" s="502"/>
      <c r="G385" s="502"/>
      <c r="H385" s="502"/>
      <c r="I385" s="502"/>
    </row>
    <row r="386" spans="1:9" ht="24" customHeight="1">
      <c r="A386" s="501"/>
      <c r="B386" s="501"/>
      <c r="C386" s="502"/>
      <c r="D386" s="502"/>
      <c r="E386" s="503"/>
      <c r="F386" s="502"/>
      <c r="G386" s="502"/>
      <c r="H386" s="502"/>
      <c r="I386" s="502"/>
    </row>
    <row r="387" spans="1:9" ht="24" customHeight="1">
      <c r="A387" s="501"/>
      <c r="B387" s="501"/>
      <c r="C387" s="502"/>
      <c r="D387" s="502"/>
      <c r="E387" s="503"/>
      <c r="F387" s="502"/>
      <c r="G387" s="502"/>
      <c r="H387" s="502"/>
      <c r="I387" s="502"/>
    </row>
    <row r="388" spans="1:9" ht="24" customHeight="1">
      <c r="A388" s="501"/>
      <c r="B388" s="501"/>
      <c r="C388" s="502"/>
      <c r="D388" s="502"/>
      <c r="E388" s="503"/>
      <c r="F388" s="502"/>
      <c r="G388" s="502"/>
      <c r="H388" s="502"/>
      <c r="I388" s="502"/>
    </row>
    <row r="389" spans="1:9" ht="24" customHeight="1">
      <c r="A389" s="501"/>
      <c r="B389" s="501"/>
      <c r="C389" s="502"/>
      <c r="D389" s="502"/>
      <c r="E389" s="503"/>
      <c r="F389" s="502"/>
      <c r="G389" s="502"/>
      <c r="H389" s="502"/>
      <c r="I389" s="502"/>
    </row>
    <row r="390" spans="1:9" ht="24" customHeight="1">
      <c r="A390" s="501"/>
      <c r="B390" s="501"/>
      <c r="C390" s="502"/>
      <c r="D390" s="502"/>
      <c r="E390" s="503"/>
      <c r="F390" s="502"/>
      <c r="G390" s="502"/>
      <c r="H390" s="502"/>
      <c r="I390" s="502"/>
    </row>
    <row r="391" spans="1:9" ht="24" customHeight="1">
      <c r="A391" s="501"/>
      <c r="B391" s="501"/>
      <c r="C391" s="502"/>
      <c r="D391" s="502"/>
      <c r="E391" s="503"/>
      <c r="F391" s="502"/>
      <c r="G391" s="502"/>
      <c r="H391" s="502"/>
      <c r="I391" s="502"/>
    </row>
    <row r="392" spans="1:9" ht="24" customHeight="1">
      <c r="A392" s="501"/>
      <c r="B392" s="501"/>
      <c r="C392" s="502"/>
      <c r="D392" s="502"/>
      <c r="E392" s="503"/>
      <c r="F392" s="502"/>
      <c r="G392" s="502"/>
      <c r="H392" s="502"/>
      <c r="I392" s="502"/>
    </row>
    <row r="393" spans="1:9" ht="24" customHeight="1">
      <c r="A393" s="501"/>
      <c r="B393" s="501"/>
      <c r="C393" s="502"/>
      <c r="D393" s="502"/>
      <c r="E393" s="503"/>
      <c r="F393" s="502"/>
      <c r="G393" s="502"/>
      <c r="H393" s="502"/>
      <c r="I393" s="502"/>
    </row>
    <row r="394" spans="1:9" ht="24" customHeight="1">
      <c r="A394" s="501"/>
      <c r="B394" s="501"/>
      <c r="C394" s="502"/>
      <c r="D394" s="502"/>
      <c r="E394" s="503"/>
      <c r="F394" s="502"/>
      <c r="G394" s="502"/>
      <c r="H394" s="502"/>
      <c r="I394" s="502"/>
    </row>
    <row r="395" spans="1:9" ht="24" customHeight="1">
      <c r="A395" s="501"/>
      <c r="B395" s="501"/>
      <c r="C395" s="502"/>
      <c r="D395" s="502"/>
      <c r="E395" s="503"/>
      <c r="F395" s="502"/>
      <c r="G395" s="502"/>
      <c r="H395" s="502"/>
      <c r="I395" s="502"/>
    </row>
    <row r="396" spans="1:9" ht="24" customHeight="1">
      <c r="A396" s="501"/>
      <c r="B396" s="501"/>
      <c r="C396" s="502"/>
      <c r="D396" s="502"/>
      <c r="E396" s="503"/>
      <c r="F396" s="502"/>
      <c r="G396" s="502"/>
      <c r="H396" s="502"/>
      <c r="I396" s="502"/>
    </row>
    <row r="397" spans="1:9" ht="24" customHeight="1">
      <c r="A397" s="501"/>
      <c r="B397" s="501"/>
      <c r="C397" s="502"/>
      <c r="D397" s="502"/>
      <c r="E397" s="503"/>
      <c r="F397" s="502"/>
      <c r="G397" s="502"/>
      <c r="H397" s="502"/>
      <c r="I397" s="502"/>
    </row>
    <row r="398" spans="1:9" ht="24" customHeight="1">
      <c r="A398" s="501"/>
      <c r="B398" s="501"/>
      <c r="C398" s="502"/>
      <c r="D398" s="502"/>
      <c r="E398" s="503"/>
      <c r="F398" s="502"/>
      <c r="G398" s="502"/>
      <c r="H398" s="502"/>
      <c r="I398" s="502"/>
    </row>
    <row r="399" spans="1:9" ht="24" customHeight="1">
      <c r="A399" s="501"/>
      <c r="B399" s="501"/>
      <c r="C399" s="502"/>
      <c r="D399" s="502"/>
      <c r="E399" s="503"/>
      <c r="F399" s="502"/>
      <c r="G399" s="502"/>
      <c r="H399" s="502"/>
      <c r="I399" s="502"/>
    </row>
    <row r="400" spans="1:9" ht="24" customHeight="1">
      <c r="A400" s="501"/>
      <c r="B400" s="501"/>
      <c r="C400" s="502"/>
      <c r="D400" s="502"/>
      <c r="E400" s="503"/>
      <c r="F400" s="502"/>
      <c r="G400" s="502"/>
      <c r="H400" s="502"/>
      <c r="I400" s="502"/>
    </row>
    <row r="401" spans="1:9" ht="24" customHeight="1">
      <c r="A401" s="501"/>
      <c r="B401" s="501"/>
      <c r="C401" s="502"/>
      <c r="D401" s="502"/>
      <c r="E401" s="503"/>
      <c r="F401" s="502"/>
      <c r="G401" s="502"/>
      <c r="H401" s="502"/>
      <c r="I401" s="502"/>
    </row>
  </sheetData>
  <mergeCells count="1">
    <mergeCell ref="A1:G1"/>
  </mergeCells>
  <phoneticPr fontId="2" type="noConversion"/>
  <conditionalFormatting sqref="D3:D34 F3:F178 D43:D144 G154">
    <cfRule type="cellIs" dxfId="5" priority="4" stopIfTrue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37" fitToHeight="0" orientation="portrait" horizontalDpi="4294967294" r:id="rId1"/>
  <headerFooter>
    <oddFooter>&amp;C&amp;"Helvetica Neue,Regular"&amp;12&amp;K000000&amp;P</oddFooter>
  </headerFooter>
  <rowBreaks count="2" manualBreakCount="2">
    <brk id="130" max="8" man="1"/>
    <brk id="150" max="16383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IV21"/>
  <sheetViews>
    <sheetView showGridLines="0" showRuler="0" view="pageBreakPreview" zoomScale="98" zoomScaleNormal="90" zoomScaleSheetLayoutView="98" workbookViewId="0">
      <pane ySplit="2" topLeftCell="A3" activePane="bottomLeft" state="frozen"/>
      <selection pane="bottomLeft" activeCell="M21" sqref="M21"/>
    </sheetView>
  </sheetViews>
  <sheetFormatPr defaultColWidth="8.81640625" defaultRowHeight="37.5" customHeight="1"/>
  <cols>
    <col min="1" max="1" width="15.453125" style="4" customWidth="1"/>
    <col min="2" max="6" width="12.08984375" style="15" bestFit="1" customWidth="1"/>
    <col min="7" max="7" width="11.453125" style="15" customWidth="1"/>
    <col min="8" max="9" width="12.08984375" style="15" bestFit="1" customWidth="1"/>
    <col min="10" max="10" width="11" style="15" customWidth="1"/>
    <col min="11" max="11" width="11.26953125" style="15" customWidth="1"/>
    <col min="12" max="12" width="11" style="15" customWidth="1"/>
    <col min="13" max="13" width="12.36328125" style="15" customWidth="1"/>
    <col min="14" max="14" width="14.81640625" style="15" bestFit="1" customWidth="1"/>
    <col min="15" max="15" width="22.1796875" style="15" customWidth="1"/>
    <col min="16" max="256" width="8.81640625" style="4" customWidth="1"/>
    <col min="257" max="16384" width="8.81640625" style="16"/>
  </cols>
  <sheetData>
    <row r="1" spans="1:15" s="4" customFormat="1" ht="37.5" customHeight="1">
      <c r="A1" s="646" t="s">
        <v>134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5" s="4" customFormat="1" ht="37.5" customHeight="1">
      <c r="A2" s="5" t="s">
        <v>125</v>
      </c>
      <c r="B2" s="6" t="s">
        <v>7</v>
      </c>
      <c r="C2" s="6" t="s">
        <v>101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</row>
    <row r="3" spans="1:15" s="4" customFormat="1" ht="37.5" customHeight="1">
      <c r="A3" s="7" t="s">
        <v>20</v>
      </c>
      <c r="B3" s="36">
        <v>140300</v>
      </c>
      <c r="C3" s="36">
        <v>344200</v>
      </c>
      <c r="D3" s="36">
        <v>210400</v>
      </c>
      <c r="E3" s="36">
        <v>192300</v>
      </c>
      <c r="F3" s="36">
        <v>200100</v>
      </c>
      <c r="G3" s="36">
        <v>194600</v>
      </c>
      <c r="H3" s="36">
        <v>312100</v>
      </c>
      <c r="I3" s="36">
        <v>329050</v>
      </c>
      <c r="J3" s="36">
        <v>211200</v>
      </c>
      <c r="K3" s="36">
        <v>200200</v>
      </c>
      <c r="L3" s="36">
        <v>223000</v>
      </c>
      <c r="M3" s="36">
        <v>223400</v>
      </c>
      <c r="N3" s="36"/>
      <c r="O3" s="8" t="e">
        <f>N3/$N$5</f>
        <v>#DIV/0!</v>
      </c>
    </row>
    <row r="4" spans="1:15" s="4" customFormat="1" ht="37.5" customHeight="1">
      <c r="A4" s="7" t="s">
        <v>21</v>
      </c>
      <c r="B4" s="36">
        <v>2400</v>
      </c>
      <c r="C4" s="36">
        <v>1100</v>
      </c>
      <c r="D4" s="36">
        <v>600</v>
      </c>
      <c r="E4" s="36">
        <v>600</v>
      </c>
      <c r="F4" s="36">
        <v>800</v>
      </c>
      <c r="G4" s="36">
        <v>7320</v>
      </c>
      <c r="H4" s="36">
        <v>9500</v>
      </c>
      <c r="I4" s="36">
        <v>700</v>
      </c>
      <c r="J4" s="36">
        <v>600</v>
      </c>
      <c r="K4" s="36">
        <v>2850</v>
      </c>
      <c r="L4" s="36">
        <v>400</v>
      </c>
      <c r="M4" s="36">
        <v>3214</v>
      </c>
      <c r="N4" s="36"/>
      <c r="O4" s="8" t="e">
        <f>N4/$N$5</f>
        <v>#DIV/0!</v>
      </c>
    </row>
    <row r="5" spans="1:15" s="4" customFormat="1" ht="37.5" customHeight="1">
      <c r="A5" s="7" t="s">
        <v>22</v>
      </c>
      <c r="B5" s="36">
        <v>142700</v>
      </c>
      <c r="C5" s="36">
        <v>345300</v>
      </c>
      <c r="D5" s="36">
        <v>211000</v>
      </c>
      <c r="E5" s="36">
        <v>192900</v>
      </c>
      <c r="F5" s="36">
        <v>200900</v>
      </c>
      <c r="G5" s="36">
        <v>201920</v>
      </c>
      <c r="H5" s="36">
        <v>321600</v>
      </c>
      <c r="I5" s="36">
        <v>329750</v>
      </c>
      <c r="J5" s="36">
        <v>211800</v>
      </c>
      <c r="K5" s="36">
        <v>203050</v>
      </c>
      <c r="L5" s="36">
        <v>225959</v>
      </c>
      <c r="M5" s="36">
        <v>226614</v>
      </c>
      <c r="N5" s="36"/>
      <c r="O5" s="8">
        <v>1</v>
      </c>
    </row>
    <row r="6" spans="1:15" s="4" customFormat="1" ht="37.5" customHeight="1">
      <c r="A6" s="30" t="s">
        <v>23</v>
      </c>
      <c r="B6" s="33">
        <v>176141</v>
      </c>
      <c r="C6" s="33">
        <v>213344</v>
      </c>
      <c r="D6" s="33">
        <v>188775</v>
      </c>
      <c r="E6" s="33">
        <v>180590</v>
      </c>
      <c r="F6" s="33">
        <v>187290</v>
      </c>
      <c r="G6" s="33">
        <v>189985</v>
      </c>
      <c r="H6" s="33">
        <v>342835</v>
      </c>
      <c r="I6" s="33">
        <v>308183</v>
      </c>
      <c r="J6" s="33">
        <v>217340</v>
      </c>
      <c r="K6" s="33">
        <v>193640</v>
      </c>
      <c r="L6" s="33">
        <v>165590</v>
      </c>
      <c r="M6" s="33">
        <v>173575</v>
      </c>
      <c r="N6" s="33"/>
      <c r="O6" s="9" t="e">
        <f t="shared" ref="O6:O19" si="0">N6/$N$5</f>
        <v>#DIV/0!</v>
      </c>
    </row>
    <row r="7" spans="1:15" s="4" customFormat="1" ht="37.5" customHeight="1">
      <c r="A7" s="30" t="s">
        <v>24</v>
      </c>
      <c r="B7" s="33">
        <v>168</v>
      </c>
      <c r="C7" s="33"/>
      <c r="D7" s="33"/>
      <c r="E7" s="33"/>
      <c r="F7" s="33"/>
      <c r="G7" s="33"/>
      <c r="H7" s="33"/>
      <c r="I7" s="33">
        <v>452</v>
      </c>
      <c r="J7" s="33"/>
      <c r="K7" s="33"/>
      <c r="L7" s="33"/>
      <c r="M7" s="33">
        <v>398</v>
      </c>
      <c r="N7" s="33"/>
      <c r="O7" s="9" t="e">
        <f t="shared" si="0"/>
        <v>#DIV/0!</v>
      </c>
    </row>
    <row r="8" spans="1:15" s="4" customFormat="1" ht="37.5" customHeight="1">
      <c r="A8" s="30" t="s">
        <v>25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9" t="e">
        <f t="shared" si="0"/>
        <v>#DIV/0!</v>
      </c>
    </row>
    <row r="9" spans="1:15" s="4" customFormat="1" ht="37.5" customHeight="1">
      <c r="A9" s="30" t="s">
        <v>26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9" t="e">
        <f t="shared" si="0"/>
        <v>#DIV/0!</v>
      </c>
    </row>
    <row r="10" spans="1:15" s="4" customFormat="1" ht="37.5" customHeight="1">
      <c r="A10" s="30" t="s">
        <v>27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9" t="e">
        <f t="shared" si="0"/>
        <v>#DIV/0!</v>
      </c>
    </row>
    <row r="11" spans="1:15" s="4" customFormat="1" ht="37.5" customHeight="1">
      <c r="A11" s="30" t="s">
        <v>63</v>
      </c>
      <c r="B11" s="33"/>
      <c r="C11" s="33"/>
      <c r="D11" s="33"/>
      <c r="E11" s="33"/>
      <c r="F11" s="33"/>
      <c r="G11" s="33"/>
      <c r="H11" s="33">
        <v>4200</v>
      </c>
      <c r="I11" s="33"/>
      <c r="J11" s="33"/>
      <c r="K11" s="33"/>
      <c r="L11" s="33"/>
      <c r="M11" s="33">
        <v>4928</v>
      </c>
      <c r="N11" s="33"/>
      <c r="O11" s="9" t="e">
        <f t="shared" si="0"/>
        <v>#DIV/0!</v>
      </c>
    </row>
    <row r="12" spans="1:15" s="4" customFormat="1" ht="37.5" customHeight="1">
      <c r="A12" s="147" t="s">
        <v>112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9" t="e">
        <f t="shared" si="0"/>
        <v>#DIV/0!</v>
      </c>
    </row>
    <row r="13" spans="1:15" s="4" customFormat="1" ht="37.5" customHeight="1">
      <c r="A13" s="132" t="s">
        <v>62</v>
      </c>
      <c r="B13" s="33">
        <v>7745</v>
      </c>
      <c r="C13" s="33"/>
      <c r="D13" s="33"/>
      <c r="E13" s="33">
        <v>3690</v>
      </c>
      <c r="F13" s="33">
        <v>10466</v>
      </c>
      <c r="G13" s="33"/>
      <c r="H13" s="33">
        <v>15755</v>
      </c>
      <c r="I13" s="33">
        <v>7396</v>
      </c>
      <c r="J13" s="33">
        <v>5176</v>
      </c>
      <c r="K13" s="33">
        <v>10012</v>
      </c>
      <c r="L13" s="33"/>
      <c r="M13" s="33">
        <v>3005</v>
      </c>
      <c r="N13" s="33"/>
      <c r="O13" s="9" t="e">
        <f t="shared" si="0"/>
        <v>#DIV/0!</v>
      </c>
    </row>
    <row r="14" spans="1:15" s="4" customFormat="1" ht="37.5" customHeight="1">
      <c r="A14" s="30" t="s">
        <v>28</v>
      </c>
      <c r="B14" s="33">
        <v>4670</v>
      </c>
      <c r="C14" s="33"/>
      <c r="D14" s="33"/>
      <c r="E14" s="33">
        <v>2250</v>
      </c>
      <c r="F14" s="33">
        <v>11720</v>
      </c>
      <c r="G14" s="33"/>
      <c r="H14" s="33">
        <v>17571</v>
      </c>
      <c r="I14" s="33">
        <v>6530</v>
      </c>
      <c r="J14" s="33">
        <v>4420</v>
      </c>
      <c r="K14" s="33">
        <v>8680</v>
      </c>
      <c r="L14" s="33"/>
      <c r="M14" s="33">
        <v>1400</v>
      </c>
      <c r="N14" s="33"/>
      <c r="O14" s="9" t="e">
        <f t="shared" si="0"/>
        <v>#DIV/0!</v>
      </c>
    </row>
    <row r="15" spans="1:15" s="4" customFormat="1" ht="37.5" customHeight="1">
      <c r="A15" s="30" t="s">
        <v>29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9" t="e">
        <f t="shared" si="0"/>
        <v>#DIV/0!</v>
      </c>
    </row>
    <row r="16" spans="1:15" s="4" customFormat="1" ht="37.5" customHeight="1">
      <c r="A16" s="30" t="s">
        <v>30</v>
      </c>
      <c r="B16" s="33">
        <v>8000</v>
      </c>
      <c r="C16" s="33"/>
      <c r="D16" s="33"/>
      <c r="E16" s="33"/>
      <c r="F16" s="33"/>
      <c r="G16" s="33">
        <v>4600</v>
      </c>
      <c r="H16" s="131"/>
      <c r="I16" s="33"/>
      <c r="J16" s="33">
        <v>5600</v>
      </c>
      <c r="K16" s="33"/>
      <c r="L16" s="33">
        <v>7600</v>
      </c>
      <c r="M16" s="33"/>
      <c r="N16" s="33"/>
      <c r="O16" s="9" t="e">
        <f t="shared" si="0"/>
        <v>#DIV/0!</v>
      </c>
    </row>
    <row r="17" spans="1:15" s="4" customFormat="1" ht="37.5" customHeight="1">
      <c r="A17" s="30" t="s">
        <v>31</v>
      </c>
      <c r="B17" s="33">
        <v>12000</v>
      </c>
      <c r="C17" s="33">
        <v>5478</v>
      </c>
      <c r="D17" s="33">
        <v>5350</v>
      </c>
      <c r="E17" s="33">
        <v>3010</v>
      </c>
      <c r="F17" s="33">
        <v>3315</v>
      </c>
      <c r="G17" s="33">
        <v>46645</v>
      </c>
      <c r="H17" s="33">
        <v>7395</v>
      </c>
      <c r="I17" s="33">
        <v>16900</v>
      </c>
      <c r="J17" s="33">
        <v>20763</v>
      </c>
      <c r="K17" s="33">
        <v>2115</v>
      </c>
      <c r="L17" s="33">
        <v>1773</v>
      </c>
      <c r="M17" s="33">
        <v>6400</v>
      </c>
      <c r="N17" s="33"/>
      <c r="O17" s="9" t="e">
        <f t="shared" si="0"/>
        <v>#DIV/0!</v>
      </c>
    </row>
    <row r="18" spans="1:15" s="4" customFormat="1" ht="37.5" customHeight="1">
      <c r="A18" s="31" t="s">
        <v>32</v>
      </c>
      <c r="B18" s="32">
        <v>208724</v>
      </c>
      <c r="C18" s="32">
        <v>218822</v>
      </c>
      <c r="D18" s="32">
        <v>194125</v>
      </c>
      <c r="E18" s="32">
        <v>189540</v>
      </c>
      <c r="F18" s="32">
        <v>212791</v>
      </c>
      <c r="G18" s="32">
        <v>241230</v>
      </c>
      <c r="H18" s="32">
        <v>387756</v>
      </c>
      <c r="I18" s="32">
        <v>339461</v>
      </c>
      <c r="J18" s="32">
        <v>253299</v>
      </c>
      <c r="K18" s="32">
        <v>214447</v>
      </c>
      <c r="L18" s="32">
        <v>174963</v>
      </c>
      <c r="M18" s="32">
        <v>189706</v>
      </c>
      <c r="N18" s="32"/>
      <c r="O18" s="10" t="e">
        <f t="shared" si="0"/>
        <v>#DIV/0!</v>
      </c>
    </row>
    <row r="19" spans="1:15" s="4" customFormat="1" ht="37.5" customHeight="1">
      <c r="A19" s="5" t="s">
        <v>33</v>
      </c>
      <c r="B19" s="34">
        <v>-66024</v>
      </c>
      <c r="C19" s="129">
        <v>126478</v>
      </c>
      <c r="D19" s="129">
        <v>16875</v>
      </c>
      <c r="E19" s="129">
        <v>3360</v>
      </c>
      <c r="F19" s="129">
        <v>-11891</v>
      </c>
      <c r="G19" s="129">
        <v>-39310</v>
      </c>
      <c r="H19" s="129">
        <v>-66156</v>
      </c>
      <c r="I19" s="129">
        <v>-9711</v>
      </c>
      <c r="J19" s="129">
        <v>-41499</v>
      </c>
      <c r="K19" s="129">
        <v>11397</v>
      </c>
      <c r="L19" s="129">
        <v>48437</v>
      </c>
      <c r="M19" s="129">
        <v>36908</v>
      </c>
      <c r="N19" s="129"/>
      <c r="O19" s="130" t="e">
        <f t="shared" si="0"/>
        <v>#DIV/0!</v>
      </c>
    </row>
    <row r="20" spans="1:15" s="4" customFormat="1" ht="37.5" customHeight="1">
      <c r="A20" s="17" t="s">
        <v>263</v>
      </c>
      <c r="B20" s="35">
        <v>259210</v>
      </c>
      <c r="C20" s="35">
        <v>385688</v>
      </c>
      <c r="D20" s="35">
        <v>402563</v>
      </c>
      <c r="E20" s="35">
        <v>405923</v>
      </c>
      <c r="F20" s="35">
        <v>394032</v>
      </c>
      <c r="G20" s="35">
        <v>354722</v>
      </c>
      <c r="H20" s="35">
        <v>288566</v>
      </c>
      <c r="I20" s="35">
        <v>278855</v>
      </c>
      <c r="J20" s="35">
        <v>237356</v>
      </c>
      <c r="K20" s="35">
        <v>225959</v>
      </c>
      <c r="L20" s="35">
        <v>274396</v>
      </c>
      <c r="M20" s="35">
        <v>311304</v>
      </c>
      <c r="N20" s="35"/>
      <c r="O20" s="11"/>
    </row>
    <row r="21" spans="1:15" s="4" customFormat="1" ht="37.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3"/>
      <c r="M21" s="13"/>
      <c r="N21" s="13"/>
      <c r="O21" s="13"/>
    </row>
  </sheetData>
  <mergeCells count="1">
    <mergeCell ref="A1:O1"/>
  </mergeCells>
  <phoneticPr fontId="2" type="noConversion"/>
  <conditionalFormatting sqref="B19:N19">
    <cfRule type="cellIs" dxfId="4" priority="1" stopIfTrue="1" operator="lessThan">
      <formula>0</formula>
    </cfRule>
  </conditionalFormatting>
  <pageMargins left="0.23622047244094491" right="0.23622047244094491" top="0.55118110236220474" bottom="0.55118110236220474" header="0.31496062992125984" footer="0.31496062992125984"/>
  <pageSetup scale="58" orientation="landscape" horizontalDpi="4294967293" r:id="rId1"/>
  <headerFooter>
    <oddFooter>&amp;LJ&amp;C 第 &amp;P 頁 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IV415"/>
  <sheetViews>
    <sheetView showRuler="0" topLeftCell="A37" zoomScale="80" zoomScaleNormal="80" workbookViewId="0">
      <selection activeCell="F47" sqref="F47"/>
    </sheetView>
  </sheetViews>
  <sheetFormatPr defaultColWidth="8.81640625" defaultRowHeight="18.75" customHeight="1"/>
  <cols>
    <col min="1" max="2" width="4.1796875" style="1" customWidth="1"/>
    <col min="3" max="3" width="58.7265625" style="1" customWidth="1"/>
    <col min="4" max="4" width="16.81640625" style="83" customWidth="1"/>
    <col min="5" max="5" width="17.81640625" style="85" customWidth="1"/>
    <col min="6" max="6" width="20.6328125" style="3" customWidth="1"/>
    <col min="7" max="7" width="87" style="1" bestFit="1" customWidth="1"/>
    <col min="8" max="256" width="8.81640625" style="1" customWidth="1"/>
    <col min="257" max="16384" width="8.81640625" style="2"/>
  </cols>
  <sheetData>
    <row r="1" spans="1:9" s="1" customFormat="1" ht="25.95" customHeight="1" thickTop="1">
      <c r="A1" s="78" t="s">
        <v>0</v>
      </c>
      <c r="B1" s="72" t="s">
        <v>1</v>
      </c>
      <c r="C1" s="72" t="s">
        <v>2</v>
      </c>
      <c r="D1" s="73" t="s">
        <v>3</v>
      </c>
      <c r="E1" s="84" t="s">
        <v>4</v>
      </c>
      <c r="F1" s="84" t="s">
        <v>18</v>
      </c>
      <c r="G1" s="74" t="s">
        <v>6</v>
      </c>
    </row>
    <row r="2" spans="1:9" s="1" customFormat="1" ht="25.5" customHeight="1">
      <c r="A2" s="79">
        <v>1</v>
      </c>
      <c r="B2" s="75">
        <v>4</v>
      </c>
      <c r="C2" s="210" t="s">
        <v>230</v>
      </c>
      <c r="D2" s="144"/>
      <c r="E2" s="364">
        <v>3690</v>
      </c>
      <c r="F2" s="92"/>
      <c r="G2" s="77"/>
    </row>
    <row r="3" spans="1:9" s="1" customFormat="1" ht="25.5" customHeight="1">
      <c r="A3" s="79">
        <v>1</v>
      </c>
      <c r="B3" s="75">
        <v>11</v>
      </c>
      <c r="C3" s="210" t="s">
        <v>240</v>
      </c>
      <c r="D3" s="144"/>
      <c r="E3" s="364">
        <v>3000</v>
      </c>
      <c r="F3" s="92"/>
      <c r="G3" s="77"/>
      <c r="I3" s="1" t="s">
        <v>68</v>
      </c>
    </row>
    <row r="4" spans="1:9" s="1" customFormat="1" ht="25.5" customHeight="1">
      <c r="A4" s="80">
        <v>1</v>
      </c>
      <c r="B4" s="81">
        <v>11</v>
      </c>
      <c r="C4" s="210" t="s">
        <v>241</v>
      </c>
      <c r="D4" s="87"/>
      <c r="E4" s="377">
        <v>5000</v>
      </c>
      <c r="F4" s="93"/>
      <c r="G4" s="82"/>
    </row>
    <row r="5" spans="1:9" s="1" customFormat="1" ht="25.5" customHeight="1">
      <c r="A5" s="79">
        <v>1</v>
      </c>
      <c r="B5" s="75">
        <v>25</v>
      </c>
      <c r="C5" s="210" t="s">
        <v>258</v>
      </c>
      <c r="D5" s="86"/>
      <c r="E5" s="377">
        <v>4670</v>
      </c>
      <c r="F5" s="76"/>
      <c r="G5" s="77"/>
    </row>
    <row r="6" spans="1:9" s="1" customFormat="1" ht="22.2">
      <c r="A6" s="79">
        <v>1</v>
      </c>
      <c r="B6" s="75">
        <v>25</v>
      </c>
      <c r="C6" s="210" t="s">
        <v>264</v>
      </c>
      <c r="D6" s="86"/>
      <c r="E6" s="377">
        <v>4055</v>
      </c>
      <c r="F6" s="76"/>
      <c r="G6" s="133"/>
    </row>
    <row r="7" spans="1:9" s="1" customFormat="1" ht="25.5" customHeight="1" thickBot="1">
      <c r="A7" s="316">
        <v>1</v>
      </c>
      <c r="B7" s="374">
        <v>25</v>
      </c>
      <c r="C7" s="317" t="s">
        <v>265</v>
      </c>
      <c r="D7" s="319"/>
      <c r="E7" s="378">
        <v>4000</v>
      </c>
      <c r="F7" s="376">
        <v>24415</v>
      </c>
      <c r="G7" s="322"/>
    </row>
    <row r="8" spans="1:9" s="1" customFormat="1" ht="25.5" customHeight="1">
      <c r="A8" s="315">
        <v>5</v>
      </c>
      <c r="B8" s="175">
        <v>2</v>
      </c>
      <c r="C8" s="257" t="s">
        <v>373</v>
      </c>
      <c r="D8" s="318"/>
      <c r="E8" s="379">
        <v>2250</v>
      </c>
      <c r="F8" s="320"/>
      <c r="G8" s="321"/>
    </row>
    <row r="9" spans="1:9" s="1" customFormat="1" ht="25.5" customHeight="1" thickBot="1">
      <c r="A9" s="385">
        <v>5</v>
      </c>
      <c r="B9" s="374">
        <v>4</v>
      </c>
      <c r="C9" s="386" t="s">
        <v>358</v>
      </c>
      <c r="D9" s="387"/>
      <c r="E9" s="389">
        <v>3690</v>
      </c>
      <c r="F9" s="390">
        <v>5940</v>
      </c>
      <c r="G9" s="391"/>
    </row>
    <row r="10" spans="1:9" s="1" customFormat="1" ht="25.5" customHeight="1">
      <c r="A10" s="80">
        <v>5</v>
      </c>
      <c r="B10" s="81">
        <v>12</v>
      </c>
      <c r="C10" s="211" t="s">
        <v>370</v>
      </c>
      <c r="D10" s="87"/>
      <c r="E10" s="388">
        <v>3484</v>
      </c>
      <c r="F10" s="93"/>
      <c r="G10" s="82"/>
    </row>
    <row r="11" spans="1:9" s="1" customFormat="1" ht="25.5" customHeight="1">
      <c r="A11" s="80">
        <v>5</v>
      </c>
      <c r="B11" s="81">
        <v>12</v>
      </c>
      <c r="C11" s="210" t="s">
        <v>371</v>
      </c>
      <c r="D11" s="87"/>
      <c r="E11" s="377">
        <v>3576</v>
      </c>
      <c r="F11" s="93"/>
      <c r="G11" s="82"/>
    </row>
    <row r="12" spans="1:9" s="1" customFormat="1" ht="25.5" customHeight="1">
      <c r="A12" s="80">
        <v>5</v>
      </c>
      <c r="B12" s="81">
        <v>12</v>
      </c>
      <c r="C12" s="210" t="s">
        <v>372</v>
      </c>
      <c r="D12" s="87"/>
      <c r="E12" s="377">
        <v>1200</v>
      </c>
      <c r="F12" s="365"/>
      <c r="G12" s="82"/>
    </row>
    <row r="13" spans="1:9" s="1" customFormat="1" ht="25.5" customHeight="1">
      <c r="A13" s="262">
        <v>5</v>
      </c>
      <c r="B13" s="263">
        <v>16</v>
      </c>
      <c r="C13" s="210" t="s">
        <v>386</v>
      </c>
      <c r="D13" s="264"/>
      <c r="E13" s="381">
        <v>6982</v>
      </c>
      <c r="F13" s="267"/>
      <c r="G13" s="266"/>
    </row>
    <row r="14" spans="1:9" s="1" customFormat="1" ht="25.5" customHeight="1">
      <c r="A14" s="80">
        <v>5</v>
      </c>
      <c r="B14" s="81">
        <v>16</v>
      </c>
      <c r="C14" s="210" t="s">
        <v>387</v>
      </c>
      <c r="D14" s="87"/>
      <c r="E14" s="380">
        <v>5744</v>
      </c>
      <c r="F14" s="93"/>
      <c r="G14" s="82"/>
    </row>
    <row r="15" spans="1:9" s="1" customFormat="1" ht="25.5" customHeight="1">
      <c r="A15" s="80">
        <v>5</v>
      </c>
      <c r="B15" s="81">
        <v>16</v>
      </c>
      <c r="C15" s="210" t="s">
        <v>379</v>
      </c>
      <c r="D15" s="87"/>
      <c r="E15" s="377">
        <v>1200</v>
      </c>
      <c r="F15" s="93"/>
      <c r="G15" s="82"/>
    </row>
    <row r="16" spans="1:9" s="1" customFormat="1" ht="25.5" customHeight="1" thickBot="1">
      <c r="A16" s="385">
        <v>5</v>
      </c>
      <c r="B16" s="374">
        <v>16</v>
      </c>
      <c r="C16" s="386" t="s">
        <v>378</v>
      </c>
      <c r="D16" s="387"/>
      <c r="E16" s="389">
        <v>3000</v>
      </c>
      <c r="F16" s="394">
        <v>25186</v>
      </c>
      <c r="G16" s="391"/>
    </row>
    <row r="17" spans="1:7" s="1" customFormat="1" ht="25.5" customHeight="1">
      <c r="A17" s="315">
        <v>7</v>
      </c>
      <c r="B17" s="81">
        <v>10</v>
      </c>
      <c r="C17" s="392" t="s">
        <v>418</v>
      </c>
      <c r="D17" s="87"/>
      <c r="E17" s="393">
        <v>2625</v>
      </c>
      <c r="F17" s="93"/>
      <c r="G17" s="321"/>
    </row>
    <row r="18" spans="1:7" s="1" customFormat="1" ht="25.2" customHeight="1">
      <c r="A18" s="175">
        <v>7</v>
      </c>
      <c r="B18" s="175">
        <v>10</v>
      </c>
      <c r="C18" s="406" t="s">
        <v>419</v>
      </c>
      <c r="D18" s="268"/>
      <c r="E18" s="232">
        <v>4740</v>
      </c>
      <c r="F18" s="407"/>
      <c r="G18" s="118"/>
    </row>
    <row r="19" spans="1:7" s="1" customFormat="1" ht="25.2" customHeight="1">
      <c r="A19" s="172">
        <v>8</v>
      </c>
      <c r="B19" s="172">
        <v>1</v>
      </c>
      <c r="C19" s="166" t="s">
        <v>440</v>
      </c>
      <c r="D19" s="169"/>
      <c r="E19" s="233">
        <v>14946</v>
      </c>
      <c r="F19" s="167"/>
      <c r="G19" s="168"/>
    </row>
    <row r="20" spans="1:7" s="1" customFormat="1" ht="25.2" customHeight="1" thickBot="1">
      <c r="A20" s="374">
        <v>8</v>
      </c>
      <c r="B20" s="374">
        <v>1</v>
      </c>
      <c r="C20" s="460" t="s">
        <v>441</v>
      </c>
      <c r="D20" s="387"/>
      <c r="E20" s="462">
        <v>11015</v>
      </c>
      <c r="F20" s="464">
        <v>22311</v>
      </c>
      <c r="G20" s="465"/>
    </row>
    <row r="21" spans="1:7" s="1" customFormat="1" ht="25.2" customHeight="1">
      <c r="A21" s="175">
        <v>8</v>
      </c>
      <c r="B21" s="175">
        <v>6</v>
      </c>
      <c r="C21" s="475" t="s">
        <v>456</v>
      </c>
      <c r="D21" s="461"/>
      <c r="E21" s="281">
        <v>2000</v>
      </c>
      <c r="F21" s="463"/>
      <c r="G21" s="459"/>
    </row>
    <row r="22" spans="1:7" s="1" customFormat="1" ht="25.5" customHeight="1">
      <c r="A22" s="173">
        <v>8</v>
      </c>
      <c r="B22" s="173">
        <v>6</v>
      </c>
      <c r="C22" s="174" t="s">
        <v>471</v>
      </c>
      <c r="D22" s="170"/>
      <c r="E22" s="234">
        <v>2470</v>
      </c>
      <c r="F22" s="105"/>
      <c r="G22" s="165"/>
    </row>
    <row r="23" spans="1:7" s="1" customFormat="1" ht="25.5" customHeight="1">
      <c r="A23" s="114">
        <v>8</v>
      </c>
      <c r="B23" s="115">
        <v>6</v>
      </c>
      <c r="C23" s="171" t="s">
        <v>457</v>
      </c>
      <c r="D23" s="106"/>
      <c r="E23" s="235">
        <v>1072</v>
      </c>
      <c r="F23" s="117"/>
      <c r="G23" s="108"/>
    </row>
    <row r="24" spans="1:7" s="1" customFormat="1" ht="25.5" customHeight="1">
      <c r="A24" s="270">
        <v>8</v>
      </c>
      <c r="B24" s="271">
        <v>29</v>
      </c>
      <c r="C24" s="269" t="s">
        <v>470</v>
      </c>
      <c r="D24" s="277"/>
      <c r="E24" s="265">
        <v>3005</v>
      </c>
      <c r="F24" s="284"/>
      <c r="G24" s="285"/>
    </row>
    <row r="25" spans="1:7" s="1" customFormat="1" ht="25.5" customHeight="1">
      <c r="A25" s="110">
        <v>8</v>
      </c>
      <c r="B25" s="111">
        <v>29</v>
      </c>
      <c r="C25" s="113" t="s">
        <v>469</v>
      </c>
      <c r="D25" s="278"/>
      <c r="E25" s="281">
        <v>3118</v>
      </c>
      <c r="F25" s="279"/>
      <c r="G25" s="112"/>
    </row>
    <row r="26" spans="1:7" s="1" customFormat="1" ht="25.5" customHeight="1">
      <c r="A26" s="478">
        <v>8</v>
      </c>
      <c r="B26" s="479">
        <v>30</v>
      </c>
      <c r="C26" s="57" t="s">
        <v>481</v>
      </c>
      <c r="D26" s="488"/>
      <c r="E26" s="489">
        <v>12800</v>
      </c>
      <c r="F26" s="491"/>
      <c r="G26" s="490"/>
    </row>
    <row r="27" spans="1:7" s="1" customFormat="1" ht="25.5" customHeight="1">
      <c r="A27" s="119">
        <v>9</v>
      </c>
      <c r="B27" s="120">
        <v>4</v>
      </c>
      <c r="C27" s="116" t="s">
        <v>478</v>
      </c>
      <c r="D27" s="106"/>
      <c r="E27" s="280">
        <v>480</v>
      </c>
      <c r="F27" s="107"/>
      <c r="G27" s="121"/>
    </row>
    <row r="28" spans="1:7" s="1" customFormat="1" ht="25.5" customHeight="1">
      <c r="A28" s="119">
        <v>9</v>
      </c>
      <c r="B28" s="120">
        <v>4</v>
      </c>
      <c r="C28" s="116" t="s">
        <v>479</v>
      </c>
      <c r="D28" s="109"/>
      <c r="E28" s="236">
        <v>1100</v>
      </c>
      <c r="F28" s="122"/>
      <c r="G28" s="123"/>
    </row>
    <row r="29" spans="1:7" s="1" customFormat="1" ht="25.5" customHeight="1">
      <c r="A29" s="274">
        <v>9</v>
      </c>
      <c r="B29" s="272">
        <v>4</v>
      </c>
      <c r="C29" s="269" t="s">
        <v>482</v>
      </c>
      <c r="D29" s="276"/>
      <c r="E29" s="283">
        <v>525</v>
      </c>
      <c r="F29" s="288"/>
      <c r="G29" s="286"/>
    </row>
    <row r="30" spans="1:7" s="1" customFormat="1" ht="25.95" customHeight="1" thickBot="1">
      <c r="A30" s="480">
        <v>9</v>
      </c>
      <c r="B30" s="481">
        <v>4</v>
      </c>
      <c r="C30" s="482" t="s">
        <v>480</v>
      </c>
      <c r="D30" s="483"/>
      <c r="E30" s="484">
        <v>2156</v>
      </c>
      <c r="F30" s="486">
        <v>28726</v>
      </c>
      <c r="G30" s="487"/>
    </row>
    <row r="31" spans="1:7" s="1" customFormat="1" ht="25.2" customHeight="1" thickTop="1">
      <c r="A31" s="301">
        <v>9</v>
      </c>
      <c r="B31" s="302">
        <v>23</v>
      </c>
      <c r="C31" s="518" t="s">
        <v>508</v>
      </c>
      <c r="D31" s="275"/>
      <c r="E31" s="282">
        <v>1900</v>
      </c>
      <c r="F31" s="485"/>
      <c r="G31" s="304"/>
    </row>
    <row r="32" spans="1:7" s="1" customFormat="1" ht="25.2" customHeight="1">
      <c r="A32" s="55">
        <v>9</v>
      </c>
      <c r="B32" s="56">
        <v>23</v>
      </c>
      <c r="C32" s="517" t="s">
        <v>509</v>
      </c>
      <c r="D32" s="88"/>
      <c r="E32" s="237">
        <v>3675</v>
      </c>
      <c r="F32" s="95"/>
      <c r="G32" s="60"/>
    </row>
    <row r="33" spans="1:7" s="1" customFormat="1" ht="25.2" customHeight="1">
      <c r="A33" s="516">
        <v>9</v>
      </c>
      <c r="B33" s="293">
        <v>23</v>
      </c>
      <c r="C33" s="518" t="s">
        <v>510</v>
      </c>
      <c r="D33" s="292"/>
      <c r="E33" s="289">
        <v>1600</v>
      </c>
      <c r="F33" s="290"/>
      <c r="G33" s="291"/>
    </row>
    <row r="34" spans="1:7" s="1" customFormat="1" ht="25.2" customHeight="1">
      <c r="A34" s="294">
        <v>9</v>
      </c>
      <c r="B34" s="295">
        <v>23</v>
      </c>
      <c r="C34" s="518" t="s">
        <v>511</v>
      </c>
      <c r="D34" s="275"/>
      <c r="E34" s="282">
        <v>4000</v>
      </c>
      <c r="F34" s="287"/>
      <c r="G34" s="165"/>
    </row>
    <row r="35" spans="1:7" s="1" customFormat="1" ht="25.2" customHeight="1">
      <c r="A35" s="55">
        <v>10</v>
      </c>
      <c r="B35" s="56">
        <v>4</v>
      </c>
      <c r="C35" s="57" t="s">
        <v>512</v>
      </c>
      <c r="D35" s="88"/>
      <c r="E35" s="237">
        <v>2520</v>
      </c>
      <c r="F35" s="94"/>
      <c r="G35" s="58"/>
    </row>
    <row r="36" spans="1:7" s="1" customFormat="1" ht="25.2" customHeight="1">
      <c r="A36" s="55">
        <v>10</v>
      </c>
      <c r="B36" s="56">
        <v>4</v>
      </c>
      <c r="C36" s="57" t="s">
        <v>513</v>
      </c>
      <c r="D36" s="88"/>
      <c r="E36" s="237">
        <v>1501</v>
      </c>
      <c r="F36" s="94"/>
      <c r="G36" s="60"/>
    </row>
    <row r="37" spans="1:7" s="1" customFormat="1" ht="25.2" customHeight="1" thickBot="1">
      <c r="A37" s="526">
        <v>10</v>
      </c>
      <c r="B37" s="528">
        <v>4</v>
      </c>
      <c r="C37" s="530" t="s">
        <v>514</v>
      </c>
      <c r="D37" s="532"/>
      <c r="E37" s="536">
        <v>10000</v>
      </c>
      <c r="F37" s="534">
        <v>25196</v>
      </c>
      <c r="G37" s="538"/>
    </row>
    <row r="38" spans="1:7" s="1" customFormat="1" ht="25.2" customHeight="1">
      <c r="A38" s="525">
        <v>10</v>
      </c>
      <c r="B38" s="527">
        <v>16</v>
      </c>
      <c r="C38" s="529" t="s">
        <v>520</v>
      </c>
      <c r="D38" s="531"/>
      <c r="E38" s="535">
        <v>4440</v>
      </c>
      <c r="F38" s="533"/>
      <c r="G38" s="537"/>
    </row>
    <row r="39" spans="1:7" s="1" customFormat="1" ht="25.95" customHeight="1">
      <c r="A39" s="294">
        <v>10</v>
      </c>
      <c r="B39" s="297">
        <v>16</v>
      </c>
      <c r="C39" s="529" t="s">
        <v>521</v>
      </c>
      <c r="D39" s="299"/>
      <c r="E39" s="539">
        <v>6337</v>
      </c>
      <c r="F39" s="287"/>
      <c r="G39" s="300"/>
    </row>
    <row r="40" spans="1:7" s="1" customFormat="1" ht="25.2" customHeight="1">
      <c r="A40" s="55">
        <v>10</v>
      </c>
      <c r="B40" s="556">
        <v>28</v>
      </c>
      <c r="C40" s="557" t="s">
        <v>525</v>
      </c>
      <c r="D40" s="89"/>
      <c r="E40" s="540">
        <v>4240</v>
      </c>
      <c r="F40" s="94"/>
      <c r="G40" s="62"/>
    </row>
    <row r="41" spans="1:7" s="1" customFormat="1" ht="25.2" customHeight="1" thickBot="1">
      <c r="A41" s="555">
        <v>10</v>
      </c>
      <c r="B41" s="554">
        <v>28</v>
      </c>
      <c r="C41" s="559" t="s">
        <v>526</v>
      </c>
      <c r="D41" s="558"/>
      <c r="E41" s="550">
        <v>3675</v>
      </c>
      <c r="F41" s="551">
        <v>18692</v>
      </c>
      <c r="G41" s="553"/>
    </row>
    <row r="42" spans="1:7" s="1" customFormat="1" ht="25.2" customHeight="1">
      <c r="A42" s="301">
        <v>11</v>
      </c>
      <c r="B42" s="548">
        <v>22</v>
      </c>
      <c r="C42" s="113" t="s">
        <v>588</v>
      </c>
      <c r="D42" s="299"/>
      <c r="E42" s="549">
        <v>2600</v>
      </c>
      <c r="F42" s="485"/>
      <c r="G42" s="552"/>
    </row>
    <row r="43" spans="1:7" s="1" customFormat="1" ht="25.2" customHeight="1" thickBot="1">
      <c r="A43" s="597">
        <v>11</v>
      </c>
      <c r="B43" s="598">
        <v>22</v>
      </c>
      <c r="C43" s="600" t="s">
        <v>589</v>
      </c>
      <c r="D43" s="601"/>
      <c r="E43" s="602">
        <v>5000</v>
      </c>
      <c r="F43" s="603">
        <v>7600</v>
      </c>
      <c r="G43" s="604"/>
    </row>
    <row r="44" spans="1:7" s="1" customFormat="1" ht="25.2" customHeight="1">
      <c r="A44" s="301">
        <v>12</v>
      </c>
      <c r="B44" s="302">
        <v>9</v>
      </c>
      <c r="C44" s="599" t="s">
        <v>598</v>
      </c>
      <c r="D44" s="275"/>
      <c r="E44" s="549">
        <v>750</v>
      </c>
      <c r="F44" s="485"/>
      <c r="G44" s="304"/>
    </row>
    <row r="45" spans="1:7" s="1" customFormat="1" ht="25.2" customHeight="1">
      <c r="A45" s="55">
        <v>12</v>
      </c>
      <c r="B45" s="56">
        <v>9</v>
      </c>
      <c r="C45" s="57" t="s">
        <v>597</v>
      </c>
      <c r="D45" s="88"/>
      <c r="E45" s="540">
        <v>1400</v>
      </c>
      <c r="F45" s="95"/>
      <c r="G45" s="60"/>
    </row>
    <row r="46" spans="1:7" s="1" customFormat="1" ht="25.95" customHeight="1">
      <c r="A46" s="296">
        <v>12</v>
      </c>
      <c r="B46" s="293">
        <v>9</v>
      </c>
      <c r="C46" s="298" t="s">
        <v>602</v>
      </c>
      <c r="D46" s="292"/>
      <c r="E46" s="610">
        <v>2255</v>
      </c>
      <c r="F46" s="290">
        <v>4405</v>
      </c>
      <c r="G46" s="291"/>
    </row>
    <row r="47" spans="1:7" s="1" customFormat="1" ht="25.95" customHeight="1">
      <c r="A47" s="301"/>
      <c r="B47" s="302"/>
      <c r="C47" s="303"/>
      <c r="D47" s="275"/>
      <c r="E47" s="549"/>
      <c r="F47" s="287"/>
      <c r="G47" s="300"/>
    </row>
    <row r="48" spans="1:7" s="1" customFormat="1" ht="25.2" customHeight="1">
      <c r="A48" s="55"/>
      <c r="B48" s="56"/>
      <c r="C48" s="63"/>
      <c r="D48" s="88"/>
      <c r="E48" s="540"/>
      <c r="F48" s="94"/>
      <c r="G48" s="58"/>
    </row>
    <row r="49" spans="1:7" s="1" customFormat="1" ht="25.2" customHeight="1">
      <c r="A49" s="55"/>
      <c r="B49" s="61"/>
      <c r="C49" s="54"/>
      <c r="D49" s="89"/>
      <c r="E49" s="540"/>
      <c r="F49" s="94"/>
      <c r="G49" s="60"/>
    </row>
    <row r="50" spans="1:7" s="1" customFormat="1" ht="25.2" customHeight="1">
      <c r="A50" s="55"/>
      <c r="B50" s="61"/>
      <c r="C50" s="54"/>
      <c r="D50" s="89"/>
      <c r="E50" s="540"/>
      <c r="F50" s="94"/>
      <c r="G50" s="60"/>
    </row>
    <row r="51" spans="1:7" s="1" customFormat="1" ht="25.2" customHeight="1">
      <c r="A51" s="55"/>
      <c r="B51" s="61"/>
      <c r="C51" s="54"/>
      <c r="D51" s="89"/>
      <c r="E51" s="540"/>
      <c r="F51" s="94"/>
      <c r="G51" s="60"/>
    </row>
    <row r="52" spans="1:7" s="1" customFormat="1" ht="25.2" customHeight="1">
      <c r="A52" s="55"/>
      <c r="B52" s="61"/>
      <c r="C52" s="54"/>
      <c r="D52" s="89"/>
      <c r="E52" s="540"/>
      <c r="F52" s="94"/>
      <c r="G52" s="60"/>
    </row>
    <row r="53" spans="1:7" ht="25.2" customHeight="1">
      <c r="A53" s="55"/>
      <c r="B53" s="61"/>
      <c r="C53" s="54"/>
      <c r="D53" s="89"/>
      <c r="E53" s="540"/>
      <c r="F53" s="95"/>
      <c r="G53" s="60"/>
    </row>
    <row r="54" spans="1:7" ht="25.2" customHeight="1">
      <c r="A54" s="296"/>
      <c r="B54" s="293"/>
      <c r="C54" s="307"/>
      <c r="D54" s="292"/>
      <c r="E54" s="610"/>
      <c r="F54" s="306"/>
      <c r="G54" s="291"/>
    </row>
    <row r="55" spans="1:7" ht="25.2" customHeight="1">
      <c r="A55" s="301"/>
      <c r="B55" s="309"/>
      <c r="C55" s="308"/>
      <c r="D55" s="275"/>
      <c r="E55" s="549"/>
      <c r="F55" s="305"/>
      <c r="G55" s="304"/>
    </row>
    <row r="56" spans="1:7" ht="25.2" customHeight="1">
      <c r="A56" s="55"/>
      <c r="B56" s="56"/>
      <c r="C56" s="64"/>
      <c r="D56" s="88"/>
      <c r="E56" s="540"/>
      <c r="F56" s="95"/>
      <c r="G56" s="60"/>
    </row>
    <row r="57" spans="1:7" ht="25.2" customHeight="1">
      <c r="A57" s="55"/>
      <c r="B57" s="56"/>
      <c r="C57" s="64"/>
      <c r="D57" s="88"/>
      <c r="E57" s="540"/>
      <c r="F57" s="95"/>
      <c r="G57" s="60"/>
    </row>
    <row r="58" spans="1:7" ht="25.2" customHeight="1">
      <c r="A58" s="55"/>
      <c r="B58" s="56"/>
      <c r="C58" s="65"/>
      <c r="D58" s="88"/>
      <c r="E58" s="540"/>
      <c r="F58" s="95"/>
      <c r="G58" s="60"/>
    </row>
    <row r="59" spans="1:7" ht="25.2" customHeight="1">
      <c r="A59" s="55"/>
      <c r="B59" s="56"/>
      <c r="C59" s="64"/>
      <c r="D59" s="88"/>
      <c r="E59" s="540"/>
      <c r="F59" s="95"/>
      <c r="G59" s="60"/>
    </row>
    <row r="60" spans="1:7" ht="25.2" customHeight="1">
      <c r="A60" s="55"/>
      <c r="B60" s="56"/>
      <c r="C60" s="65"/>
      <c r="D60" s="88"/>
      <c r="E60" s="540"/>
      <c r="F60" s="95"/>
      <c r="G60" s="60"/>
    </row>
    <row r="61" spans="1:7" ht="25.2" customHeight="1">
      <c r="A61" s="55"/>
      <c r="B61" s="56"/>
      <c r="C61" s="59"/>
      <c r="D61" s="88"/>
      <c r="E61" s="540"/>
      <c r="F61" s="95"/>
      <c r="G61" s="60"/>
    </row>
    <row r="62" spans="1:7" ht="25.2" customHeight="1">
      <c r="A62" s="55"/>
      <c r="B62" s="56"/>
      <c r="C62" s="59"/>
      <c r="D62" s="88"/>
      <c r="E62" s="540"/>
      <c r="F62" s="95"/>
      <c r="G62" s="60"/>
    </row>
    <row r="63" spans="1:7" ht="26.1" customHeight="1">
      <c r="A63" s="312"/>
      <c r="B63" s="310"/>
      <c r="C63" s="298"/>
      <c r="D63" s="292"/>
      <c r="E63" s="610"/>
      <c r="F63" s="290"/>
      <c r="G63" s="291"/>
    </row>
    <row r="64" spans="1:7" ht="26.1" customHeight="1">
      <c r="A64" s="273"/>
      <c r="B64" s="311"/>
      <c r="C64" s="303"/>
      <c r="D64" s="313"/>
      <c r="E64" s="611"/>
      <c r="F64" s="314"/>
      <c r="G64" s="304"/>
    </row>
    <row r="65" spans="1:7" ht="26.1" customHeight="1">
      <c r="A65" s="66"/>
      <c r="B65" s="67"/>
      <c r="C65" s="68"/>
      <c r="D65" s="90"/>
      <c r="E65" s="612"/>
      <c r="F65" s="96"/>
      <c r="G65" s="69"/>
    </row>
    <row r="66" spans="1:7" ht="26.1" customHeight="1">
      <c r="A66" s="66"/>
      <c r="B66" s="67"/>
      <c r="C66" s="68"/>
      <c r="D66" s="90"/>
      <c r="E66" s="612"/>
      <c r="F66" s="96"/>
      <c r="G66" s="69"/>
    </row>
    <row r="67" spans="1:7" ht="26.1" customHeight="1">
      <c r="A67" s="70"/>
      <c r="B67" s="181"/>
      <c r="C67" s="182"/>
      <c r="D67" s="91"/>
      <c r="E67" s="612"/>
      <c r="F67" s="96"/>
      <c r="G67" s="69"/>
    </row>
    <row r="68" spans="1:7" ht="26.1" customHeight="1">
      <c r="A68" s="172"/>
      <c r="B68" s="172"/>
      <c r="C68" s="183"/>
      <c r="D68" s="91"/>
      <c r="E68" s="612"/>
      <c r="F68" s="96"/>
      <c r="G68" s="69"/>
    </row>
    <row r="69" spans="1:7" ht="26.1" customHeight="1">
      <c r="A69" s="172"/>
      <c r="B69" s="172"/>
      <c r="C69" s="183"/>
      <c r="D69" s="91"/>
      <c r="E69" s="612"/>
      <c r="F69" s="96"/>
      <c r="G69" s="69"/>
    </row>
    <row r="70" spans="1:7" ht="26.1" customHeight="1">
      <c r="A70" s="172"/>
      <c r="B70" s="172"/>
      <c r="C70" s="184"/>
      <c r="D70" s="91"/>
      <c r="E70" s="612"/>
      <c r="F70" s="96"/>
      <c r="G70" s="69"/>
    </row>
    <row r="71" spans="1:7" ht="26.1" customHeight="1">
      <c r="A71" s="172"/>
      <c r="B71" s="172"/>
      <c r="C71" s="185"/>
      <c r="D71" s="91"/>
      <c r="E71" s="612"/>
      <c r="F71" s="96"/>
      <c r="G71" s="69"/>
    </row>
    <row r="72" spans="1:7" ht="26.1" customHeight="1">
      <c r="A72" s="187"/>
      <c r="B72" s="187"/>
      <c r="C72" s="188"/>
      <c r="D72" s="189"/>
      <c r="E72" s="613"/>
      <c r="F72" s="190"/>
      <c r="G72" s="191"/>
    </row>
    <row r="73" spans="1:7" ht="26.1" customHeight="1">
      <c r="A73" s="172"/>
      <c r="B73" s="172"/>
      <c r="C73" s="186"/>
      <c r="D73" s="192"/>
      <c r="E73" s="614"/>
      <c r="F73" s="167"/>
      <c r="G73" s="168"/>
    </row>
    <row r="74" spans="1:7" ht="26.1" customHeight="1">
      <c r="A74" s="172"/>
      <c r="B74" s="172"/>
      <c r="C74" s="186"/>
      <c r="D74" s="192"/>
      <c r="E74" s="615"/>
      <c r="F74" s="167"/>
      <c r="G74" s="168"/>
    </row>
    <row r="75" spans="1:7" ht="26.1" customHeight="1">
      <c r="A75" s="193"/>
      <c r="B75" s="193"/>
      <c r="C75" s="193"/>
      <c r="D75" s="194"/>
      <c r="E75" s="616"/>
      <c r="F75" s="196"/>
      <c r="G75" s="193"/>
    </row>
    <row r="76" spans="1:7" ht="26.1" customHeight="1">
      <c r="A76" s="193"/>
      <c r="B76" s="193"/>
      <c r="C76" s="193"/>
      <c r="D76" s="194"/>
      <c r="E76" s="616"/>
      <c r="F76" s="196"/>
      <c r="G76" s="193"/>
    </row>
    <row r="77" spans="1:7" ht="26.1" customHeight="1">
      <c r="A77" s="193"/>
      <c r="B77" s="193"/>
      <c r="C77" s="193"/>
      <c r="D77" s="194"/>
      <c r="E77" s="616"/>
      <c r="F77" s="196"/>
      <c r="G77" s="193"/>
    </row>
    <row r="78" spans="1:7" ht="26.1" customHeight="1">
      <c r="A78" s="193"/>
      <c r="B78" s="193"/>
      <c r="C78" s="193"/>
      <c r="D78" s="194"/>
      <c r="E78" s="616"/>
      <c r="F78" s="196"/>
      <c r="G78" s="193"/>
    </row>
    <row r="79" spans="1:7" ht="26.1" customHeight="1">
      <c r="A79" s="193"/>
      <c r="B79" s="193"/>
      <c r="C79" s="193"/>
      <c r="D79" s="194"/>
      <c r="E79" s="195"/>
      <c r="F79" s="196"/>
      <c r="G79" s="193"/>
    </row>
    <row r="80" spans="1:7" ht="26.1" customHeight="1">
      <c r="A80" s="193"/>
      <c r="B80" s="193"/>
      <c r="C80" s="193"/>
      <c r="D80" s="194"/>
      <c r="E80" s="195"/>
      <c r="F80" s="196"/>
      <c r="G80" s="193"/>
    </row>
    <row r="81" spans="1:7" ht="26.1" customHeight="1">
      <c r="A81" s="193"/>
      <c r="B81" s="193"/>
      <c r="C81" s="193"/>
      <c r="D81" s="194"/>
      <c r="E81" s="195"/>
      <c r="F81" s="196"/>
      <c r="G81" s="193"/>
    </row>
    <row r="82" spans="1:7" ht="26.1" customHeight="1">
      <c r="A82" s="193"/>
      <c r="B82" s="193"/>
      <c r="C82" s="193"/>
      <c r="D82" s="194"/>
      <c r="E82" s="195"/>
      <c r="F82" s="196"/>
      <c r="G82" s="193"/>
    </row>
    <row r="83" spans="1:7" ht="26.1" customHeight="1">
      <c r="A83" s="193"/>
      <c r="B83" s="193"/>
      <c r="C83" s="193"/>
      <c r="D83" s="194"/>
      <c r="E83" s="195"/>
      <c r="F83" s="196"/>
      <c r="G83" s="193"/>
    </row>
    <row r="84" spans="1:7" ht="26.1" customHeight="1">
      <c r="A84" s="193"/>
      <c r="B84" s="193"/>
      <c r="C84" s="193"/>
      <c r="D84" s="194"/>
      <c r="E84" s="195"/>
      <c r="F84" s="196"/>
      <c r="G84" s="193"/>
    </row>
    <row r="85" spans="1:7" ht="26.1" customHeight="1">
      <c r="A85" s="193"/>
      <c r="B85" s="193"/>
      <c r="C85" s="193"/>
      <c r="D85" s="194"/>
      <c r="E85" s="195"/>
      <c r="F85" s="196"/>
      <c r="G85" s="193"/>
    </row>
    <row r="86" spans="1:7" ht="26.1" customHeight="1">
      <c r="A86" s="193"/>
      <c r="B86" s="193"/>
      <c r="C86" s="193"/>
      <c r="D86" s="194"/>
      <c r="E86" s="195"/>
      <c r="F86" s="196"/>
      <c r="G86" s="193"/>
    </row>
    <row r="87" spans="1:7" ht="26.1" customHeight="1">
      <c r="A87" s="193"/>
      <c r="B87" s="193"/>
      <c r="C87" s="193"/>
      <c r="D87" s="194"/>
      <c r="E87" s="195"/>
      <c r="F87" s="196"/>
      <c r="G87" s="193"/>
    </row>
    <row r="88" spans="1:7" ht="26.1" customHeight="1">
      <c r="A88" s="193"/>
      <c r="B88" s="193"/>
      <c r="C88" s="193"/>
      <c r="D88" s="194"/>
      <c r="E88" s="195"/>
      <c r="F88" s="196"/>
      <c r="G88" s="193"/>
    </row>
    <row r="89" spans="1:7" ht="26.1" customHeight="1">
      <c r="A89" s="193"/>
      <c r="B89" s="193"/>
      <c r="C89" s="193"/>
      <c r="D89" s="194"/>
      <c r="E89" s="195"/>
      <c r="F89" s="196"/>
      <c r="G89" s="193"/>
    </row>
    <row r="90" spans="1:7" ht="26.1" customHeight="1">
      <c r="A90" s="193"/>
      <c r="B90" s="193"/>
      <c r="C90" s="193"/>
      <c r="D90" s="194"/>
      <c r="E90" s="195"/>
      <c r="F90" s="196"/>
      <c r="G90" s="193"/>
    </row>
    <row r="91" spans="1:7" ht="26.1" customHeight="1">
      <c r="A91" s="193"/>
      <c r="B91" s="193"/>
      <c r="C91" s="193"/>
      <c r="D91" s="194"/>
      <c r="E91" s="195"/>
      <c r="F91" s="196"/>
      <c r="G91" s="193"/>
    </row>
    <row r="92" spans="1:7" ht="26.1" customHeight="1">
      <c r="A92" s="193"/>
      <c r="B92" s="193"/>
      <c r="C92" s="193"/>
      <c r="D92" s="194"/>
      <c r="E92" s="195"/>
      <c r="F92" s="196"/>
      <c r="G92" s="193"/>
    </row>
    <row r="93" spans="1:7" ht="26.1" customHeight="1">
      <c r="A93" s="193"/>
      <c r="B93" s="193"/>
      <c r="C93" s="193"/>
      <c r="D93" s="194"/>
      <c r="E93" s="195"/>
      <c r="F93" s="196"/>
      <c r="G93" s="193"/>
    </row>
    <row r="94" spans="1:7" ht="26.1" customHeight="1">
      <c r="A94" s="193"/>
      <c r="B94" s="193"/>
      <c r="C94" s="193"/>
      <c r="D94" s="194"/>
      <c r="E94" s="195"/>
      <c r="F94" s="196"/>
      <c r="G94" s="193"/>
    </row>
    <row r="95" spans="1:7" ht="26.1" customHeight="1">
      <c r="A95" s="193"/>
      <c r="B95" s="193"/>
      <c r="C95" s="193"/>
      <c r="D95" s="194"/>
      <c r="E95" s="195"/>
      <c r="F95" s="196"/>
      <c r="G95" s="193"/>
    </row>
    <row r="96" spans="1:7" ht="26.1" customHeight="1">
      <c r="A96" s="193"/>
      <c r="B96" s="193"/>
      <c r="C96" s="193"/>
      <c r="D96" s="194"/>
      <c r="E96" s="195"/>
      <c r="F96" s="196"/>
      <c r="G96" s="193"/>
    </row>
    <row r="97" spans="1:7" ht="26.1" customHeight="1">
      <c r="A97" s="193"/>
      <c r="B97" s="193"/>
      <c r="C97" s="193"/>
      <c r="D97" s="194"/>
      <c r="E97" s="195"/>
      <c r="F97" s="196"/>
      <c r="G97" s="193"/>
    </row>
    <row r="98" spans="1:7" ht="26.1" customHeight="1">
      <c r="A98" s="193"/>
      <c r="B98" s="193"/>
      <c r="C98" s="193"/>
      <c r="D98" s="194"/>
      <c r="E98" s="195"/>
      <c r="F98" s="196"/>
      <c r="G98" s="193"/>
    </row>
    <row r="99" spans="1:7" ht="26.1" customHeight="1">
      <c r="A99" s="193"/>
      <c r="B99" s="193"/>
      <c r="C99" s="193"/>
      <c r="D99" s="194"/>
      <c r="E99" s="195"/>
      <c r="F99" s="196"/>
      <c r="G99" s="193"/>
    </row>
    <row r="100" spans="1:7" ht="26.1" customHeight="1">
      <c r="A100" s="193"/>
      <c r="B100" s="193"/>
      <c r="C100" s="193"/>
      <c r="D100" s="194"/>
      <c r="E100" s="195"/>
      <c r="F100" s="196"/>
      <c r="G100" s="193"/>
    </row>
    <row r="101" spans="1:7" ht="26.1" customHeight="1">
      <c r="A101" s="193"/>
      <c r="B101" s="193"/>
      <c r="C101" s="193"/>
      <c r="D101" s="194"/>
      <c r="E101" s="195"/>
      <c r="F101" s="196"/>
      <c r="G101" s="193"/>
    </row>
    <row r="102" spans="1:7" ht="26.1" customHeight="1">
      <c r="A102" s="193"/>
      <c r="B102" s="193"/>
      <c r="C102" s="193"/>
      <c r="D102" s="194"/>
      <c r="E102" s="195"/>
      <c r="F102" s="196"/>
      <c r="G102" s="193"/>
    </row>
    <row r="103" spans="1:7" ht="26.1" customHeight="1">
      <c r="A103" s="193"/>
      <c r="B103" s="193"/>
      <c r="C103" s="193"/>
      <c r="D103" s="194"/>
      <c r="E103" s="195"/>
      <c r="F103" s="196"/>
      <c r="G103" s="193"/>
    </row>
    <row r="104" spans="1:7" ht="26.1" customHeight="1">
      <c r="A104" s="193"/>
      <c r="B104" s="193"/>
      <c r="C104" s="193"/>
      <c r="D104" s="194"/>
      <c r="E104" s="195"/>
      <c r="F104" s="196"/>
      <c r="G104" s="193"/>
    </row>
    <row r="105" spans="1:7" ht="26.1" customHeight="1">
      <c r="A105" s="193"/>
      <c r="B105" s="193"/>
      <c r="C105" s="193"/>
      <c r="D105" s="194"/>
      <c r="E105" s="195"/>
      <c r="F105" s="196"/>
      <c r="G105" s="193"/>
    </row>
    <row r="106" spans="1:7" ht="26.1" customHeight="1">
      <c r="A106" s="193"/>
      <c r="B106" s="193"/>
      <c r="C106" s="193"/>
      <c r="D106" s="194"/>
      <c r="E106" s="195"/>
      <c r="F106" s="196"/>
      <c r="G106" s="193"/>
    </row>
    <row r="107" spans="1:7" ht="26.1" customHeight="1">
      <c r="A107" s="193"/>
      <c r="B107" s="193"/>
      <c r="C107" s="193"/>
      <c r="D107" s="194"/>
      <c r="E107" s="195"/>
      <c r="F107" s="196"/>
      <c r="G107" s="193"/>
    </row>
    <row r="108" spans="1:7" ht="26.1" customHeight="1">
      <c r="A108" s="193"/>
      <c r="B108" s="193"/>
      <c r="C108" s="193"/>
      <c r="D108" s="194"/>
      <c r="E108" s="195"/>
      <c r="F108" s="196"/>
      <c r="G108" s="193"/>
    </row>
    <row r="109" spans="1:7" ht="26.1" customHeight="1">
      <c r="A109" s="193"/>
      <c r="B109" s="193"/>
      <c r="C109" s="193"/>
      <c r="D109" s="194"/>
      <c r="E109" s="195"/>
      <c r="F109" s="196"/>
      <c r="G109" s="193"/>
    </row>
    <row r="110" spans="1:7" ht="26.1" customHeight="1">
      <c r="A110" s="193"/>
      <c r="B110" s="193"/>
      <c r="C110" s="193"/>
      <c r="D110" s="194"/>
      <c r="E110" s="195"/>
      <c r="F110" s="196"/>
      <c r="G110" s="193"/>
    </row>
    <row r="111" spans="1:7" ht="26.1" customHeight="1">
      <c r="A111" s="193"/>
      <c r="B111" s="193"/>
      <c r="C111" s="193"/>
      <c r="D111" s="194"/>
      <c r="E111" s="195"/>
      <c r="F111" s="196"/>
      <c r="G111" s="193"/>
    </row>
    <row r="112" spans="1:7" ht="26.1" customHeight="1">
      <c r="A112" s="193"/>
      <c r="B112" s="193"/>
      <c r="C112" s="193"/>
      <c r="D112" s="194"/>
      <c r="E112" s="195"/>
      <c r="F112" s="196"/>
      <c r="G112" s="193"/>
    </row>
    <row r="113" spans="1:7" ht="26.1" customHeight="1">
      <c r="A113" s="193"/>
      <c r="B113" s="193"/>
      <c r="C113" s="193"/>
      <c r="D113" s="194"/>
      <c r="E113" s="195"/>
      <c r="F113" s="196"/>
      <c r="G113" s="193"/>
    </row>
    <row r="114" spans="1:7" ht="26.1" customHeight="1">
      <c r="A114" s="193"/>
      <c r="B114" s="193"/>
      <c r="C114" s="193"/>
      <c r="D114" s="194"/>
      <c r="E114" s="195"/>
      <c r="F114" s="196"/>
      <c r="G114" s="193"/>
    </row>
    <row r="115" spans="1:7" ht="26.1" customHeight="1">
      <c r="A115" s="193"/>
      <c r="B115" s="193"/>
      <c r="C115" s="193"/>
      <c r="D115" s="194"/>
      <c r="E115" s="195"/>
      <c r="F115" s="196"/>
      <c r="G115" s="193"/>
    </row>
    <row r="116" spans="1:7" ht="26.1" customHeight="1">
      <c r="A116" s="193"/>
      <c r="B116" s="193"/>
      <c r="C116" s="193"/>
      <c r="D116" s="194"/>
      <c r="E116" s="195"/>
      <c r="F116" s="196"/>
      <c r="G116" s="193"/>
    </row>
    <row r="117" spans="1:7" ht="26.1" customHeight="1">
      <c r="A117" s="193"/>
      <c r="B117" s="193"/>
      <c r="C117" s="193"/>
      <c r="D117" s="194"/>
      <c r="E117" s="195"/>
      <c r="F117" s="196"/>
      <c r="G117" s="193"/>
    </row>
    <row r="118" spans="1:7" ht="26.1" customHeight="1">
      <c r="A118" s="193"/>
      <c r="B118" s="193"/>
      <c r="C118" s="193"/>
      <c r="D118" s="194"/>
      <c r="E118" s="195"/>
      <c r="F118" s="196"/>
      <c r="G118" s="193"/>
    </row>
    <row r="119" spans="1:7" ht="26.1" customHeight="1">
      <c r="A119" s="193"/>
      <c r="B119" s="193"/>
      <c r="C119" s="193"/>
      <c r="D119" s="194"/>
      <c r="E119" s="195"/>
      <c r="F119" s="196"/>
      <c r="G119" s="193"/>
    </row>
    <row r="120" spans="1:7" ht="26.1" customHeight="1">
      <c r="A120" s="193"/>
      <c r="B120" s="193"/>
      <c r="C120" s="193"/>
      <c r="D120" s="194"/>
      <c r="E120" s="195"/>
      <c r="F120" s="196"/>
      <c r="G120" s="193"/>
    </row>
    <row r="121" spans="1:7" ht="26.1" customHeight="1">
      <c r="A121" s="193"/>
      <c r="B121" s="193"/>
      <c r="C121" s="193"/>
      <c r="D121" s="194"/>
      <c r="E121" s="195"/>
      <c r="F121" s="196"/>
      <c r="G121" s="193"/>
    </row>
    <row r="122" spans="1:7" ht="26.1" customHeight="1">
      <c r="A122" s="193"/>
      <c r="B122" s="193"/>
      <c r="C122" s="193"/>
      <c r="D122" s="194"/>
      <c r="E122" s="195"/>
      <c r="F122" s="196"/>
      <c r="G122" s="193"/>
    </row>
    <row r="123" spans="1:7" ht="26.1" customHeight="1">
      <c r="A123" s="193"/>
      <c r="B123" s="193"/>
      <c r="C123" s="193"/>
      <c r="D123" s="194"/>
      <c r="E123" s="195"/>
      <c r="F123" s="196"/>
      <c r="G123" s="193"/>
    </row>
    <row r="124" spans="1:7" ht="26.1" customHeight="1">
      <c r="A124" s="193"/>
      <c r="B124" s="193"/>
      <c r="C124" s="193"/>
      <c r="D124" s="194"/>
      <c r="E124" s="195"/>
      <c r="F124" s="196"/>
      <c r="G124" s="193"/>
    </row>
    <row r="125" spans="1:7" ht="26.1" customHeight="1">
      <c r="A125" s="193"/>
      <c r="B125" s="193"/>
      <c r="C125" s="193"/>
      <c r="D125" s="194"/>
      <c r="E125" s="195"/>
      <c r="F125" s="196"/>
      <c r="G125" s="193"/>
    </row>
    <row r="126" spans="1:7" ht="26.1" customHeight="1">
      <c r="A126" s="193"/>
      <c r="B126" s="193"/>
      <c r="C126" s="193"/>
      <c r="D126" s="194"/>
      <c r="E126" s="195"/>
      <c r="F126" s="196"/>
      <c r="G126" s="193"/>
    </row>
    <row r="127" spans="1:7" ht="26.1" customHeight="1">
      <c r="A127" s="193"/>
      <c r="B127" s="193"/>
      <c r="C127" s="193"/>
      <c r="D127" s="194"/>
      <c r="E127" s="195"/>
      <c r="F127" s="196"/>
      <c r="G127" s="193"/>
    </row>
    <row r="128" spans="1:7" ht="26.1" customHeight="1">
      <c r="A128" s="193"/>
      <c r="B128" s="193"/>
      <c r="C128" s="193"/>
      <c r="D128" s="194"/>
      <c r="E128" s="195"/>
      <c r="F128" s="196"/>
      <c r="G128" s="193"/>
    </row>
    <row r="129" spans="1:7" ht="26.1" customHeight="1">
      <c r="A129" s="193"/>
      <c r="B129" s="193"/>
      <c r="C129" s="193"/>
      <c r="D129" s="194"/>
      <c r="E129" s="195"/>
      <c r="F129" s="196"/>
      <c r="G129" s="193"/>
    </row>
    <row r="130" spans="1:7" ht="26.1" customHeight="1">
      <c r="A130" s="193"/>
      <c r="B130" s="193"/>
      <c r="C130" s="193"/>
      <c r="D130" s="194"/>
      <c r="E130" s="195"/>
      <c r="F130" s="196"/>
      <c r="G130" s="193"/>
    </row>
    <row r="131" spans="1:7" ht="26.1" customHeight="1">
      <c r="A131" s="193"/>
      <c r="B131" s="193"/>
      <c r="C131" s="193"/>
      <c r="D131" s="194"/>
      <c r="E131" s="195"/>
      <c r="F131" s="196"/>
      <c r="G131" s="193"/>
    </row>
    <row r="132" spans="1:7" ht="26.1" customHeight="1">
      <c r="A132" s="193"/>
      <c r="B132" s="193"/>
      <c r="C132" s="193"/>
      <c r="D132" s="194"/>
      <c r="E132" s="195"/>
      <c r="F132" s="196"/>
      <c r="G132" s="193"/>
    </row>
    <row r="133" spans="1:7" ht="26.1" customHeight="1">
      <c r="A133" s="193"/>
      <c r="B133" s="193"/>
      <c r="C133" s="193"/>
      <c r="D133" s="194"/>
      <c r="E133" s="195"/>
      <c r="F133" s="196"/>
      <c r="G133" s="193"/>
    </row>
    <row r="134" spans="1:7" ht="26.1" customHeight="1">
      <c r="A134" s="193"/>
      <c r="B134" s="193"/>
      <c r="C134" s="193"/>
      <c r="D134" s="194"/>
      <c r="E134" s="195"/>
      <c r="F134" s="196"/>
      <c r="G134" s="193"/>
    </row>
    <row r="135" spans="1:7" ht="26.1" customHeight="1">
      <c r="A135" s="193"/>
      <c r="B135" s="193"/>
      <c r="C135" s="193"/>
      <c r="D135" s="194"/>
      <c r="E135" s="195"/>
      <c r="F135" s="196"/>
      <c r="G135" s="193"/>
    </row>
    <row r="136" spans="1:7" ht="26.1" customHeight="1">
      <c r="A136" s="193"/>
      <c r="B136" s="193"/>
      <c r="C136" s="193"/>
      <c r="D136" s="194"/>
      <c r="E136" s="195"/>
      <c r="F136" s="196"/>
      <c r="G136" s="193"/>
    </row>
    <row r="137" spans="1:7" ht="26.1" customHeight="1">
      <c r="A137" s="193"/>
      <c r="B137" s="193"/>
      <c r="C137" s="193"/>
      <c r="D137" s="194"/>
      <c r="E137" s="195"/>
      <c r="F137" s="196"/>
      <c r="G137" s="193"/>
    </row>
    <row r="138" spans="1:7" ht="26.1" customHeight="1">
      <c r="A138" s="193"/>
      <c r="B138" s="193"/>
      <c r="C138" s="193"/>
      <c r="D138" s="194"/>
      <c r="E138" s="195"/>
      <c r="F138" s="196"/>
      <c r="G138" s="193"/>
    </row>
    <row r="139" spans="1:7" ht="26.1" customHeight="1">
      <c r="A139" s="193"/>
      <c r="B139" s="193"/>
      <c r="C139" s="193"/>
      <c r="D139" s="194"/>
      <c r="E139" s="195"/>
      <c r="F139" s="196"/>
      <c r="G139" s="193"/>
    </row>
    <row r="140" spans="1:7" ht="26.1" customHeight="1">
      <c r="A140" s="193"/>
      <c r="B140" s="193"/>
      <c r="C140" s="193"/>
      <c r="D140" s="194"/>
      <c r="E140" s="195"/>
      <c r="F140" s="196"/>
      <c r="G140" s="193"/>
    </row>
    <row r="141" spans="1:7" ht="26.1" customHeight="1">
      <c r="A141" s="193"/>
      <c r="B141" s="193"/>
      <c r="C141" s="193"/>
      <c r="D141" s="194"/>
      <c r="E141" s="195"/>
      <c r="F141" s="196"/>
      <c r="G141" s="193"/>
    </row>
    <row r="142" spans="1:7" ht="26.1" customHeight="1">
      <c r="A142" s="193"/>
      <c r="B142" s="193"/>
      <c r="C142" s="193"/>
      <c r="D142" s="194"/>
      <c r="E142" s="195"/>
      <c r="F142" s="196"/>
      <c r="G142" s="193"/>
    </row>
    <row r="143" spans="1:7" ht="26.1" customHeight="1">
      <c r="A143" s="193"/>
      <c r="B143" s="193"/>
      <c r="C143" s="193"/>
      <c r="D143" s="194"/>
      <c r="E143" s="195"/>
      <c r="F143" s="196"/>
      <c r="G143" s="193"/>
    </row>
    <row r="144" spans="1:7" ht="26.1" customHeight="1">
      <c r="A144" s="193"/>
      <c r="B144" s="193"/>
      <c r="C144" s="193"/>
      <c r="D144" s="194"/>
      <c r="E144" s="195"/>
      <c r="F144" s="196"/>
      <c r="G144" s="193"/>
    </row>
    <row r="145" spans="1:7" ht="26.1" customHeight="1">
      <c r="A145" s="193"/>
      <c r="B145" s="193"/>
      <c r="C145" s="193"/>
      <c r="D145" s="194"/>
      <c r="E145" s="195"/>
      <c r="F145" s="196"/>
      <c r="G145" s="193"/>
    </row>
    <row r="146" spans="1:7" ht="26.1" customHeight="1">
      <c r="A146" s="193"/>
      <c r="B146" s="193"/>
      <c r="C146" s="193"/>
      <c r="D146" s="194"/>
      <c r="E146" s="195"/>
      <c r="F146" s="196"/>
      <c r="G146" s="193"/>
    </row>
    <row r="147" spans="1:7" ht="26.1" customHeight="1">
      <c r="A147" s="193"/>
      <c r="B147" s="193"/>
      <c r="C147" s="193"/>
      <c r="D147" s="194"/>
      <c r="E147" s="195"/>
      <c r="F147" s="196"/>
      <c r="G147" s="193"/>
    </row>
    <row r="148" spans="1:7" ht="26.1" customHeight="1">
      <c r="A148" s="193"/>
      <c r="B148" s="193"/>
      <c r="C148" s="193"/>
      <c r="D148" s="194"/>
      <c r="E148" s="195"/>
      <c r="F148" s="196"/>
      <c r="G148" s="193"/>
    </row>
    <row r="149" spans="1:7" ht="26.1" customHeight="1">
      <c r="A149" s="193"/>
      <c r="B149" s="193"/>
      <c r="C149" s="193"/>
      <c r="D149" s="194"/>
      <c r="E149" s="195"/>
      <c r="F149" s="196"/>
      <c r="G149" s="193"/>
    </row>
    <row r="150" spans="1:7" ht="26.1" customHeight="1">
      <c r="A150" s="193"/>
      <c r="B150" s="193"/>
      <c r="C150" s="193"/>
      <c r="D150" s="194"/>
      <c r="E150" s="195"/>
      <c r="F150" s="196"/>
      <c r="G150" s="193"/>
    </row>
    <row r="151" spans="1:7" ht="26.1" customHeight="1">
      <c r="A151" s="193"/>
      <c r="B151" s="193"/>
      <c r="C151" s="193"/>
      <c r="D151" s="194"/>
      <c r="E151" s="195"/>
      <c r="F151" s="196"/>
      <c r="G151" s="193"/>
    </row>
    <row r="152" spans="1:7" ht="26.1" customHeight="1">
      <c r="A152" s="193"/>
      <c r="B152" s="193"/>
      <c r="C152" s="193"/>
      <c r="D152" s="194"/>
      <c r="E152" s="195"/>
      <c r="F152" s="196"/>
      <c r="G152" s="193"/>
    </row>
    <row r="153" spans="1:7" ht="26.1" customHeight="1">
      <c r="A153" s="193"/>
      <c r="B153" s="193"/>
      <c r="C153" s="193"/>
      <c r="D153" s="194"/>
      <c r="E153" s="195"/>
      <c r="F153" s="196"/>
      <c r="G153" s="193"/>
    </row>
    <row r="154" spans="1:7" ht="26.1" customHeight="1">
      <c r="A154" s="193"/>
      <c r="B154" s="193"/>
      <c r="C154" s="193"/>
      <c r="D154" s="194"/>
      <c r="E154" s="195"/>
      <c r="F154" s="196"/>
      <c r="G154" s="193"/>
    </row>
    <row r="155" spans="1:7" ht="26.1" customHeight="1">
      <c r="A155" s="193"/>
      <c r="B155" s="193"/>
      <c r="C155" s="193"/>
      <c r="D155" s="194"/>
      <c r="E155" s="195"/>
      <c r="F155" s="196"/>
      <c r="G155" s="193"/>
    </row>
    <row r="156" spans="1:7" ht="26.1" customHeight="1">
      <c r="A156" s="193"/>
      <c r="B156" s="193"/>
      <c r="C156" s="193"/>
      <c r="D156" s="194"/>
      <c r="E156" s="195"/>
      <c r="F156" s="196"/>
      <c r="G156" s="193"/>
    </row>
    <row r="157" spans="1:7" ht="26.1" customHeight="1">
      <c r="A157" s="193"/>
      <c r="B157" s="193"/>
      <c r="C157" s="193"/>
      <c r="D157" s="194"/>
      <c r="E157" s="195"/>
      <c r="F157" s="196"/>
      <c r="G157" s="193"/>
    </row>
    <row r="158" spans="1:7" ht="26.1" customHeight="1">
      <c r="A158" s="193"/>
      <c r="B158" s="193"/>
      <c r="C158" s="193"/>
      <c r="D158" s="194"/>
      <c r="E158" s="195"/>
      <c r="F158" s="196"/>
      <c r="G158" s="193"/>
    </row>
    <row r="159" spans="1:7" ht="26.1" customHeight="1">
      <c r="A159" s="193"/>
      <c r="B159" s="193"/>
      <c r="C159" s="193"/>
      <c r="D159" s="194"/>
      <c r="E159" s="195"/>
      <c r="F159" s="196"/>
      <c r="G159" s="193"/>
    </row>
    <row r="160" spans="1:7" ht="26.1" customHeight="1">
      <c r="A160" s="193"/>
      <c r="B160" s="193"/>
      <c r="C160" s="193"/>
      <c r="D160" s="194"/>
      <c r="E160" s="195"/>
      <c r="F160" s="196"/>
      <c r="G160" s="193"/>
    </row>
    <row r="161" spans="1:7" ht="26.1" customHeight="1">
      <c r="A161" s="193"/>
      <c r="B161" s="193"/>
      <c r="C161" s="193"/>
      <c r="D161" s="194"/>
      <c r="E161" s="195"/>
      <c r="F161" s="196"/>
      <c r="G161" s="193"/>
    </row>
    <row r="162" spans="1:7" ht="26.1" customHeight="1">
      <c r="A162" s="193"/>
      <c r="B162" s="193"/>
      <c r="C162" s="193"/>
      <c r="D162" s="194"/>
      <c r="E162" s="195"/>
      <c r="F162" s="196"/>
      <c r="G162" s="193"/>
    </row>
    <row r="163" spans="1:7" ht="26.1" customHeight="1">
      <c r="A163" s="193"/>
      <c r="B163" s="193"/>
      <c r="C163" s="193"/>
      <c r="D163" s="194"/>
      <c r="E163" s="195"/>
      <c r="F163" s="196"/>
      <c r="G163" s="193"/>
    </row>
    <row r="164" spans="1:7" ht="26.1" customHeight="1">
      <c r="A164" s="193"/>
      <c r="B164" s="193"/>
      <c r="C164" s="193"/>
      <c r="D164" s="194"/>
      <c r="E164" s="195"/>
      <c r="F164" s="196"/>
      <c r="G164" s="193"/>
    </row>
    <row r="165" spans="1:7" ht="26.1" customHeight="1">
      <c r="A165" s="193"/>
      <c r="B165" s="193"/>
      <c r="C165" s="193"/>
      <c r="D165" s="194"/>
      <c r="E165" s="195"/>
      <c r="F165" s="196"/>
      <c r="G165" s="193"/>
    </row>
    <row r="166" spans="1:7" ht="26.1" customHeight="1">
      <c r="A166" s="193"/>
      <c r="B166" s="193"/>
      <c r="C166" s="193"/>
      <c r="D166" s="194"/>
      <c r="E166" s="195"/>
      <c r="F166" s="196"/>
      <c r="G166" s="193"/>
    </row>
    <row r="167" spans="1:7" ht="26.1" customHeight="1">
      <c r="A167" s="193"/>
      <c r="B167" s="193"/>
      <c r="C167" s="193"/>
      <c r="D167" s="194"/>
      <c r="E167" s="195"/>
      <c r="F167" s="196"/>
      <c r="G167" s="193"/>
    </row>
    <row r="168" spans="1:7" ht="26.1" customHeight="1">
      <c r="A168" s="193"/>
      <c r="B168" s="193"/>
      <c r="C168" s="193"/>
      <c r="D168" s="194"/>
      <c r="E168" s="195"/>
      <c r="F168" s="196"/>
      <c r="G168" s="193"/>
    </row>
    <row r="169" spans="1:7" ht="26.1" customHeight="1">
      <c r="A169" s="193"/>
      <c r="B169" s="193"/>
      <c r="C169" s="193"/>
      <c r="D169" s="194"/>
      <c r="E169" s="195"/>
      <c r="F169" s="196"/>
      <c r="G169" s="193"/>
    </row>
    <row r="170" spans="1:7" ht="26.1" customHeight="1">
      <c r="A170" s="193"/>
      <c r="B170" s="193"/>
      <c r="C170" s="193"/>
      <c r="D170" s="194"/>
      <c r="E170" s="195"/>
      <c r="F170" s="196"/>
      <c r="G170" s="193"/>
    </row>
    <row r="171" spans="1:7" ht="26.1" customHeight="1">
      <c r="A171" s="193"/>
      <c r="B171" s="193"/>
      <c r="C171" s="193"/>
      <c r="D171" s="194"/>
      <c r="E171" s="195"/>
      <c r="F171" s="196"/>
      <c r="G171" s="193"/>
    </row>
    <row r="172" spans="1:7" ht="26.1" customHeight="1">
      <c r="A172" s="193"/>
      <c r="B172" s="193"/>
      <c r="C172" s="193"/>
      <c r="D172" s="194"/>
      <c r="E172" s="195"/>
      <c r="F172" s="196"/>
      <c r="G172" s="193"/>
    </row>
    <row r="173" spans="1:7" ht="26.1" customHeight="1">
      <c r="A173" s="193"/>
      <c r="B173" s="193"/>
      <c r="C173" s="193"/>
      <c r="D173" s="194"/>
      <c r="E173" s="195"/>
      <c r="F173" s="196"/>
      <c r="G173" s="193"/>
    </row>
    <row r="174" spans="1:7" ht="26.1" customHeight="1">
      <c r="A174" s="193"/>
      <c r="B174" s="193"/>
      <c r="C174" s="193"/>
      <c r="D174" s="194"/>
      <c r="E174" s="195"/>
      <c r="F174" s="196"/>
      <c r="G174" s="193"/>
    </row>
    <row r="175" spans="1:7" ht="26.1" customHeight="1">
      <c r="A175" s="193"/>
      <c r="B175" s="193"/>
      <c r="C175" s="193"/>
      <c r="D175" s="194"/>
      <c r="E175" s="195"/>
      <c r="F175" s="196"/>
      <c r="G175" s="193"/>
    </row>
    <row r="176" spans="1:7" ht="26.1" customHeight="1">
      <c r="A176" s="193"/>
      <c r="B176" s="193"/>
      <c r="C176" s="193"/>
      <c r="D176" s="194"/>
      <c r="E176" s="195"/>
      <c r="F176" s="196"/>
      <c r="G176" s="193"/>
    </row>
    <row r="177" spans="1:7" ht="26.1" customHeight="1">
      <c r="A177" s="193"/>
      <c r="B177" s="193"/>
      <c r="C177" s="193"/>
      <c r="D177" s="194"/>
      <c r="E177" s="195"/>
      <c r="F177" s="196"/>
      <c r="G177" s="193"/>
    </row>
    <row r="178" spans="1:7" ht="26.1" customHeight="1">
      <c r="A178" s="193"/>
      <c r="B178" s="193"/>
      <c r="C178" s="193"/>
      <c r="D178" s="194"/>
      <c r="E178" s="195"/>
      <c r="F178" s="196"/>
      <c r="G178" s="193"/>
    </row>
    <row r="179" spans="1:7" ht="26.1" customHeight="1">
      <c r="A179" s="193"/>
      <c r="B179" s="193"/>
      <c r="C179" s="193"/>
      <c r="D179" s="194"/>
      <c r="E179" s="195"/>
      <c r="F179" s="196"/>
      <c r="G179" s="193"/>
    </row>
    <row r="180" spans="1:7" ht="26.1" customHeight="1">
      <c r="A180" s="193"/>
      <c r="B180" s="193"/>
      <c r="C180" s="193"/>
      <c r="D180" s="194"/>
      <c r="E180" s="195"/>
      <c r="F180" s="196"/>
      <c r="G180" s="193"/>
    </row>
    <row r="181" spans="1:7" ht="26.1" customHeight="1">
      <c r="A181" s="193"/>
      <c r="B181" s="193"/>
      <c r="C181" s="193"/>
      <c r="D181" s="194"/>
      <c r="E181" s="195"/>
      <c r="F181" s="196"/>
      <c r="G181" s="193"/>
    </row>
    <row r="182" spans="1:7" ht="26.1" customHeight="1">
      <c r="A182" s="193"/>
      <c r="B182" s="193"/>
      <c r="C182" s="193"/>
      <c r="D182" s="194"/>
      <c r="E182" s="195"/>
      <c r="F182" s="196"/>
      <c r="G182" s="193"/>
    </row>
    <row r="183" spans="1:7" ht="26.1" customHeight="1">
      <c r="A183" s="193"/>
      <c r="B183" s="193"/>
      <c r="C183" s="193"/>
      <c r="D183" s="194"/>
      <c r="E183" s="195"/>
      <c r="F183" s="196"/>
      <c r="G183" s="193"/>
    </row>
    <row r="184" spans="1:7" ht="26.1" customHeight="1">
      <c r="A184" s="193"/>
      <c r="B184" s="193"/>
      <c r="C184" s="193"/>
      <c r="D184" s="194"/>
      <c r="E184" s="195"/>
      <c r="F184" s="196"/>
      <c r="G184" s="193"/>
    </row>
    <row r="185" spans="1:7" ht="26.1" customHeight="1">
      <c r="A185" s="193"/>
      <c r="B185" s="193"/>
      <c r="C185" s="193"/>
      <c r="D185" s="194"/>
      <c r="E185" s="195"/>
      <c r="F185" s="196"/>
      <c r="G185" s="193"/>
    </row>
    <row r="186" spans="1:7" ht="26.1" customHeight="1">
      <c r="A186" s="193"/>
      <c r="B186" s="193"/>
      <c r="C186" s="193"/>
      <c r="D186" s="194"/>
      <c r="E186" s="195"/>
      <c r="F186" s="196"/>
      <c r="G186" s="193"/>
    </row>
    <row r="187" spans="1:7" ht="26.1" customHeight="1">
      <c r="A187" s="193"/>
      <c r="B187" s="193"/>
      <c r="C187" s="193"/>
      <c r="D187" s="194"/>
      <c r="E187" s="195"/>
      <c r="F187" s="196"/>
      <c r="G187" s="193"/>
    </row>
    <row r="188" spans="1:7" ht="26.1" customHeight="1">
      <c r="A188" s="193"/>
      <c r="B188" s="193"/>
      <c r="C188" s="193"/>
      <c r="D188" s="194"/>
      <c r="E188" s="195"/>
      <c r="F188" s="196"/>
      <c r="G188" s="193"/>
    </row>
    <row r="189" spans="1:7" ht="26.1" customHeight="1">
      <c r="A189" s="193"/>
      <c r="B189" s="193"/>
      <c r="C189" s="193"/>
      <c r="D189" s="194"/>
      <c r="E189" s="195"/>
      <c r="F189" s="196"/>
      <c r="G189" s="193"/>
    </row>
    <row r="190" spans="1:7" ht="26.1" customHeight="1">
      <c r="A190" s="193"/>
      <c r="B190" s="193"/>
      <c r="C190" s="193"/>
      <c r="D190" s="194"/>
      <c r="E190" s="195"/>
      <c r="F190" s="196"/>
      <c r="G190" s="193"/>
    </row>
    <row r="191" spans="1:7" ht="26.1" customHeight="1">
      <c r="A191" s="193"/>
      <c r="B191" s="193"/>
      <c r="C191" s="193"/>
      <c r="D191" s="194"/>
      <c r="E191" s="195"/>
      <c r="F191" s="196"/>
      <c r="G191" s="193"/>
    </row>
    <row r="192" spans="1:7" ht="26.1" customHeight="1">
      <c r="A192" s="193"/>
      <c r="B192" s="193"/>
      <c r="C192" s="193"/>
      <c r="D192" s="194"/>
      <c r="E192" s="195"/>
      <c r="F192" s="196"/>
      <c r="G192" s="193"/>
    </row>
    <row r="193" spans="1:7" ht="26.1" customHeight="1">
      <c r="A193" s="193"/>
      <c r="B193" s="193"/>
      <c r="C193" s="193"/>
      <c r="D193" s="194"/>
      <c r="E193" s="195"/>
      <c r="F193" s="196"/>
      <c r="G193" s="193"/>
    </row>
    <row r="194" spans="1:7" ht="26.1" customHeight="1">
      <c r="A194" s="193"/>
      <c r="B194" s="193"/>
      <c r="C194" s="193"/>
      <c r="D194" s="194"/>
      <c r="E194" s="195"/>
      <c r="F194" s="196"/>
      <c r="G194" s="193"/>
    </row>
    <row r="195" spans="1:7" ht="26.1" customHeight="1">
      <c r="A195" s="193"/>
      <c r="B195" s="193"/>
      <c r="C195" s="193"/>
      <c r="D195" s="194"/>
      <c r="E195" s="195"/>
      <c r="F195" s="196"/>
      <c r="G195" s="193"/>
    </row>
    <row r="196" spans="1:7" ht="26.1" customHeight="1">
      <c r="A196" s="193"/>
      <c r="B196" s="193"/>
      <c r="C196" s="193"/>
      <c r="D196" s="194"/>
      <c r="E196" s="195"/>
      <c r="F196" s="196"/>
      <c r="G196" s="193"/>
    </row>
    <row r="197" spans="1:7" ht="26.1" customHeight="1">
      <c r="A197" s="193"/>
      <c r="B197" s="193"/>
      <c r="C197" s="193"/>
      <c r="D197" s="194"/>
      <c r="E197" s="195"/>
      <c r="F197" s="196"/>
      <c r="G197" s="193"/>
    </row>
    <row r="198" spans="1:7" ht="26.1" customHeight="1">
      <c r="A198" s="193"/>
      <c r="B198" s="193"/>
      <c r="C198" s="193"/>
      <c r="D198" s="194"/>
      <c r="E198" s="195"/>
      <c r="F198" s="196"/>
      <c r="G198" s="193"/>
    </row>
    <row r="199" spans="1:7" ht="26.1" customHeight="1">
      <c r="A199" s="193"/>
      <c r="B199" s="193"/>
      <c r="C199" s="193"/>
      <c r="D199" s="194"/>
      <c r="E199" s="195"/>
      <c r="F199" s="196"/>
      <c r="G199" s="193"/>
    </row>
    <row r="200" spans="1:7" ht="26.1" customHeight="1">
      <c r="A200" s="193"/>
      <c r="B200" s="193"/>
      <c r="C200" s="193"/>
      <c r="D200" s="194"/>
      <c r="E200" s="195"/>
      <c r="F200" s="196"/>
      <c r="G200" s="193"/>
    </row>
    <row r="201" spans="1:7" ht="26.1" customHeight="1">
      <c r="A201" s="193"/>
      <c r="B201" s="193"/>
      <c r="C201" s="193"/>
      <c r="D201" s="194"/>
      <c r="E201" s="195"/>
      <c r="F201" s="196"/>
      <c r="G201" s="193"/>
    </row>
    <row r="202" spans="1:7" ht="26.1" customHeight="1">
      <c r="A202" s="193"/>
      <c r="B202" s="193"/>
      <c r="C202" s="193"/>
      <c r="D202" s="194"/>
      <c r="E202" s="195"/>
      <c r="F202" s="196"/>
      <c r="G202" s="193"/>
    </row>
    <row r="203" spans="1:7" ht="26.1" customHeight="1">
      <c r="A203" s="193"/>
      <c r="B203" s="193"/>
      <c r="C203" s="193"/>
      <c r="D203" s="194"/>
      <c r="E203" s="195"/>
      <c r="F203" s="196"/>
      <c r="G203" s="193"/>
    </row>
    <row r="204" spans="1:7" ht="26.1" customHeight="1">
      <c r="A204" s="193"/>
      <c r="B204" s="193"/>
      <c r="C204" s="193"/>
      <c r="D204" s="194"/>
      <c r="E204" s="195"/>
      <c r="F204" s="196"/>
      <c r="G204" s="193"/>
    </row>
    <row r="205" spans="1:7" ht="26.1" customHeight="1">
      <c r="A205" s="193"/>
      <c r="B205" s="193"/>
      <c r="C205" s="193"/>
      <c r="D205" s="194"/>
      <c r="E205" s="195"/>
      <c r="F205" s="196"/>
      <c r="G205" s="193"/>
    </row>
    <row r="206" spans="1:7" ht="26.1" customHeight="1">
      <c r="A206" s="193"/>
      <c r="B206" s="193"/>
      <c r="C206" s="193"/>
      <c r="D206" s="194"/>
      <c r="E206" s="195"/>
      <c r="F206" s="196"/>
      <c r="G206" s="193"/>
    </row>
    <row r="207" spans="1:7" ht="26.1" customHeight="1">
      <c r="A207" s="193"/>
      <c r="B207" s="193"/>
      <c r="C207" s="193"/>
      <c r="D207" s="194"/>
      <c r="E207" s="195"/>
      <c r="F207" s="196"/>
      <c r="G207" s="193"/>
    </row>
    <row r="208" spans="1:7" ht="26.1" customHeight="1">
      <c r="A208" s="193"/>
      <c r="B208" s="193"/>
      <c r="C208" s="193"/>
      <c r="D208" s="194"/>
      <c r="E208" s="195"/>
      <c r="F208" s="196"/>
      <c r="G208" s="193"/>
    </row>
    <row r="209" spans="1:7" ht="26.1" customHeight="1">
      <c r="A209" s="193"/>
      <c r="B209" s="193"/>
      <c r="C209" s="193"/>
      <c r="D209" s="194"/>
      <c r="E209" s="195"/>
      <c r="F209" s="196"/>
      <c r="G209" s="193"/>
    </row>
    <row r="210" spans="1:7" ht="26.1" customHeight="1">
      <c r="A210" s="193"/>
      <c r="B210" s="193"/>
      <c r="C210" s="193"/>
      <c r="D210" s="194"/>
      <c r="E210" s="195"/>
      <c r="F210" s="196"/>
      <c r="G210" s="193"/>
    </row>
    <row r="211" spans="1:7" ht="26.1" customHeight="1">
      <c r="A211" s="193"/>
      <c r="B211" s="193"/>
      <c r="C211" s="193"/>
      <c r="D211" s="194"/>
      <c r="E211" s="195"/>
      <c r="F211" s="196"/>
      <c r="G211" s="193"/>
    </row>
    <row r="212" spans="1:7" ht="26.1" customHeight="1">
      <c r="A212" s="193"/>
      <c r="B212" s="193"/>
      <c r="C212" s="193"/>
      <c r="D212" s="194"/>
      <c r="E212" s="195"/>
      <c r="F212" s="196"/>
      <c r="G212" s="193"/>
    </row>
    <row r="213" spans="1:7" ht="26.1" customHeight="1">
      <c r="A213" s="193"/>
      <c r="B213" s="193"/>
      <c r="C213" s="193"/>
      <c r="D213" s="194"/>
      <c r="E213" s="195"/>
      <c r="F213" s="196"/>
      <c r="G213" s="193"/>
    </row>
    <row r="214" spans="1:7" ht="26.1" customHeight="1">
      <c r="A214" s="193"/>
      <c r="B214" s="193"/>
      <c r="C214" s="193"/>
      <c r="D214" s="194"/>
      <c r="E214" s="195"/>
      <c r="F214" s="196"/>
      <c r="G214" s="193"/>
    </row>
    <row r="215" spans="1:7" ht="26.1" customHeight="1">
      <c r="A215" s="193"/>
      <c r="B215" s="193"/>
      <c r="C215" s="193"/>
      <c r="D215" s="194"/>
      <c r="E215" s="195"/>
      <c r="F215" s="196"/>
      <c r="G215" s="193"/>
    </row>
    <row r="216" spans="1:7" ht="26.1" customHeight="1">
      <c r="A216" s="193"/>
      <c r="B216" s="193"/>
      <c r="C216" s="193"/>
      <c r="D216" s="194"/>
      <c r="E216" s="195"/>
      <c r="F216" s="196"/>
      <c r="G216" s="193"/>
    </row>
    <row r="217" spans="1:7" ht="26.1" customHeight="1">
      <c r="A217" s="193"/>
      <c r="B217" s="193"/>
      <c r="C217" s="193"/>
      <c r="D217" s="194"/>
      <c r="E217" s="195"/>
      <c r="F217" s="196"/>
      <c r="G217" s="193"/>
    </row>
    <row r="218" spans="1:7" ht="26.1" customHeight="1">
      <c r="A218" s="193"/>
      <c r="B218" s="193"/>
      <c r="C218" s="193"/>
      <c r="D218" s="194"/>
      <c r="E218" s="195"/>
      <c r="F218" s="196"/>
      <c r="G218" s="193"/>
    </row>
    <row r="219" spans="1:7" ht="26.1" customHeight="1">
      <c r="A219" s="193"/>
      <c r="B219" s="193"/>
      <c r="C219" s="193"/>
      <c r="D219" s="194"/>
      <c r="E219" s="195"/>
      <c r="F219" s="196"/>
      <c r="G219" s="193"/>
    </row>
    <row r="220" spans="1:7" ht="26.1" customHeight="1">
      <c r="A220" s="193"/>
      <c r="B220" s="193"/>
      <c r="C220" s="193"/>
      <c r="D220" s="194"/>
      <c r="E220" s="195"/>
      <c r="F220" s="196"/>
      <c r="G220" s="193"/>
    </row>
    <row r="221" spans="1:7" ht="26.1" customHeight="1">
      <c r="A221" s="193"/>
      <c r="B221" s="193"/>
      <c r="C221" s="193"/>
      <c r="D221" s="194"/>
      <c r="E221" s="195"/>
      <c r="F221" s="196"/>
      <c r="G221" s="193"/>
    </row>
    <row r="222" spans="1:7" ht="26.1" customHeight="1">
      <c r="A222" s="193"/>
      <c r="B222" s="193"/>
      <c r="C222" s="193"/>
      <c r="D222" s="194"/>
      <c r="E222" s="195"/>
      <c r="F222" s="196"/>
      <c r="G222" s="193"/>
    </row>
    <row r="223" spans="1:7" ht="26.1" customHeight="1">
      <c r="A223" s="193"/>
      <c r="B223" s="193"/>
      <c r="C223" s="193"/>
      <c r="D223" s="194"/>
      <c r="E223" s="195"/>
      <c r="F223" s="196"/>
      <c r="G223" s="193"/>
    </row>
    <row r="224" spans="1:7" ht="26.1" customHeight="1">
      <c r="A224" s="193"/>
      <c r="B224" s="193"/>
      <c r="C224" s="193"/>
      <c r="D224" s="194"/>
      <c r="E224" s="195"/>
      <c r="F224" s="196"/>
      <c r="G224" s="193"/>
    </row>
    <row r="225" spans="1:7" ht="26.1" customHeight="1">
      <c r="A225" s="193"/>
      <c r="B225" s="193"/>
      <c r="C225" s="193"/>
      <c r="D225" s="194"/>
      <c r="E225" s="195"/>
      <c r="F225" s="196"/>
      <c r="G225" s="193"/>
    </row>
    <row r="226" spans="1:7" ht="26.1" customHeight="1">
      <c r="A226" s="193"/>
      <c r="B226" s="193"/>
      <c r="C226" s="193"/>
      <c r="D226" s="194"/>
      <c r="E226" s="195"/>
      <c r="F226" s="196"/>
      <c r="G226" s="193"/>
    </row>
    <row r="227" spans="1:7" ht="26.1" customHeight="1">
      <c r="A227" s="193"/>
      <c r="B227" s="193"/>
      <c r="C227" s="193"/>
      <c r="D227" s="194"/>
      <c r="E227" s="195"/>
      <c r="F227" s="196"/>
      <c r="G227" s="193"/>
    </row>
    <row r="228" spans="1:7" ht="26.1" customHeight="1">
      <c r="A228" s="193"/>
      <c r="B228" s="193"/>
      <c r="C228" s="193"/>
      <c r="D228" s="194"/>
      <c r="E228" s="195"/>
      <c r="F228" s="196"/>
      <c r="G228" s="193"/>
    </row>
    <row r="229" spans="1:7" ht="26.1" customHeight="1">
      <c r="A229" s="193"/>
      <c r="B229" s="193"/>
      <c r="C229" s="193"/>
      <c r="D229" s="194"/>
      <c r="E229" s="195"/>
      <c r="F229" s="196"/>
      <c r="G229" s="193"/>
    </row>
    <row r="230" spans="1:7" ht="26.1" customHeight="1">
      <c r="A230" s="193"/>
      <c r="B230" s="193"/>
      <c r="C230" s="193"/>
      <c r="D230" s="194"/>
      <c r="E230" s="195"/>
      <c r="F230" s="196"/>
      <c r="G230" s="193"/>
    </row>
    <row r="231" spans="1:7" ht="26.1" customHeight="1">
      <c r="A231" s="193"/>
      <c r="B231" s="193"/>
      <c r="C231" s="193"/>
      <c r="D231" s="194"/>
      <c r="E231" s="195"/>
      <c r="F231" s="196"/>
      <c r="G231" s="193"/>
    </row>
    <row r="232" spans="1:7" ht="26.1" customHeight="1">
      <c r="A232" s="193"/>
      <c r="B232" s="193"/>
      <c r="C232" s="193"/>
      <c r="D232" s="194"/>
      <c r="E232" s="195"/>
      <c r="F232" s="196"/>
      <c r="G232" s="193"/>
    </row>
    <row r="233" spans="1:7" ht="26.1" customHeight="1">
      <c r="A233" s="193"/>
      <c r="B233" s="193"/>
      <c r="C233" s="193"/>
      <c r="D233" s="194"/>
      <c r="E233" s="195"/>
      <c r="F233" s="196"/>
      <c r="G233" s="193"/>
    </row>
    <row r="234" spans="1:7" ht="26.1" customHeight="1">
      <c r="A234" s="193"/>
      <c r="B234" s="193"/>
      <c r="C234" s="193"/>
      <c r="D234" s="194"/>
      <c r="E234" s="195"/>
      <c r="F234" s="196"/>
      <c r="G234" s="193"/>
    </row>
    <row r="235" spans="1:7" ht="26.1" customHeight="1">
      <c r="A235" s="193"/>
      <c r="B235" s="193"/>
      <c r="C235" s="193"/>
      <c r="D235" s="194"/>
      <c r="E235" s="195"/>
      <c r="F235" s="196"/>
      <c r="G235" s="193"/>
    </row>
    <row r="236" spans="1:7" ht="26.1" customHeight="1">
      <c r="A236" s="193"/>
      <c r="B236" s="193"/>
      <c r="C236" s="193"/>
      <c r="D236" s="194"/>
      <c r="E236" s="195"/>
      <c r="F236" s="196"/>
      <c r="G236" s="193"/>
    </row>
    <row r="237" spans="1:7" ht="26.1" customHeight="1">
      <c r="A237" s="193"/>
      <c r="B237" s="193"/>
      <c r="C237" s="193"/>
      <c r="D237" s="194"/>
      <c r="E237" s="195"/>
      <c r="F237" s="196"/>
      <c r="G237" s="193"/>
    </row>
    <row r="238" spans="1:7" ht="26.1" customHeight="1">
      <c r="A238" s="193"/>
      <c r="B238" s="193"/>
      <c r="C238" s="193"/>
      <c r="D238" s="194"/>
      <c r="E238" s="195"/>
      <c r="F238" s="196"/>
      <c r="G238" s="193"/>
    </row>
    <row r="239" spans="1:7" ht="26.1" customHeight="1">
      <c r="A239" s="193"/>
      <c r="B239" s="193"/>
      <c r="C239" s="193"/>
      <c r="D239" s="194"/>
      <c r="E239" s="195"/>
      <c r="F239" s="196"/>
      <c r="G239" s="193"/>
    </row>
    <row r="240" spans="1:7" ht="26.1" customHeight="1">
      <c r="A240" s="193"/>
      <c r="B240" s="193"/>
      <c r="C240" s="193"/>
      <c r="D240" s="194"/>
      <c r="E240" s="195"/>
      <c r="F240" s="196"/>
      <c r="G240" s="193"/>
    </row>
    <row r="241" spans="1:7" ht="26.1" customHeight="1">
      <c r="A241" s="193"/>
      <c r="B241" s="193"/>
      <c r="C241" s="193"/>
      <c r="D241" s="194"/>
      <c r="E241" s="195"/>
      <c r="F241" s="196"/>
      <c r="G241" s="193"/>
    </row>
    <row r="242" spans="1:7" ht="26.1" customHeight="1">
      <c r="A242" s="193"/>
      <c r="B242" s="193"/>
      <c r="C242" s="193"/>
      <c r="D242" s="194"/>
      <c r="E242" s="195"/>
      <c r="F242" s="196"/>
      <c r="G242" s="193"/>
    </row>
    <row r="243" spans="1:7" ht="26.1" customHeight="1">
      <c r="A243" s="193"/>
      <c r="B243" s="193"/>
      <c r="C243" s="193"/>
      <c r="D243" s="194"/>
      <c r="E243" s="195"/>
      <c r="F243" s="196"/>
      <c r="G243" s="193"/>
    </row>
    <row r="244" spans="1:7" ht="26.1" customHeight="1">
      <c r="A244" s="193"/>
      <c r="B244" s="193"/>
      <c r="C244" s="193"/>
      <c r="D244" s="194"/>
      <c r="E244" s="195"/>
      <c r="F244" s="196"/>
      <c r="G244" s="193"/>
    </row>
    <row r="245" spans="1:7" ht="26.1" customHeight="1">
      <c r="A245" s="193"/>
      <c r="B245" s="193"/>
      <c r="C245" s="193"/>
      <c r="D245" s="194"/>
      <c r="E245" s="195"/>
      <c r="F245" s="196"/>
      <c r="G245" s="193"/>
    </row>
    <row r="246" spans="1:7" ht="26.1" customHeight="1">
      <c r="A246" s="193"/>
      <c r="B246" s="193"/>
      <c r="C246" s="193"/>
      <c r="D246" s="194"/>
      <c r="E246" s="195"/>
      <c r="F246" s="196"/>
      <c r="G246" s="193"/>
    </row>
    <row r="247" spans="1:7" ht="26.1" customHeight="1">
      <c r="A247" s="193"/>
      <c r="B247" s="193"/>
      <c r="C247" s="193"/>
      <c r="D247" s="194"/>
      <c r="E247" s="195"/>
      <c r="F247" s="196"/>
      <c r="G247" s="193"/>
    </row>
    <row r="248" spans="1:7" ht="26.1" customHeight="1">
      <c r="A248" s="193"/>
      <c r="B248" s="193"/>
      <c r="C248" s="193"/>
      <c r="D248" s="194"/>
      <c r="E248" s="195"/>
      <c r="F248" s="196"/>
      <c r="G248" s="193"/>
    </row>
    <row r="249" spans="1:7" ht="26.1" customHeight="1">
      <c r="A249" s="193"/>
      <c r="B249" s="193"/>
      <c r="C249" s="193"/>
      <c r="D249" s="194"/>
      <c r="E249" s="195"/>
      <c r="F249" s="196"/>
      <c r="G249" s="193"/>
    </row>
    <row r="250" spans="1:7" ht="26.1" customHeight="1">
      <c r="A250" s="193"/>
      <c r="B250" s="193"/>
      <c r="C250" s="193"/>
      <c r="D250" s="194"/>
      <c r="E250" s="195"/>
      <c r="F250" s="196"/>
      <c r="G250" s="193"/>
    </row>
    <row r="251" spans="1:7" ht="26.1" customHeight="1">
      <c r="A251" s="193"/>
      <c r="B251" s="193"/>
      <c r="C251" s="193"/>
      <c r="D251" s="194"/>
      <c r="E251" s="195"/>
      <c r="F251" s="196"/>
      <c r="G251" s="193"/>
    </row>
    <row r="252" spans="1:7" ht="26.1" customHeight="1">
      <c r="A252" s="193"/>
      <c r="B252" s="193"/>
      <c r="C252" s="193"/>
      <c r="D252" s="194"/>
      <c r="E252" s="195"/>
      <c r="F252" s="196"/>
      <c r="G252" s="193"/>
    </row>
    <row r="253" spans="1:7" ht="26.1" customHeight="1">
      <c r="A253" s="193"/>
      <c r="B253" s="193"/>
      <c r="C253" s="193"/>
      <c r="D253" s="194"/>
      <c r="E253" s="195"/>
      <c r="F253" s="196"/>
      <c r="G253" s="193"/>
    </row>
    <row r="254" spans="1:7" ht="26.1" customHeight="1">
      <c r="A254" s="193"/>
      <c r="B254" s="193"/>
      <c r="C254" s="193"/>
      <c r="D254" s="194"/>
      <c r="E254" s="195"/>
      <c r="F254" s="196"/>
      <c r="G254" s="193"/>
    </row>
    <row r="255" spans="1:7" ht="26.1" customHeight="1">
      <c r="A255" s="193"/>
      <c r="B255" s="193"/>
      <c r="C255" s="193"/>
      <c r="D255" s="194"/>
      <c r="E255" s="195"/>
      <c r="F255" s="196"/>
      <c r="G255" s="193"/>
    </row>
    <row r="256" spans="1:7" ht="26.1" customHeight="1">
      <c r="A256" s="193"/>
      <c r="B256" s="193"/>
      <c r="C256" s="193"/>
      <c r="D256" s="194"/>
      <c r="E256" s="195"/>
      <c r="F256" s="196"/>
      <c r="G256" s="193"/>
    </row>
    <row r="257" spans="1:7" ht="26.1" customHeight="1">
      <c r="A257" s="193"/>
      <c r="B257" s="193"/>
      <c r="C257" s="193"/>
      <c r="D257" s="194"/>
      <c r="E257" s="195"/>
      <c r="F257" s="196"/>
      <c r="G257" s="193"/>
    </row>
    <row r="258" spans="1:7" ht="26.1" customHeight="1">
      <c r="A258" s="193"/>
      <c r="B258" s="193"/>
      <c r="C258" s="193"/>
      <c r="D258" s="194"/>
      <c r="E258" s="195"/>
      <c r="F258" s="196"/>
      <c r="G258" s="193"/>
    </row>
    <row r="259" spans="1:7" ht="26.1" customHeight="1">
      <c r="A259" s="193"/>
      <c r="B259" s="193"/>
      <c r="C259" s="193"/>
      <c r="D259" s="194"/>
      <c r="E259" s="195"/>
      <c r="F259" s="196"/>
      <c r="G259" s="193"/>
    </row>
    <row r="260" spans="1:7" ht="26.1" customHeight="1">
      <c r="A260" s="193"/>
      <c r="B260" s="193"/>
      <c r="C260" s="193"/>
      <c r="D260" s="194"/>
      <c r="E260" s="195"/>
      <c r="F260" s="196"/>
      <c r="G260" s="193"/>
    </row>
    <row r="261" spans="1:7" ht="26.1" customHeight="1">
      <c r="A261" s="193"/>
      <c r="B261" s="193"/>
      <c r="C261" s="193"/>
      <c r="D261" s="194"/>
      <c r="E261" s="195"/>
      <c r="F261" s="196"/>
      <c r="G261" s="193"/>
    </row>
    <row r="262" spans="1:7" ht="26.1" customHeight="1">
      <c r="A262" s="193"/>
      <c r="B262" s="193"/>
      <c r="C262" s="193"/>
      <c r="D262" s="194"/>
      <c r="E262" s="195"/>
      <c r="F262" s="196"/>
      <c r="G262" s="193"/>
    </row>
    <row r="263" spans="1:7" ht="26.1" customHeight="1">
      <c r="A263" s="193"/>
      <c r="B263" s="193"/>
      <c r="C263" s="193"/>
      <c r="D263" s="194"/>
      <c r="E263" s="195"/>
      <c r="F263" s="196"/>
      <c r="G263" s="193"/>
    </row>
    <row r="264" spans="1:7" ht="26.1" customHeight="1">
      <c r="A264" s="193"/>
      <c r="B264" s="193"/>
      <c r="C264" s="193"/>
      <c r="D264" s="194"/>
      <c r="E264" s="195"/>
      <c r="F264" s="196"/>
      <c r="G264" s="193"/>
    </row>
    <row r="265" spans="1:7" ht="26.1" customHeight="1">
      <c r="A265" s="193"/>
      <c r="B265" s="193"/>
      <c r="C265" s="193"/>
      <c r="D265" s="194"/>
      <c r="E265" s="195"/>
      <c r="F265" s="196"/>
      <c r="G265" s="193"/>
    </row>
    <row r="266" spans="1:7" ht="26.1" customHeight="1">
      <c r="A266" s="193"/>
      <c r="B266" s="193"/>
      <c r="C266" s="193"/>
      <c r="D266" s="194"/>
      <c r="E266" s="195"/>
      <c r="F266" s="196"/>
      <c r="G266" s="193"/>
    </row>
    <row r="267" spans="1:7" ht="26.1" customHeight="1">
      <c r="A267" s="193"/>
      <c r="B267" s="193"/>
      <c r="C267" s="193"/>
      <c r="D267" s="194"/>
      <c r="E267" s="195"/>
      <c r="F267" s="196"/>
      <c r="G267" s="193"/>
    </row>
    <row r="268" spans="1:7" ht="26.1" customHeight="1">
      <c r="A268" s="193"/>
      <c r="B268" s="193"/>
      <c r="C268" s="193"/>
      <c r="D268" s="194"/>
      <c r="E268" s="195"/>
      <c r="F268" s="196"/>
      <c r="G268" s="193"/>
    </row>
    <row r="269" spans="1:7" ht="26.1" customHeight="1">
      <c r="A269" s="193"/>
      <c r="B269" s="193"/>
      <c r="C269" s="193"/>
      <c r="D269" s="194"/>
      <c r="E269" s="195"/>
      <c r="F269" s="196"/>
      <c r="G269" s="193"/>
    </row>
    <row r="270" spans="1:7" ht="26.1" customHeight="1">
      <c r="A270" s="193"/>
      <c r="B270" s="193"/>
      <c r="C270" s="193"/>
      <c r="D270" s="194"/>
      <c r="E270" s="195"/>
      <c r="F270" s="196"/>
      <c r="G270" s="193"/>
    </row>
    <row r="271" spans="1:7" ht="26.1" customHeight="1">
      <c r="A271" s="193"/>
      <c r="B271" s="193"/>
      <c r="C271" s="193"/>
      <c r="D271" s="194"/>
      <c r="E271" s="195"/>
      <c r="F271" s="196"/>
      <c r="G271" s="193"/>
    </row>
    <row r="272" spans="1:7" ht="26.1" customHeight="1">
      <c r="A272" s="193"/>
      <c r="B272" s="193"/>
      <c r="C272" s="193"/>
      <c r="D272" s="194"/>
      <c r="E272" s="195"/>
      <c r="F272" s="196"/>
      <c r="G272" s="193"/>
    </row>
    <row r="273" spans="1:7" ht="26.1" customHeight="1">
      <c r="A273" s="193"/>
      <c r="B273" s="193"/>
      <c r="C273" s="193"/>
      <c r="D273" s="194"/>
      <c r="E273" s="195"/>
      <c r="F273" s="196"/>
      <c r="G273" s="193"/>
    </row>
    <row r="274" spans="1:7" ht="26.1" customHeight="1">
      <c r="A274" s="193"/>
      <c r="B274" s="193"/>
      <c r="C274" s="193"/>
      <c r="D274" s="194"/>
      <c r="E274" s="195"/>
      <c r="F274" s="196"/>
      <c r="G274" s="193"/>
    </row>
    <row r="275" spans="1:7" ht="26.1" customHeight="1">
      <c r="A275" s="193"/>
      <c r="B275" s="193"/>
      <c r="C275" s="193"/>
      <c r="D275" s="194"/>
      <c r="E275" s="195"/>
      <c r="F275" s="196"/>
      <c r="G275" s="193"/>
    </row>
    <row r="276" spans="1:7" ht="26.1" customHeight="1">
      <c r="A276" s="193"/>
      <c r="B276" s="193"/>
      <c r="C276" s="193"/>
      <c r="D276" s="194"/>
      <c r="E276" s="195"/>
      <c r="F276" s="196"/>
      <c r="G276" s="193"/>
    </row>
    <row r="277" spans="1:7" ht="26.1" customHeight="1">
      <c r="A277" s="193"/>
      <c r="B277" s="193"/>
      <c r="C277" s="193"/>
      <c r="D277" s="194"/>
      <c r="E277" s="195"/>
      <c r="F277" s="196"/>
      <c r="G277" s="193"/>
    </row>
    <row r="278" spans="1:7" ht="26.1" customHeight="1">
      <c r="A278" s="193"/>
      <c r="B278" s="193"/>
      <c r="C278" s="193"/>
      <c r="D278" s="194"/>
      <c r="E278" s="195"/>
      <c r="F278" s="196"/>
      <c r="G278" s="193"/>
    </row>
    <row r="279" spans="1:7" ht="26.1" customHeight="1">
      <c r="A279" s="193"/>
      <c r="B279" s="193"/>
      <c r="C279" s="193"/>
      <c r="D279" s="194"/>
      <c r="E279" s="195"/>
      <c r="F279" s="196"/>
      <c r="G279" s="193"/>
    </row>
    <row r="280" spans="1:7" ht="26.1" customHeight="1">
      <c r="A280" s="193"/>
      <c r="B280" s="193"/>
      <c r="C280" s="193"/>
      <c r="D280" s="194"/>
      <c r="E280" s="195"/>
      <c r="F280" s="196"/>
      <c r="G280" s="193"/>
    </row>
    <row r="281" spans="1:7" ht="26.1" customHeight="1">
      <c r="A281" s="193"/>
      <c r="B281" s="193"/>
      <c r="C281" s="193"/>
      <c r="D281" s="194"/>
      <c r="E281" s="195"/>
      <c r="F281" s="196"/>
      <c r="G281" s="193"/>
    </row>
    <row r="282" spans="1:7" ht="26.1" customHeight="1">
      <c r="A282" s="193"/>
      <c r="B282" s="193"/>
      <c r="C282" s="193"/>
      <c r="D282" s="194"/>
      <c r="E282" s="195"/>
      <c r="F282" s="196"/>
      <c r="G282" s="193"/>
    </row>
    <row r="283" spans="1:7" ht="26.1" customHeight="1">
      <c r="A283" s="193"/>
      <c r="B283" s="193"/>
      <c r="C283" s="193"/>
      <c r="D283" s="194"/>
      <c r="E283" s="195"/>
      <c r="F283" s="196"/>
      <c r="G283" s="193"/>
    </row>
    <row r="284" spans="1:7" ht="26.1" customHeight="1">
      <c r="A284" s="193"/>
      <c r="B284" s="193"/>
      <c r="C284" s="193"/>
      <c r="D284" s="194"/>
      <c r="E284" s="195"/>
      <c r="F284" s="196"/>
      <c r="G284" s="193"/>
    </row>
    <row r="285" spans="1:7" ht="26.1" customHeight="1">
      <c r="A285" s="193"/>
      <c r="B285" s="193"/>
      <c r="C285" s="193"/>
      <c r="D285" s="194"/>
      <c r="E285" s="195"/>
      <c r="F285" s="196"/>
      <c r="G285" s="193"/>
    </row>
    <row r="286" spans="1:7" ht="26.1" customHeight="1">
      <c r="A286" s="193"/>
      <c r="B286" s="193"/>
      <c r="C286" s="193"/>
      <c r="D286" s="194"/>
      <c r="E286" s="195"/>
      <c r="F286" s="196"/>
      <c r="G286" s="193"/>
    </row>
    <row r="287" spans="1:7" ht="26.1" customHeight="1">
      <c r="A287" s="193"/>
      <c r="B287" s="193"/>
      <c r="C287" s="193"/>
      <c r="D287" s="194"/>
      <c r="E287" s="195"/>
      <c r="F287" s="196"/>
      <c r="G287" s="193"/>
    </row>
    <row r="288" spans="1:7" ht="26.1" customHeight="1">
      <c r="A288" s="193"/>
      <c r="B288" s="193"/>
      <c r="C288" s="193"/>
      <c r="D288" s="194"/>
      <c r="E288" s="195"/>
      <c r="F288" s="196"/>
      <c r="G288" s="193"/>
    </row>
    <row r="289" spans="1:7" ht="26.1" customHeight="1">
      <c r="A289" s="193"/>
      <c r="B289" s="193"/>
      <c r="C289" s="193"/>
      <c r="D289" s="194"/>
      <c r="E289" s="195"/>
      <c r="F289" s="196"/>
      <c r="G289" s="193"/>
    </row>
    <row r="290" spans="1:7" ht="26.1" customHeight="1">
      <c r="A290" s="193"/>
      <c r="B290" s="193"/>
      <c r="C290" s="193"/>
      <c r="D290" s="194"/>
      <c r="E290" s="195"/>
      <c r="F290" s="196"/>
      <c r="G290" s="193"/>
    </row>
    <row r="291" spans="1:7" ht="26.1" customHeight="1">
      <c r="A291" s="193"/>
      <c r="B291" s="193"/>
      <c r="C291" s="193"/>
      <c r="D291" s="194"/>
      <c r="E291" s="195"/>
      <c r="F291" s="196"/>
      <c r="G291" s="193"/>
    </row>
    <row r="292" spans="1:7" ht="26.1" customHeight="1">
      <c r="A292" s="193"/>
      <c r="B292" s="193"/>
      <c r="C292" s="193"/>
      <c r="D292" s="194"/>
      <c r="E292" s="195"/>
      <c r="F292" s="196"/>
      <c r="G292" s="193"/>
    </row>
    <row r="293" spans="1:7" ht="26.1" customHeight="1">
      <c r="A293" s="193"/>
      <c r="B293" s="193"/>
      <c r="C293" s="193"/>
      <c r="D293" s="194"/>
      <c r="E293" s="195"/>
      <c r="F293" s="196"/>
      <c r="G293" s="193"/>
    </row>
    <row r="294" spans="1:7" ht="26.1" customHeight="1">
      <c r="A294" s="193"/>
      <c r="B294" s="193"/>
      <c r="C294" s="193"/>
      <c r="D294" s="194"/>
      <c r="E294" s="195"/>
      <c r="F294" s="196"/>
      <c r="G294" s="193"/>
    </row>
    <row r="295" spans="1:7" ht="26.1" customHeight="1">
      <c r="A295" s="193"/>
      <c r="B295" s="193"/>
      <c r="C295" s="193"/>
      <c r="D295" s="194"/>
      <c r="E295" s="195"/>
      <c r="F295" s="196"/>
      <c r="G295" s="193"/>
    </row>
    <row r="296" spans="1:7" ht="26.1" customHeight="1">
      <c r="A296" s="193"/>
      <c r="B296" s="193"/>
      <c r="C296" s="193"/>
      <c r="D296" s="194"/>
      <c r="E296" s="195"/>
      <c r="F296" s="196"/>
      <c r="G296" s="193"/>
    </row>
    <row r="297" spans="1:7" ht="26.1" customHeight="1">
      <c r="A297" s="193"/>
      <c r="B297" s="193"/>
      <c r="C297" s="193"/>
      <c r="D297" s="194"/>
      <c r="E297" s="195"/>
      <c r="F297" s="196"/>
      <c r="G297" s="193"/>
    </row>
    <row r="298" spans="1:7" ht="26.1" customHeight="1">
      <c r="A298" s="193"/>
      <c r="B298" s="193"/>
      <c r="C298" s="193"/>
      <c r="D298" s="194"/>
      <c r="E298" s="195"/>
      <c r="F298" s="196"/>
      <c r="G298" s="193"/>
    </row>
    <row r="299" spans="1:7" ht="26.1" customHeight="1">
      <c r="A299" s="193"/>
      <c r="B299" s="193"/>
      <c r="C299" s="193"/>
      <c r="D299" s="194"/>
      <c r="E299" s="195"/>
      <c r="F299" s="196"/>
      <c r="G299" s="193"/>
    </row>
    <row r="300" spans="1:7" ht="26.1" customHeight="1">
      <c r="A300" s="193"/>
      <c r="B300" s="193"/>
      <c r="C300" s="193"/>
      <c r="D300" s="194"/>
      <c r="E300" s="195"/>
      <c r="F300" s="196"/>
      <c r="G300" s="193"/>
    </row>
    <row r="301" spans="1:7" ht="26.1" customHeight="1">
      <c r="A301" s="193"/>
      <c r="B301" s="193"/>
      <c r="C301" s="193"/>
      <c r="D301" s="194"/>
      <c r="E301" s="195"/>
      <c r="F301" s="196"/>
      <c r="G301" s="193"/>
    </row>
    <row r="302" spans="1:7" ht="26.1" customHeight="1">
      <c r="A302" s="193"/>
      <c r="B302" s="193"/>
      <c r="C302" s="193"/>
      <c r="D302" s="194"/>
      <c r="E302" s="195"/>
      <c r="F302" s="196"/>
      <c r="G302" s="193"/>
    </row>
    <row r="303" spans="1:7" ht="26.1" customHeight="1">
      <c r="A303" s="193"/>
      <c r="B303" s="193"/>
      <c r="C303" s="193"/>
      <c r="D303" s="194"/>
      <c r="E303" s="195"/>
      <c r="F303" s="196"/>
      <c r="G303" s="193"/>
    </row>
    <row r="304" spans="1:7" ht="26.1" customHeight="1">
      <c r="A304" s="193"/>
      <c r="B304" s="193"/>
      <c r="C304" s="193"/>
      <c r="D304" s="194"/>
      <c r="E304" s="195"/>
      <c r="F304" s="196"/>
      <c r="G304" s="193"/>
    </row>
    <row r="305" spans="1:7" ht="26.1" customHeight="1">
      <c r="A305" s="193"/>
      <c r="B305" s="193"/>
      <c r="C305" s="193"/>
      <c r="D305" s="194"/>
      <c r="E305" s="195"/>
      <c r="F305" s="196"/>
      <c r="G305" s="193"/>
    </row>
    <row r="306" spans="1:7" ht="26.1" customHeight="1">
      <c r="A306" s="193"/>
      <c r="B306" s="193"/>
      <c r="C306" s="193"/>
      <c r="D306" s="194"/>
      <c r="E306" s="195"/>
      <c r="F306" s="196"/>
      <c r="G306" s="193"/>
    </row>
    <row r="307" spans="1:7" ht="26.1" customHeight="1">
      <c r="A307" s="193"/>
      <c r="B307" s="193"/>
      <c r="C307" s="193"/>
      <c r="D307" s="194"/>
      <c r="E307" s="195"/>
      <c r="F307" s="196"/>
      <c r="G307" s="193"/>
    </row>
    <row r="308" spans="1:7" ht="26.1" customHeight="1">
      <c r="A308" s="193"/>
      <c r="B308" s="193"/>
      <c r="C308" s="193"/>
      <c r="D308" s="194"/>
      <c r="E308" s="195"/>
      <c r="F308" s="196"/>
      <c r="G308" s="193"/>
    </row>
    <row r="309" spans="1:7" ht="26.1" customHeight="1">
      <c r="A309" s="193"/>
      <c r="B309" s="193"/>
      <c r="C309" s="193"/>
      <c r="D309" s="194"/>
      <c r="E309" s="195"/>
      <c r="F309" s="196"/>
      <c r="G309" s="193"/>
    </row>
    <row r="310" spans="1:7" ht="26.1" customHeight="1">
      <c r="A310" s="193"/>
      <c r="B310" s="193"/>
      <c r="C310" s="193"/>
      <c r="D310" s="194"/>
      <c r="E310" s="195"/>
      <c r="F310" s="196"/>
      <c r="G310" s="193"/>
    </row>
    <row r="311" spans="1:7" ht="26.1" customHeight="1">
      <c r="A311" s="193"/>
      <c r="B311" s="193"/>
      <c r="C311" s="193"/>
      <c r="D311" s="194"/>
      <c r="E311" s="195"/>
      <c r="F311" s="196"/>
      <c r="G311" s="193"/>
    </row>
    <row r="312" spans="1:7" ht="26.1" customHeight="1">
      <c r="A312" s="193"/>
      <c r="B312" s="193"/>
      <c r="C312" s="193"/>
      <c r="D312" s="194"/>
      <c r="E312" s="195"/>
      <c r="F312" s="196"/>
      <c r="G312" s="193"/>
    </row>
    <row r="313" spans="1:7" ht="26.1" customHeight="1">
      <c r="A313" s="193"/>
      <c r="B313" s="193"/>
      <c r="C313" s="193"/>
      <c r="D313" s="194"/>
      <c r="E313" s="195"/>
      <c r="F313" s="196"/>
      <c r="G313" s="193"/>
    </row>
    <row r="314" spans="1:7" ht="26.1" customHeight="1">
      <c r="A314" s="193"/>
      <c r="B314" s="193"/>
      <c r="C314" s="193"/>
      <c r="D314" s="194"/>
      <c r="E314" s="195"/>
      <c r="F314" s="196"/>
      <c r="G314" s="193"/>
    </row>
    <row r="315" spans="1:7" ht="26.1" customHeight="1">
      <c r="A315" s="193"/>
      <c r="B315" s="193"/>
      <c r="C315" s="193"/>
      <c r="D315" s="194"/>
      <c r="E315" s="195"/>
      <c r="F315" s="196"/>
      <c r="G315" s="193"/>
    </row>
    <row r="316" spans="1:7" ht="26.1" customHeight="1">
      <c r="A316" s="193"/>
      <c r="B316" s="193"/>
      <c r="C316" s="193"/>
      <c r="D316" s="194"/>
      <c r="E316" s="195"/>
      <c r="F316" s="196"/>
      <c r="G316" s="193"/>
    </row>
    <row r="317" spans="1:7" ht="26.1" customHeight="1">
      <c r="A317" s="193"/>
      <c r="B317" s="193"/>
      <c r="C317" s="193"/>
      <c r="D317" s="194"/>
      <c r="E317" s="195"/>
      <c r="F317" s="196"/>
      <c r="G317" s="193"/>
    </row>
    <row r="318" spans="1:7" ht="26.1" customHeight="1">
      <c r="A318" s="193"/>
      <c r="B318" s="193"/>
      <c r="C318" s="193"/>
      <c r="D318" s="194"/>
      <c r="E318" s="195"/>
      <c r="F318" s="196"/>
      <c r="G318" s="193"/>
    </row>
    <row r="319" spans="1:7" ht="26.1" customHeight="1">
      <c r="A319" s="193"/>
      <c r="B319" s="193"/>
      <c r="C319" s="193"/>
      <c r="D319" s="194"/>
      <c r="E319" s="195"/>
      <c r="F319" s="196"/>
      <c r="G319" s="193"/>
    </row>
    <row r="320" spans="1:7" ht="26.1" customHeight="1">
      <c r="A320" s="193"/>
      <c r="B320" s="193"/>
      <c r="C320" s="193"/>
      <c r="D320" s="194"/>
      <c r="E320" s="195"/>
      <c r="F320" s="196"/>
      <c r="G320" s="193"/>
    </row>
    <row r="321" spans="1:7" ht="26.1" customHeight="1">
      <c r="A321" s="193"/>
      <c r="B321" s="193"/>
      <c r="C321" s="193"/>
      <c r="D321" s="194"/>
      <c r="E321" s="195"/>
      <c r="F321" s="196"/>
      <c r="G321" s="193"/>
    </row>
    <row r="322" spans="1:7" ht="26.1" customHeight="1">
      <c r="A322" s="193"/>
      <c r="B322" s="193"/>
      <c r="C322" s="193"/>
      <c r="D322" s="194"/>
      <c r="E322" s="195"/>
      <c r="F322" s="196"/>
      <c r="G322" s="193"/>
    </row>
    <row r="323" spans="1:7" ht="26.1" customHeight="1">
      <c r="A323" s="193"/>
      <c r="B323" s="193"/>
      <c r="C323" s="193"/>
      <c r="D323" s="194"/>
      <c r="E323" s="195"/>
      <c r="F323" s="196"/>
      <c r="G323" s="193"/>
    </row>
    <row r="324" spans="1:7" ht="26.1" customHeight="1">
      <c r="A324" s="193"/>
      <c r="B324" s="193"/>
      <c r="C324" s="193"/>
      <c r="D324" s="194"/>
      <c r="E324" s="195"/>
      <c r="F324" s="196"/>
      <c r="G324" s="193"/>
    </row>
    <row r="325" spans="1:7" ht="26.1" customHeight="1">
      <c r="A325" s="193"/>
      <c r="B325" s="193"/>
      <c r="C325" s="193"/>
      <c r="D325" s="194"/>
      <c r="E325" s="195"/>
      <c r="F325" s="196"/>
      <c r="G325" s="193"/>
    </row>
    <row r="326" spans="1:7" ht="26.1" customHeight="1">
      <c r="A326" s="193"/>
      <c r="B326" s="193"/>
      <c r="C326" s="193"/>
      <c r="D326" s="194"/>
      <c r="E326" s="195"/>
      <c r="F326" s="196"/>
      <c r="G326" s="193"/>
    </row>
    <row r="327" spans="1:7" ht="26.1" customHeight="1">
      <c r="A327" s="193"/>
      <c r="B327" s="193"/>
      <c r="C327" s="193"/>
      <c r="D327" s="194"/>
      <c r="E327" s="195"/>
      <c r="F327" s="196"/>
      <c r="G327" s="193"/>
    </row>
    <row r="328" spans="1:7" ht="26.1" customHeight="1">
      <c r="A328" s="193"/>
      <c r="B328" s="193"/>
      <c r="C328" s="193"/>
      <c r="D328" s="194"/>
      <c r="E328" s="195"/>
      <c r="F328" s="196"/>
      <c r="G328" s="193"/>
    </row>
    <row r="329" spans="1:7" ht="26.1" customHeight="1">
      <c r="A329" s="193"/>
      <c r="B329" s="193"/>
      <c r="C329" s="193"/>
      <c r="D329" s="194"/>
      <c r="E329" s="195"/>
      <c r="F329" s="196"/>
      <c r="G329" s="193"/>
    </row>
    <row r="330" spans="1:7" ht="26.1" customHeight="1">
      <c r="A330" s="193"/>
      <c r="B330" s="193"/>
      <c r="C330" s="193"/>
      <c r="D330" s="194"/>
      <c r="E330" s="195"/>
      <c r="F330" s="196"/>
      <c r="G330" s="193"/>
    </row>
    <row r="331" spans="1:7" ht="26.1" customHeight="1">
      <c r="A331" s="193"/>
      <c r="B331" s="193"/>
      <c r="C331" s="193"/>
      <c r="D331" s="194"/>
      <c r="E331" s="195"/>
      <c r="F331" s="196"/>
      <c r="G331" s="193"/>
    </row>
    <row r="332" spans="1:7" ht="26.1" customHeight="1">
      <c r="A332" s="193"/>
      <c r="B332" s="193"/>
      <c r="C332" s="193"/>
      <c r="D332" s="194"/>
      <c r="E332" s="195"/>
      <c r="F332" s="196"/>
      <c r="G332" s="193"/>
    </row>
    <row r="333" spans="1:7" ht="26.1" customHeight="1">
      <c r="A333" s="193"/>
      <c r="B333" s="193"/>
      <c r="C333" s="193"/>
      <c r="D333" s="194"/>
      <c r="E333" s="195"/>
      <c r="F333" s="196"/>
      <c r="G333" s="193"/>
    </row>
    <row r="334" spans="1:7" ht="26.1" customHeight="1">
      <c r="A334" s="193"/>
      <c r="B334" s="193"/>
      <c r="C334" s="193"/>
      <c r="D334" s="194"/>
      <c r="E334" s="195"/>
      <c r="F334" s="196"/>
      <c r="G334" s="193"/>
    </row>
    <row r="335" spans="1:7" ht="26.1" customHeight="1">
      <c r="A335" s="193"/>
      <c r="B335" s="193"/>
      <c r="C335" s="193"/>
      <c r="D335" s="194"/>
      <c r="E335" s="195"/>
      <c r="F335" s="196"/>
      <c r="G335" s="193"/>
    </row>
    <row r="336" spans="1:7" ht="26.1" customHeight="1">
      <c r="A336" s="193"/>
      <c r="B336" s="193"/>
      <c r="C336" s="193"/>
      <c r="D336" s="194"/>
      <c r="E336" s="195"/>
      <c r="F336" s="196"/>
      <c r="G336" s="193"/>
    </row>
    <row r="337" spans="1:7" ht="26.1" customHeight="1">
      <c r="A337" s="193"/>
      <c r="B337" s="193"/>
      <c r="C337" s="193"/>
      <c r="D337" s="194"/>
      <c r="E337" s="195"/>
      <c r="F337" s="196"/>
      <c r="G337" s="193"/>
    </row>
    <row r="338" spans="1:7" ht="26.1" customHeight="1">
      <c r="A338" s="193"/>
      <c r="B338" s="193"/>
      <c r="C338" s="193"/>
      <c r="D338" s="194"/>
      <c r="E338" s="195"/>
      <c r="F338" s="196"/>
      <c r="G338" s="193"/>
    </row>
    <row r="339" spans="1:7" ht="26.1" customHeight="1">
      <c r="A339" s="193"/>
      <c r="B339" s="193"/>
      <c r="C339" s="193"/>
      <c r="D339" s="194"/>
      <c r="E339" s="195"/>
      <c r="F339" s="196"/>
      <c r="G339" s="193"/>
    </row>
    <row r="340" spans="1:7" ht="26.1" customHeight="1">
      <c r="A340" s="193"/>
      <c r="B340" s="193"/>
      <c r="C340" s="193"/>
      <c r="D340" s="194"/>
      <c r="E340" s="195"/>
      <c r="F340" s="196"/>
      <c r="G340" s="193"/>
    </row>
    <row r="341" spans="1:7" ht="26.1" customHeight="1">
      <c r="A341" s="193"/>
      <c r="B341" s="193"/>
      <c r="C341" s="193"/>
      <c r="D341" s="194"/>
      <c r="E341" s="195"/>
      <c r="F341" s="196"/>
      <c r="G341" s="193"/>
    </row>
    <row r="342" spans="1:7" ht="26.1" customHeight="1">
      <c r="A342" s="193"/>
      <c r="B342" s="193"/>
      <c r="C342" s="193"/>
      <c r="D342" s="194"/>
      <c r="E342" s="195"/>
      <c r="F342" s="196"/>
      <c r="G342" s="193"/>
    </row>
    <row r="343" spans="1:7" ht="26.1" customHeight="1">
      <c r="A343" s="193"/>
      <c r="B343" s="193"/>
      <c r="C343" s="193"/>
      <c r="D343" s="194"/>
      <c r="E343" s="195"/>
      <c r="F343" s="196"/>
      <c r="G343" s="193"/>
    </row>
    <row r="344" spans="1:7" ht="26.1" customHeight="1">
      <c r="A344" s="193"/>
      <c r="B344" s="193"/>
      <c r="C344" s="193"/>
      <c r="D344" s="194"/>
      <c r="E344" s="195"/>
      <c r="F344" s="196"/>
      <c r="G344" s="193"/>
    </row>
    <row r="345" spans="1:7" ht="26.1" customHeight="1">
      <c r="A345" s="193"/>
      <c r="B345" s="193"/>
      <c r="C345" s="193"/>
      <c r="D345" s="194"/>
      <c r="E345" s="195"/>
      <c r="F345" s="196"/>
      <c r="G345" s="193"/>
    </row>
    <row r="346" spans="1:7" ht="26.1" customHeight="1">
      <c r="A346" s="193"/>
      <c r="B346" s="193"/>
      <c r="C346" s="193"/>
      <c r="D346" s="194"/>
      <c r="E346" s="195"/>
      <c r="F346" s="196"/>
      <c r="G346" s="193"/>
    </row>
    <row r="347" spans="1:7" ht="26.1" customHeight="1">
      <c r="A347" s="193"/>
      <c r="B347" s="193"/>
      <c r="C347" s="193"/>
      <c r="D347" s="194"/>
      <c r="E347" s="195"/>
      <c r="F347" s="196"/>
      <c r="G347" s="193"/>
    </row>
    <row r="348" spans="1:7" ht="26.1" customHeight="1">
      <c r="A348" s="193"/>
      <c r="B348" s="193"/>
      <c r="C348" s="193"/>
      <c r="D348" s="194"/>
      <c r="E348" s="195"/>
      <c r="F348" s="196"/>
      <c r="G348" s="193"/>
    </row>
    <row r="349" spans="1:7" ht="26.1" customHeight="1">
      <c r="A349" s="193"/>
      <c r="B349" s="193"/>
      <c r="C349" s="193"/>
      <c r="D349" s="194"/>
      <c r="E349" s="195"/>
      <c r="F349" s="196"/>
      <c r="G349" s="193"/>
    </row>
    <row r="350" spans="1:7" ht="26.1" customHeight="1">
      <c r="A350" s="193"/>
      <c r="B350" s="193"/>
      <c r="C350" s="193"/>
      <c r="D350" s="194"/>
      <c r="E350" s="195"/>
      <c r="F350" s="196"/>
      <c r="G350" s="193"/>
    </row>
    <row r="351" spans="1:7" ht="26.1" customHeight="1">
      <c r="A351" s="193"/>
      <c r="B351" s="193"/>
      <c r="C351" s="193"/>
      <c r="D351" s="194"/>
      <c r="E351" s="195"/>
      <c r="F351" s="196"/>
      <c r="G351" s="193"/>
    </row>
    <row r="352" spans="1:7" ht="26.1" customHeight="1">
      <c r="A352" s="193"/>
      <c r="B352" s="193"/>
      <c r="C352" s="193"/>
      <c r="D352" s="194"/>
      <c r="E352" s="195"/>
      <c r="F352" s="196"/>
      <c r="G352" s="193"/>
    </row>
    <row r="353" spans="1:7" ht="26.1" customHeight="1">
      <c r="A353" s="193"/>
      <c r="B353" s="193"/>
      <c r="C353" s="193"/>
      <c r="D353" s="194"/>
      <c r="E353" s="195"/>
      <c r="F353" s="196"/>
      <c r="G353" s="193"/>
    </row>
    <row r="354" spans="1:7" ht="26.1" customHeight="1">
      <c r="A354" s="193"/>
      <c r="B354" s="193"/>
      <c r="C354" s="193"/>
      <c r="D354" s="194"/>
      <c r="E354" s="195"/>
      <c r="F354" s="196"/>
      <c r="G354" s="193"/>
    </row>
    <row r="355" spans="1:7" ht="26.1" customHeight="1">
      <c r="A355" s="193"/>
      <c r="B355" s="193"/>
      <c r="C355" s="193"/>
      <c r="D355" s="194"/>
      <c r="E355" s="195"/>
      <c r="F355" s="196"/>
      <c r="G355" s="193"/>
    </row>
    <row r="356" spans="1:7" ht="26.1" customHeight="1">
      <c r="A356" s="193"/>
      <c r="B356" s="193"/>
      <c r="C356" s="193"/>
      <c r="D356" s="194"/>
      <c r="E356" s="195"/>
      <c r="F356" s="196"/>
      <c r="G356" s="193"/>
    </row>
    <row r="357" spans="1:7" ht="26.1" customHeight="1">
      <c r="A357" s="193"/>
      <c r="B357" s="193"/>
      <c r="C357" s="193"/>
      <c r="D357" s="194"/>
      <c r="E357" s="195"/>
      <c r="F357" s="196"/>
      <c r="G357" s="193"/>
    </row>
    <row r="358" spans="1:7" ht="26.1" customHeight="1">
      <c r="A358" s="193"/>
      <c r="B358" s="193"/>
      <c r="C358" s="193"/>
      <c r="D358" s="194"/>
      <c r="E358" s="195"/>
      <c r="F358" s="196"/>
      <c r="G358" s="193"/>
    </row>
    <row r="359" spans="1:7" ht="26.1" customHeight="1">
      <c r="A359" s="193"/>
      <c r="B359" s="193"/>
      <c r="C359" s="193"/>
      <c r="D359" s="194"/>
      <c r="E359" s="195"/>
      <c r="F359" s="196"/>
      <c r="G359" s="193"/>
    </row>
    <row r="360" spans="1:7" ht="26.1" customHeight="1">
      <c r="A360" s="193"/>
      <c r="B360" s="193"/>
      <c r="C360" s="193"/>
      <c r="D360" s="194"/>
      <c r="E360" s="195"/>
      <c r="F360" s="196"/>
      <c r="G360" s="193"/>
    </row>
    <row r="361" spans="1:7" ht="26.1" customHeight="1">
      <c r="A361" s="193"/>
      <c r="B361" s="193"/>
      <c r="C361" s="193"/>
      <c r="D361" s="194"/>
      <c r="E361" s="195"/>
      <c r="F361" s="196"/>
      <c r="G361" s="193"/>
    </row>
    <row r="362" spans="1:7" ht="26.1" customHeight="1">
      <c r="A362" s="193"/>
      <c r="B362" s="193"/>
      <c r="C362" s="193"/>
      <c r="D362" s="194"/>
      <c r="E362" s="195"/>
      <c r="F362" s="196"/>
      <c r="G362" s="193"/>
    </row>
    <row r="363" spans="1:7" ht="26.1" customHeight="1">
      <c r="A363" s="193"/>
      <c r="B363" s="193"/>
      <c r="C363" s="193"/>
      <c r="D363" s="194"/>
      <c r="E363" s="195"/>
      <c r="F363" s="196"/>
      <c r="G363" s="193"/>
    </row>
    <row r="364" spans="1:7" ht="26.1" customHeight="1">
      <c r="A364" s="193"/>
      <c r="B364" s="193"/>
      <c r="C364" s="193"/>
      <c r="D364" s="194"/>
      <c r="E364" s="195"/>
      <c r="F364" s="196"/>
      <c r="G364" s="193"/>
    </row>
    <row r="365" spans="1:7" ht="26.1" customHeight="1">
      <c r="A365" s="193"/>
      <c r="B365" s="193"/>
      <c r="C365" s="193"/>
      <c r="D365" s="194"/>
      <c r="E365" s="195"/>
      <c r="F365" s="196"/>
      <c r="G365" s="193"/>
    </row>
    <row r="366" spans="1:7" ht="26.1" customHeight="1">
      <c r="A366" s="193"/>
      <c r="B366" s="193"/>
      <c r="C366" s="193"/>
      <c r="D366" s="194"/>
      <c r="E366" s="195"/>
      <c r="F366" s="196"/>
      <c r="G366" s="193"/>
    </row>
    <row r="367" spans="1:7" ht="26.1" customHeight="1">
      <c r="A367" s="193"/>
      <c r="B367" s="193"/>
      <c r="C367" s="193"/>
      <c r="D367" s="194"/>
      <c r="E367" s="195"/>
      <c r="F367" s="196"/>
      <c r="G367" s="193"/>
    </row>
    <row r="368" spans="1:7" ht="26.1" customHeight="1">
      <c r="A368" s="193"/>
      <c r="B368" s="193"/>
      <c r="C368" s="193"/>
      <c r="D368" s="194"/>
      <c r="E368" s="195"/>
      <c r="F368" s="196"/>
      <c r="G368" s="193"/>
    </row>
    <row r="369" spans="1:7" ht="26.1" customHeight="1">
      <c r="A369" s="193"/>
      <c r="B369" s="193"/>
      <c r="C369" s="193"/>
      <c r="D369" s="194"/>
      <c r="E369" s="195"/>
      <c r="F369" s="196"/>
      <c r="G369" s="193"/>
    </row>
    <row r="370" spans="1:7" ht="26.1" customHeight="1">
      <c r="A370" s="193"/>
      <c r="B370" s="193"/>
      <c r="C370" s="193"/>
      <c r="D370" s="194"/>
      <c r="E370" s="195"/>
      <c r="F370" s="196"/>
      <c r="G370" s="193"/>
    </row>
    <row r="371" spans="1:7" ht="26.1" customHeight="1">
      <c r="A371" s="193"/>
      <c r="B371" s="193"/>
      <c r="C371" s="193"/>
      <c r="D371" s="194"/>
      <c r="E371" s="195"/>
      <c r="F371" s="196"/>
      <c r="G371" s="193"/>
    </row>
    <row r="372" spans="1:7" ht="26.1" customHeight="1">
      <c r="A372" s="193"/>
      <c r="B372" s="193"/>
      <c r="C372" s="193"/>
      <c r="D372" s="194"/>
      <c r="E372" s="195"/>
      <c r="F372" s="196"/>
      <c r="G372" s="193"/>
    </row>
    <row r="373" spans="1:7" ht="26.1" customHeight="1">
      <c r="A373" s="193"/>
      <c r="B373" s="193"/>
      <c r="C373" s="193"/>
      <c r="D373" s="194"/>
      <c r="E373" s="195"/>
      <c r="F373" s="196"/>
      <c r="G373" s="193"/>
    </row>
    <row r="374" spans="1:7" ht="26.1" customHeight="1">
      <c r="A374" s="193"/>
      <c r="B374" s="193"/>
      <c r="C374" s="193"/>
      <c r="D374" s="194"/>
      <c r="E374" s="195"/>
      <c r="F374" s="196"/>
      <c r="G374" s="193"/>
    </row>
    <row r="375" spans="1:7" ht="26.1" customHeight="1">
      <c r="A375" s="193"/>
      <c r="B375" s="193"/>
      <c r="C375" s="193"/>
      <c r="D375" s="194"/>
      <c r="E375" s="195"/>
      <c r="F375" s="196"/>
      <c r="G375" s="193"/>
    </row>
    <row r="376" spans="1:7" ht="26.1" customHeight="1">
      <c r="A376" s="193"/>
      <c r="B376" s="193"/>
      <c r="C376" s="193"/>
      <c r="D376" s="194"/>
      <c r="E376" s="195"/>
      <c r="F376" s="196"/>
      <c r="G376" s="193"/>
    </row>
    <row r="377" spans="1:7" ht="26.1" customHeight="1">
      <c r="A377" s="193"/>
      <c r="B377" s="193"/>
      <c r="C377" s="193"/>
      <c r="D377" s="194"/>
      <c r="E377" s="195"/>
      <c r="F377" s="196"/>
      <c r="G377" s="193"/>
    </row>
    <row r="378" spans="1:7" ht="26.1" customHeight="1">
      <c r="A378" s="193"/>
      <c r="B378" s="193"/>
      <c r="C378" s="193"/>
      <c r="D378" s="194"/>
      <c r="E378" s="195"/>
      <c r="F378" s="196"/>
      <c r="G378" s="193"/>
    </row>
    <row r="379" spans="1:7" ht="26.1" customHeight="1">
      <c r="A379" s="193"/>
      <c r="B379" s="193"/>
      <c r="C379" s="193"/>
      <c r="D379" s="194"/>
      <c r="E379" s="195"/>
      <c r="F379" s="196"/>
      <c r="G379" s="193"/>
    </row>
    <row r="380" spans="1:7" ht="26.1" customHeight="1">
      <c r="A380" s="193"/>
      <c r="B380" s="193"/>
      <c r="C380" s="193"/>
      <c r="D380" s="194"/>
      <c r="E380" s="195"/>
      <c r="F380" s="196"/>
      <c r="G380" s="193"/>
    </row>
    <row r="381" spans="1:7" ht="26.1" customHeight="1">
      <c r="A381" s="193"/>
      <c r="B381" s="193"/>
      <c r="C381" s="193"/>
      <c r="D381" s="194"/>
      <c r="E381" s="195"/>
      <c r="F381" s="196"/>
      <c r="G381" s="193"/>
    </row>
    <row r="382" spans="1:7" ht="26.1" customHeight="1">
      <c r="A382" s="193"/>
      <c r="B382" s="193"/>
      <c r="C382" s="193"/>
      <c r="D382" s="194"/>
      <c r="E382" s="195"/>
      <c r="F382" s="196"/>
      <c r="G382" s="193"/>
    </row>
    <row r="383" spans="1:7" ht="26.1" customHeight="1">
      <c r="A383" s="193"/>
      <c r="B383" s="193"/>
      <c r="C383" s="193"/>
      <c r="D383" s="194"/>
      <c r="E383" s="195"/>
      <c r="F383" s="196"/>
      <c r="G383" s="193"/>
    </row>
    <row r="384" spans="1:7" ht="26.1" customHeight="1">
      <c r="A384" s="193"/>
      <c r="B384" s="193"/>
      <c r="C384" s="193"/>
      <c r="D384" s="194"/>
      <c r="E384" s="195"/>
      <c r="F384" s="196"/>
      <c r="G384" s="193"/>
    </row>
    <row r="385" spans="1:7" ht="26.1" customHeight="1">
      <c r="A385" s="193"/>
      <c r="B385" s="193"/>
      <c r="C385" s="193"/>
      <c r="D385" s="194"/>
      <c r="E385" s="195"/>
      <c r="F385" s="196"/>
      <c r="G385" s="193"/>
    </row>
    <row r="386" spans="1:7" ht="26.1" customHeight="1">
      <c r="A386" s="193"/>
      <c r="B386" s="193"/>
      <c r="C386" s="193"/>
      <c r="D386" s="194"/>
      <c r="E386" s="195"/>
      <c r="F386" s="196"/>
      <c r="G386" s="193"/>
    </row>
    <row r="387" spans="1:7" ht="26.1" customHeight="1">
      <c r="A387" s="193"/>
      <c r="B387" s="193"/>
      <c r="C387" s="193"/>
      <c r="D387" s="194"/>
      <c r="E387" s="195"/>
      <c r="F387" s="196"/>
      <c r="G387" s="193"/>
    </row>
    <row r="388" spans="1:7" ht="26.1" customHeight="1">
      <c r="A388" s="193"/>
      <c r="B388" s="193"/>
      <c r="C388" s="193"/>
      <c r="D388" s="194"/>
      <c r="E388" s="195"/>
      <c r="F388" s="196"/>
      <c r="G388" s="193"/>
    </row>
    <row r="389" spans="1:7" ht="26.1" customHeight="1">
      <c r="A389" s="193"/>
      <c r="B389" s="193"/>
      <c r="C389" s="193"/>
      <c r="D389" s="194"/>
      <c r="E389" s="195"/>
      <c r="F389" s="196"/>
      <c r="G389" s="193"/>
    </row>
    <row r="390" spans="1:7" ht="26.1" customHeight="1">
      <c r="A390" s="193"/>
      <c r="B390" s="193"/>
      <c r="C390" s="193"/>
      <c r="D390" s="194"/>
      <c r="E390" s="195"/>
      <c r="F390" s="196"/>
      <c r="G390" s="193"/>
    </row>
    <row r="391" spans="1:7" ht="26.1" customHeight="1">
      <c r="A391" s="193"/>
      <c r="B391" s="193"/>
      <c r="C391" s="193"/>
      <c r="D391" s="194"/>
      <c r="E391" s="195"/>
      <c r="F391" s="196"/>
      <c r="G391" s="193"/>
    </row>
    <row r="392" spans="1:7" ht="26.1" customHeight="1">
      <c r="A392" s="193"/>
      <c r="B392" s="193"/>
      <c r="C392" s="193"/>
      <c r="D392" s="194"/>
      <c r="E392" s="195"/>
      <c r="F392" s="196"/>
      <c r="G392" s="193"/>
    </row>
    <row r="393" spans="1:7" ht="26.1" customHeight="1">
      <c r="A393" s="193"/>
      <c r="B393" s="193"/>
      <c r="C393" s="193"/>
      <c r="D393" s="194"/>
      <c r="E393" s="195"/>
      <c r="F393" s="196"/>
      <c r="G393" s="193"/>
    </row>
    <row r="394" spans="1:7" ht="26.1" customHeight="1">
      <c r="A394" s="193"/>
      <c r="B394" s="193"/>
      <c r="C394" s="193"/>
      <c r="D394" s="194"/>
      <c r="E394" s="195"/>
      <c r="F394" s="196"/>
      <c r="G394" s="193"/>
    </row>
    <row r="395" spans="1:7" ht="26.1" customHeight="1">
      <c r="A395" s="193"/>
      <c r="B395" s="193"/>
      <c r="C395" s="193"/>
      <c r="D395" s="194"/>
      <c r="E395" s="195"/>
      <c r="F395" s="196"/>
      <c r="G395" s="193"/>
    </row>
    <row r="396" spans="1:7" ht="26.1" customHeight="1">
      <c r="A396" s="193"/>
      <c r="B396" s="193"/>
      <c r="C396" s="193"/>
      <c r="D396" s="194"/>
      <c r="E396" s="195"/>
      <c r="F396" s="196"/>
      <c r="G396" s="193"/>
    </row>
    <row r="397" spans="1:7" ht="26.1" customHeight="1">
      <c r="A397" s="193"/>
      <c r="B397" s="193"/>
      <c r="C397" s="193"/>
      <c r="D397" s="194"/>
      <c r="E397" s="195"/>
      <c r="F397" s="196"/>
      <c r="G397" s="193"/>
    </row>
    <row r="398" spans="1:7" ht="26.1" customHeight="1">
      <c r="A398" s="193"/>
      <c r="B398" s="193"/>
      <c r="C398" s="193"/>
      <c r="D398" s="194"/>
      <c r="E398" s="195"/>
      <c r="F398" s="196"/>
      <c r="G398" s="193"/>
    </row>
    <row r="399" spans="1:7" ht="26.1" customHeight="1">
      <c r="A399" s="193"/>
      <c r="B399" s="193"/>
      <c r="C399" s="193"/>
      <c r="D399" s="194"/>
      <c r="E399" s="195"/>
      <c r="F399" s="196"/>
      <c r="G399" s="193"/>
    </row>
    <row r="400" spans="1:7" ht="26.1" customHeight="1">
      <c r="A400" s="193"/>
      <c r="B400" s="193"/>
      <c r="C400" s="193"/>
      <c r="D400" s="194"/>
      <c r="E400" s="195"/>
      <c r="F400" s="196"/>
      <c r="G400" s="193"/>
    </row>
    <row r="401" spans="1:7" ht="26.1" customHeight="1">
      <c r="A401" s="193"/>
      <c r="B401" s="193"/>
      <c r="C401" s="193"/>
      <c r="D401" s="194"/>
      <c r="E401" s="195"/>
      <c r="F401" s="196"/>
      <c r="G401" s="193"/>
    </row>
    <row r="402" spans="1:7" ht="26.1" customHeight="1">
      <c r="A402" s="193"/>
      <c r="B402" s="193"/>
      <c r="C402" s="193"/>
      <c r="D402" s="194"/>
      <c r="E402" s="195"/>
      <c r="F402" s="196"/>
      <c r="G402" s="193"/>
    </row>
    <row r="403" spans="1:7" ht="26.1" customHeight="1">
      <c r="A403" s="193"/>
      <c r="B403" s="193"/>
      <c r="C403" s="193"/>
      <c r="D403" s="194"/>
      <c r="E403" s="195"/>
      <c r="F403" s="196"/>
      <c r="G403" s="193"/>
    </row>
    <row r="404" spans="1:7" ht="26.1" customHeight="1">
      <c r="A404" s="193"/>
      <c r="B404" s="193"/>
      <c r="C404" s="193"/>
      <c r="D404" s="194"/>
      <c r="E404" s="195"/>
      <c r="F404" s="196"/>
      <c r="G404" s="193"/>
    </row>
    <row r="405" spans="1:7" ht="26.1" customHeight="1">
      <c r="A405" s="193"/>
      <c r="B405" s="193"/>
      <c r="C405" s="193"/>
      <c r="D405" s="194"/>
      <c r="E405" s="195"/>
      <c r="F405" s="196"/>
      <c r="G405" s="193"/>
    </row>
    <row r="406" spans="1:7" ht="26.1" customHeight="1">
      <c r="A406" s="193"/>
      <c r="B406" s="193"/>
      <c r="C406" s="193"/>
      <c r="D406" s="194"/>
      <c r="E406" s="195"/>
      <c r="F406" s="196"/>
      <c r="G406" s="193"/>
    </row>
    <row r="407" spans="1:7" ht="26.1" customHeight="1">
      <c r="A407" s="193"/>
      <c r="B407" s="193"/>
      <c r="C407" s="193"/>
      <c r="D407" s="194"/>
      <c r="E407" s="195"/>
      <c r="F407" s="196"/>
      <c r="G407" s="193"/>
    </row>
    <row r="408" spans="1:7" ht="26.1" customHeight="1">
      <c r="A408" s="193"/>
      <c r="B408" s="193"/>
      <c r="C408" s="193"/>
      <c r="D408" s="194"/>
      <c r="E408" s="195"/>
      <c r="F408" s="196"/>
      <c r="G408" s="193"/>
    </row>
    <row r="409" spans="1:7" ht="26.1" customHeight="1">
      <c r="A409" s="193"/>
      <c r="B409" s="193"/>
      <c r="C409" s="193"/>
      <c r="D409" s="194"/>
      <c r="E409" s="195"/>
      <c r="F409" s="196"/>
      <c r="G409" s="193"/>
    </row>
    <row r="410" spans="1:7" ht="26.1" customHeight="1">
      <c r="A410" s="193"/>
      <c r="B410" s="193"/>
      <c r="C410" s="193"/>
      <c r="D410" s="194"/>
      <c r="E410" s="195"/>
      <c r="F410" s="196"/>
      <c r="G410" s="193"/>
    </row>
    <row r="411" spans="1:7" ht="26.1" customHeight="1">
      <c r="A411" s="193"/>
      <c r="B411" s="193"/>
      <c r="C411" s="193"/>
      <c r="D411" s="194"/>
      <c r="E411" s="195"/>
      <c r="F411" s="196"/>
      <c r="G411" s="193"/>
    </row>
    <row r="412" spans="1:7" ht="26.1" customHeight="1">
      <c r="A412" s="193"/>
      <c r="B412" s="193"/>
      <c r="C412" s="193"/>
      <c r="D412" s="194"/>
      <c r="E412" s="195"/>
      <c r="F412" s="196"/>
      <c r="G412" s="193"/>
    </row>
    <row r="413" spans="1:7" ht="26.1" customHeight="1">
      <c r="A413" s="193"/>
      <c r="B413" s="193"/>
      <c r="C413" s="193"/>
      <c r="D413" s="194"/>
      <c r="E413" s="195"/>
      <c r="F413" s="196"/>
      <c r="G413" s="193"/>
    </row>
    <row r="414" spans="1:7" ht="26.1" customHeight="1">
      <c r="A414" s="193"/>
      <c r="B414" s="193"/>
      <c r="C414" s="193"/>
      <c r="D414" s="194"/>
      <c r="E414" s="195"/>
      <c r="F414" s="196"/>
      <c r="G414" s="193"/>
    </row>
    <row r="415" spans="1:7" ht="26.1" customHeight="1"/>
  </sheetData>
  <phoneticPr fontId="2" type="noConversion"/>
  <pageMargins left="0.75" right="0.75" top="1" bottom="1" header="0.5" footer="0.5"/>
  <pageSetup scale="34" orientation="portrait" r:id="rId1"/>
  <headerFooter>
    <oddHeader>&amp;C&amp;"Helvetica Neue,Regular"&amp;12&amp;K000000108年 比賽費用支出表</oddHead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pageSetUpPr fitToPage="1"/>
  </sheetPr>
  <dimension ref="A1:IV196"/>
  <sheetViews>
    <sheetView showGridLines="0" showRuler="0" zoomScale="82" zoomScaleNormal="82" workbookViewId="0">
      <pane ySplit="1" topLeftCell="A106" activePane="bottomLeft" state="frozen"/>
      <selection pane="bottomLeft" activeCell="R160" sqref="R160"/>
    </sheetView>
  </sheetViews>
  <sheetFormatPr defaultColWidth="8.81640625" defaultRowHeight="16.5" customHeight="1"/>
  <cols>
    <col min="1" max="1" width="7" style="41" customWidth="1"/>
    <col min="2" max="2" width="5.6328125" style="41" customWidth="1"/>
    <col min="3" max="3" width="6.90625" style="41" customWidth="1"/>
    <col min="4" max="4" width="12.7265625" style="136" customWidth="1"/>
    <col min="5" max="5" width="11" style="47" customWidth="1"/>
    <col min="6" max="6" width="11.7265625" style="146" customWidth="1"/>
    <col min="7" max="7" width="11.90625" style="45" customWidth="1"/>
    <col min="8" max="9" width="11.08984375" style="45" customWidth="1"/>
    <col min="10" max="10" width="12.08984375" style="45" customWidth="1"/>
    <col min="11" max="11" width="11.08984375" style="45" customWidth="1"/>
    <col min="12" max="12" width="11.26953125" style="45" customWidth="1"/>
    <col min="13" max="13" width="11.81640625" style="45" customWidth="1"/>
    <col min="14" max="14" width="12.7265625" style="45" customWidth="1"/>
    <col min="15" max="15" width="11.453125" style="45" customWidth="1"/>
    <col min="16" max="16" width="11.90625" style="45" customWidth="1"/>
    <col min="17" max="17" width="11.453125" style="45" customWidth="1"/>
    <col min="18" max="18" width="13.08984375" style="41" customWidth="1"/>
    <col min="19" max="256" width="8.81640625" style="41" customWidth="1"/>
    <col min="257" max="16384" width="8.81640625" style="44"/>
  </cols>
  <sheetData>
    <row r="1" spans="1:18" s="136" customFormat="1" ht="23.25" customHeight="1">
      <c r="A1" s="38" t="s">
        <v>35</v>
      </c>
      <c r="B1" s="38" t="s">
        <v>54</v>
      </c>
      <c r="C1" s="135" t="s">
        <v>118</v>
      </c>
      <c r="D1" s="38" t="s">
        <v>36</v>
      </c>
      <c r="E1" s="39" t="s">
        <v>37</v>
      </c>
      <c r="F1" s="247" t="s">
        <v>58</v>
      </c>
      <c r="G1" s="39" t="s">
        <v>66</v>
      </c>
      <c r="H1" s="39" t="s">
        <v>67</v>
      </c>
      <c r="I1" s="39" t="s">
        <v>59</v>
      </c>
      <c r="J1" s="39" t="s">
        <v>60</v>
      </c>
      <c r="K1" s="39" t="s">
        <v>61</v>
      </c>
      <c r="L1" s="39" t="s">
        <v>110</v>
      </c>
      <c r="M1" s="39" t="s">
        <v>111</v>
      </c>
      <c r="N1" s="39" t="s">
        <v>43</v>
      </c>
      <c r="O1" s="39" t="s">
        <v>44</v>
      </c>
      <c r="P1" s="39" t="s">
        <v>45</v>
      </c>
      <c r="Q1" s="39" t="s">
        <v>46</v>
      </c>
      <c r="R1" s="42" t="s">
        <v>94</v>
      </c>
    </row>
    <row r="2" spans="1:18" s="41" customFormat="1" ht="23.25" customHeight="1">
      <c r="A2" s="38"/>
      <c r="B2" s="40"/>
      <c r="C2" s="135" t="s">
        <v>153</v>
      </c>
      <c r="D2" s="223" t="s">
        <v>47</v>
      </c>
      <c r="E2" s="214">
        <v>2000</v>
      </c>
      <c r="F2" s="248">
        <v>3500</v>
      </c>
      <c r="G2" s="248">
        <v>2200</v>
      </c>
      <c r="H2" s="248">
        <v>3000</v>
      </c>
      <c r="I2" s="248">
        <v>3000</v>
      </c>
      <c r="J2" s="384" t="s">
        <v>382</v>
      </c>
      <c r="K2" s="384" t="s">
        <v>382</v>
      </c>
      <c r="L2" s="384" t="s">
        <v>382</v>
      </c>
      <c r="M2" s="384" t="s">
        <v>382</v>
      </c>
      <c r="N2" s="384" t="s">
        <v>382</v>
      </c>
      <c r="O2" s="384" t="s">
        <v>382</v>
      </c>
      <c r="P2" s="384" t="s">
        <v>382</v>
      </c>
      <c r="Q2" s="384" t="s">
        <v>382</v>
      </c>
      <c r="R2" s="43">
        <f>SUM(E2:Q2)</f>
        <v>13700</v>
      </c>
    </row>
    <row r="3" spans="1:18" s="41" customFormat="1" ht="23.25" customHeight="1">
      <c r="A3" s="38"/>
      <c r="B3" s="38"/>
      <c r="C3" s="135" t="s">
        <v>154</v>
      </c>
      <c r="D3" s="224" t="s">
        <v>55</v>
      </c>
      <c r="E3" s="214">
        <v>1900</v>
      </c>
      <c r="F3" s="248">
        <v>3500</v>
      </c>
      <c r="G3" s="346" t="s">
        <v>326</v>
      </c>
      <c r="H3" s="248">
        <v>5000</v>
      </c>
      <c r="I3" s="248">
        <v>3000</v>
      </c>
      <c r="J3" s="384" t="s">
        <v>382</v>
      </c>
      <c r="K3" s="384" t="s">
        <v>382</v>
      </c>
      <c r="L3" s="384" t="s">
        <v>382</v>
      </c>
      <c r="M3" s="384" t="s">
        <v>382</v>
      </c>
      <c r="N3" s="384" t="s">
        <v>382</v>
      </c>
      <c r="O3" s="384" t="s">
        <v>382</v>
      </c>
      <c r="P3" s="384" t="s">
        <v>382</v>
      </c>
      <c r="Q3" s="384" t="s">
        <v>382</v>
      </c>
      <c r="R3" s="43">
        <f t="shared" ref="R3:R5" si="0">SUM(E3:Q3)</f>
        <v>13400</v>
      </c>
    </row>
    <row r="4" spans="1:18" s="41" customFormat="1" ht="23.25" customHeight="1">
      <c r="A4" s="38"/>
      <c r="B4" s="38"/>
      <c r="C4" s="135" t="s">
        <v>155</v>
      </c>
      <c r="D4" s="224" t="s">
        <v>70</v>
      </c>
      <c r="E4" s="238">
        <v>1900</v>
      </c>
      <c r="F4" s="256">
        <v>3500</v>
      </c>
      <c r="G4" s="256">
        <v>2100</v>
      </c>
      <c r="H4" s="256">
        <v>2900</v>
      </c>
      <c r="I4" s="256">
        <v>3000</v>
      </c>
      <c r="J4" s="384" t="s">
        <v>382</v>
      </c>
      <c r="K4" s="384" t="s">
        <v>382</v>
      </c>
      <c r="L4" s="384" t="s">
        <v>382</v>
      </c>
      <c r="M4" s="384" t="s">
        <v>382</v>
      </c>
      <c r="N4" s="384" t="s">
        <v>382</v>
      </c>
      <c r="O4" s="384" t="s">
        <v>382</v>
      </c>
      <c r="P4" s="384" t="s">
        <v>382</v>
      </c>
      <c r="Q4" s="384" t="s">
        <v>382</v>
      </c>
      <c r="R4" s="43">
        <f t="shared" si="0"/>
        <v>13400</v>
      </c>
    </row>
    <row r="5" spans="1:18" s="41" customFormat="1" ht="23.25" customHeight="1">
      <c r="A5" s="38"/>
      <c r="B5" s="38"/>
      <c r="C5" s="135" t="s">
        <v>156</v>
      </c>
      <c r="D5" s="225" t="s">
        <v>57</v>
      </c>
      <c r="E5" s="238">
        <v>2000</v>
      </c>
      <c r="F5" s="256">
        <v>3500</v>
      </c>
      <c r="G5" s="256">
        <v>2200</v>
      </c>
      <c r="H5" s="256">
        <v>3000</v>
      </c>
      <c r="I5" s="256">
        <v>3000</v>
      </c>
      <c r="J5" s="384" t="s">
        <v>382</v>
      </c>
      <c r="K5" s="384" t="s">
        <v>382</v>
      </c>
      <c r="L5" s="384" t="s">
        <v>382</v>
      </c>
      <c r="M5" s="384" t="s">
        <v>382</v>
      </c>
      <c r="N5" s="384" t="s">
        <v>382</v>
      </c>
      <c r="O5" s="384" t="s">
        <v>382</v>
      </c>
      <c r="P5" s="384" t="s">
        <v>382</v>
      </c>
      <c r="Q5" s="384" t="s">
        <v>382</v>
      </c>
      <c r="R5" s="43">
        <f t="shared" si="0"/>
        <v>13700</v>
      </c>
    </row>
    <row r="6" spans="1:18" s="41" customFormat="1" ht="23.25" customHeight="1">
      <c r="A6" s="38"/>
      <c r="B6" s="38"/>
      <c r="C6" s="135" t="s">
        <v>157</v>
      </c>
      <c r="D6" s="225" t="s">
        <v>99</v>
      </c>
      <c r="E6" s="214">
        <v>5000</v>
      </c>
      <c r="F6" s="248">
        <v>2800</v>
      </c>
      <c r="G6" s="248">
        <v>2200</v>
      </c>
      <c r="H6" s="248">
        <v>3000</v>
      </c>
      <c r="I6" s="248">
        <v>3000</v>
      </c>
      <c r="J6" s="384" t="s">
        <v>382</v>
      </c>
      <c r="K6" s="384" t="s">
        <v>382</v>
      </c>
      <c r="L6" s="384" t="s">
        <v>382</v>
      </c>
      <c r="M6" s="384" t="s">
        <v>382</v>
      </c>
      <c r="N6" s="384" t="s">
        <v>382</v>
      </c>
      <c r="O6" s="384" t="s">
        <v>382</v>
      </c>
      <c r="P6" s="384" t="s">
        <v>382</v>
      </c>
      <c r="Q6" s="384" t="s">
        <v>382</v>
      </c>
      <c r="R6" s="43">
        <f t="shared" ref="R6:R35" si="1">SUM(E6:Q6)</f>
        <v>16000</v>
      </c>
    </row>
    <row r="7" spans="1:18" s="41" customFormat="1" ht="23.25" customHeight="1">
      <c r="A7" s="38"/>
      <c r="B7" s="40"/>
      <c r="C7" s="135" t="s">
        <v>158</v>
      </c>
      <c r="D7" s="226" t="s">
        <v>82</v>
      </c>
      <c r="E7" s="214">
        <v>4500</v>
      </c>
      <c r="F7" s="248">
        <v>2800</v>
      </c>
      <c r="G7" s="248">
        <v>2200</v>
      </c>
      <c r="H7" s="248">
        <v>2500</v>
      </c>
      <c r="I7" s="248">
        <v>2400</v>
      </c>
      <c r="J7" s="248">
        <v>2400</v>
      </c>
      <c r="K7" s="248"/>
      <c r="L7" s="248"/>
      <c r="M7" s="248">
        <v>2000</v>
      </c>
      <c r="N7" s="248"/>
      <c r="O7" s="248"/>
      <c r="P7" s="248"/>
      <c r="Q7" s="248"/>
      <c r="R7" s="43">
        <f t="shared" si="1"/>
        <v>18800</v>
      </c>
    </row>
    <row r="8" spans="1:18" ht="23.25" customHeight="1">
      <c r="A8" s="42"/>
      <c r="B8" s="38"/>
      <c r="C8" s="135" t="s">
        <v>159</v>
      </c>
      <c r="D8" s="226" t="s">
        <v>86</v>
      </c>
      <c r="E8" s="214">
        <v>2000</v>
      </c>
      <c r="F8" s="248">
        <v>2800</v>
      </c>
      <c r="G8" s="248">
        <v>2200</v>
      </c>
      <c r="H8" s="358">
        <v>3000</v>
      </c>
      <c r="I8" s="248">
        <v>3000</v>
      </c>
      <c r="J8" s="384" t="s">
        <v>382</v>
      </c>
      <c r="K8" s="384" t="s">
        <v>382</v>
      </c>
      <c r="L8" s="384" t="s">
        <v>382</v>
      </c>
      <c r="M8" s="384" t="s">
        <v>382</v>
      </c>
      <c r="N8" s="384" t="s">
        <v>382</v>
      </c>
      <c r="O8" s="384" t="s">
        <v>382</v>
      </c>
      <c r="P8" s="384" t="s">
        <v>382</v>
      </c>
      <c r="Q8" s="384" t="s">
        <v>382</v>
      </c>
      <c r="R8" s="43">
        <f t="shared" si="1"/>
        <v>13000</v>
      </c>
    </row>
    <row r="9" spans="1:18" s="41" customFormat="1" ht="23.25" customHeight="1">
      <c r="A9" s="137">
        <v>6</v>
      </c>
      <c r="B9" s="135"/>
      <c r="C9" s="135" t="s">
        <v>160</v>
      </c>
      <c r="D9" s="226" t="s">
        <v>88</v>
      </c>
      <c r="E9" s="249">
        <v>2000</v>
      </c>
      <c r="F9" s="248">
        <v>2800</v>
      </c>
      <c r="G9" s="248">
        <v>2200</v>
      </c>
      <c r="H9" s="248">
        <v>3000</v>
      </c>
      <c r="I9" s="248">
        <v>3000</v>
      </c>
      <c r="J9" s="248">
        <v>3000</v>
      </c>
      <c r="K9" s="248">
        <v>3000</v>
      </c>
      <c r="L9" s="248">
        <v>3500</v>
      </c>
      <c r="M9" s="248">
        <v>4000</v>
      </c>
      <c r="N9" s="248">
        <v>3300</v>
      </c>
      <c r="O9" s="248">
        <v>3000</v>
      </c>
      <c r="P9" s="256">
        <v>3000</v>
      </c>
      <c r="Q9" s="248">
        <v>3000</v>
      </c>
      <c r="R9" s="43">
        <f t="shared" si="1"/>
        <v>38800</v>
      </c>
    </row>
    <row r="10" spans="1:18" s="41" customFormat="1" ht="23.25" customHeight="1">
      <c r="A10" s="38"/>
      <c r="B10" s="38"/>
      <c r="C10" s="135" t="s">
        <v>161</v>
      </c>
      <c r="D10" s="226" t="s">
        <v>89</v>
      </c>
      <c r="E10" s="214">
        <v>2000</v>
      </c>
      <c r="F10" s="248">
        <v>2800</v>
      </c>
      <c r="G10" s="248">
        <v>2200</v>
      </c>
      <c r="H10" s="248">
        <v>2500</v>
      </c>
      <c r="I10" s="248">
        <v>2500</v>
      </c>
      <c r="J10" s="248">
        <v>2500</v>
      </c>
      <c r="K10" s="248">
        <v>2500</v>
      </c>
      <c r="L10" s="248">
        <v>3500</v>
      </c>
      <c r="M10" s="248">
        <v>4000</v>
      </c>
      <c r="N10" s="248">
        <v>2800</v>
      </c>
      <c r="O10" s="248">
        <v>2500</v>
      </c>
      <c r="P10" s="256">
        <v>2500</v>
      </c>
      <c r="Q10" s="248">
        <v>2500</v>
      </c>
      <c r="R10" s="43">
        <f t="shared" si="1"/>
        <v>34800</v>
      </c>
    </row>
    <row r="11" spans="1:18" ht="23.25" customHeight="1">
      <c r="A11" s="38" t="s">
        <v>158</v>
      </c>
      <c r="B11" s="38"/>
      <c r="C11" s="135" t="s">
        <v>162</v>
      </c>
      <c r="D11" s="225" t="s">
        <v>78</v>
      </c>
      <c r="E11" s="214">
        <v>2000</v>
      </c>
      <c r="F11" s="248">
        <v>2800</v>
      </c>
      <c r="G11" s="248">
        <v>2200</v>
      </c>
      <c r="H11" s="248">
        <v>3000</v>
      </c>
      <c r="I11" s="248">
        <v>3000</v>
      </c>
      <c r="J11" s="248">
        <v>3000</v>
      </c>
      <c r="K11" s="248">
        <v>3000</v>
      </c>
      <c r="L11" s="248">
        <v>3500</v>
      </c>
      <c r="M11" s="248">
        <v>5500</v>
      </c>
      <c r="N11" s="248">
        <v>3300</v>
      </c>
      <c r="O11" s="248">
        <v>3000</v>
      </c>
      <c r="P11" s="248">
        <v>3000</v>
      </c>
      <c r="Q11" s="248">
        <v>3000</v>
      </c>
      <c r="R11" s="43">
        <f t="shared" si="1"/>
        <v>40300</v>
      </c>
    </row>
    <row r="12" spans="1:18" ht="23.25" customHeight="1">
      <c r="A12" s="38" t="s">
        <v>158</v>
      </c>
      <c r="B12" s="38"/>
      <c r="C12" s="135" t="s">
        <v>163</v>
      </c>
      <c r="D12" s="224" t="s">
        <v>64</v>
      </c>
      <c r="E12" s="214">
        <v>1900</v>
      </c>
      <c r="F12" s="330" t="s">
        <v>301</v>
      </c>
      <c r="G12" s="214">
        <v>4900</v>
      </c>
      <c r="H12" s="248">
        <v>2900</v>
      </c>
      <c r="I12" s="248">
        <v>2900</v>
      </c>
      <c r="J12" s="248">
        <v>2900</v>
      </c>
      <c r="K12" s="248">
        <v>2900</v>
      </c>
      <c r="L12" s="248">
        <v>5000</v>
      </c>
      <c r="M12" s="248">
        <v>5500</v>
      </c>
      <c r="N12" s="248">
        <v>3200</v>
      </c>
      <c r="O12" s="248">
        <v>2900</v>
      </c>
      <c r="P12" s="248">
        <v>2900</v>
      </c>
      <c r="Q12" s="248">
        <v>2800</v>
      </c>
      <c r="R12" s="43">
        <f t="shared" si="1"/>
        <v>40700</v>
      </c>
    </row>
    <row r="13" spans="1:18" ht="23.25" customHeight="1">
      <c r="A13" s="38" t="s">
        <v>158</v>
      </c>
      <c r="B13" s="38"/>
      <c r="C13" s="135" t="s">
        <v>164</v>
      </c>
      <c r="D13" s="225" t="s">
        <v>109</v>
      </c>
      <c r="E13" s="238">
        <v>2000</v>
      </c>
      <c r="F13" s="256">
        <v>3500</v>
      </c>
      <c r="G13" s="330" t="s">
        <v>301</v>
      </c>
      <c r="H13" s="256">
        <v>5200</v>
      </c>
      <c r="I13" s="248">
        <v>3000</v>
      </c>
      <c r="J13" s="256">
        <v>3000</v>
      </c>
      <c r="K13" s="256">
        <v>3000</v>
      </c>
      <c r="L13" s="248">
        <v>5000</v>
      </c>
      <c r="M13" s="248">
        <v>5500</v>
      </c>
      <c r="N13" s="256">
        <v>3300</v>
      </c>
      <c r="O13" s="256">
        <v>3000</v>
      </c>
      <c r="P13" s="256">
        <v>3000</v>
      </c>
      <c r="Q13" s="256">
        <v>3000</v>
      </c>
      <c r="R13" s="43">
        <f>SUM(E13:Q13)</f>
        <v>42500</v>
      </c>
    </row>
    <row r="14" spans="1:18" ht="23.25" customHeight="1">
      <c r="A14" s="38" t="s">
        <v>158</v>
      </c>
      <c r="B14" s="38"/>
      <c r="C14" s="135" t="s">
        <v>165</v>
      </c>
      <c r="D14" s="225" t="s">
        <v>77</v>
      </c>
      <c r="E14" s="214">
        <v>2000</v>
      </c>
      <c r="F14" s="248">
        <v>3500</v>
      </c>
      <c r="G14" s="248">
        <v>2200</v>
      </c>
      <c r="H14" s="248">
        <v>3000</v>
      </c>
      <c r="I14" s="363">
        <v>3000</v>
      </c>
      <c r="J14" s="248">
        <v>3000</v>
      </c>
      <c r="K14" s="248">
        <v>3000</v>
      </c>
      <c r="L14" s="248">
        <v>5000</v>
      </c>
      <c r="M14" s="248">
        <v>5500</v>
      </c>
      <c r="N14" s="248">
        <v>3300</v>
      </c>
      <c r="O14" s="248">
        <v>3000</v>
      </c>
      <c r="P14" s="248">
        <v>3000</v>
      </c>
      <c r="Q14" s="248">
        <v>3000</v>
      </c>
      <c r="R14" s="43">
        <f t="shared" si="1"/>
        <v>42500</v>
      </c>
    </row>
    <row r="15" spans="1:18" ht="23.25" customHeight="1">
      <c r="A15" s="135"/>
      <c r="B15" s="135"/>
      <c r="C15" s="135" t="s">
        <v>166</v>
      </c>
      <c r="D15" s="227" t="s">
        <v>65</v>
      </c>
      <c r="E15" s="249">
        <v>2000</v>
      </c>
      <c r="F15" s="214" t="s">
        <v>294</v>
      </c>
      <c r="G15" s="248">
        <v>2200</v>
      </c>
      <c r="H15" s="248">
        <v>3000</v>
      </c>
      <c r="I15" s="248">
        <v>3000</v>
      </c>
      <c r="J15" s="248">
        <v>3000</v>
      </c>
      <c r="K15" s="248">
        <v>3000</v>
      </c>
      <c r="L15" s="248"/>
      <c r="M15" s="248"/>
      <c r="N15" s="248">
        <v>3300</v>
      </c>
      <c r="O15" s="248">
        <v>3000</v>
      </c>
      <c r="P15" s="248">
        <v>3000</v>
      </c>
      <c r="Q15" s="248"/>
      <c r="R15" s="43">
        <f t="shared" si="1"/>
        <v>25500</v>
      </c>
    </row>
    <row r="16" spans="1:18" ht="23.25" customHeight="1">
      <c r="A16" s="125"/>
      <c r="B16" s="38"/>
      <c r="C16" s="135" t="s">
        <v>167</v>
      </c>
      <c r="D16" s="228" t="s">
        <v>92</v>
      </c>
      <c r="E16" s="214">
        <v>1900</v>
      </c>
      <c r="F16" s="248">
        <v>3500</v>
      </c>
      <c r="G16" s="248">
        <v>2100</v>
      </c>
      <c r="H16" s="248">
        <v>2900</v>
      </c>
      <c r="I16" s="248">
        <v>2900</v>
      </c>
      <c r="J16" s="248">
        <v>2900</v>
      </c>
      <c r="K16" s="248">
        <v>2900</v>
      </c>
      <c r="L16" s="248">
        <v>5000</v>
      </c>
      <c r="M16" s="248">
        <v>5500</v>
      </c>
      <c r="N16" s="248">
        <v>3100</v>
      </c>
      <c r="O16" s="248">
        <v>2900</v>
      </c>
      <c r="P16" s="248">
        <v>2900</v>
      </c>
      <c r="Q16" s="248">
        <v>2800</v>
      </c>
      <c r="R16" s="43">
        <f t="shared" ref="R16:R21" si="2">SUM(E16:Q16)</f>
        <v>41300</v>
      </c>
    </row>
    <row r="17" spans="1:18" ht="23.25" customHeight="1">
      <c r="A17" s="134"/>
      <c r="B17" s="38"/>
      <c r="C17" s="135" t="s">
        <v>168</v>
      </c>
      <c r="D17" s="226" t="s">
        <v>75</v>
      </c>
      <c r="E17" s="238">
        <v>2000</v>
      </c>
      <c r="F17" s="256">
        <v>3500</v>
      </c>
      <c r="G17" s="256">
        <v>2200</v>
      </c>
      <c r="H17" s="256">
        <v>3000</v>
      </c>
      <c r="I17" s="256">
        <v>3000</v>
      </c>
      <c r="J17" s="256">
        <v>3000</v>
      </c>
      <c r="K17" s="256">
        <v>3000</v>
      </c>
      <c r="L17" s="256">
        <v>5000</v>
      </c>
      <c r="M17" s="256">
        <v>5500</v>
      </c>
      <c r="N17" s="256">
        <v>3300</v>
      </c>
      <c r="O17" s="256">
        <v>3000</v>
      </c>
      <c r="P17" s="256">
        <v>3000</v>
      </c>
      <c r="Q17" s="256">
        <v>2900</v>
      </c>
      <c r="R17" s="43">
        <f t="shared" si="2"/>
        <v>42400</v>
      </c>
    </row>
    <row r="18" spans="1:18" ht="23.25" customHeight="1">
      <c r="A18" s="42"/>
      <c r="B18" s="40"/>
      <c r="C18" s="135" t="s">
        <v>169</v>
      </c>
      <c r="D18" s="359" t="s">
        <v>72</v>
      </c>
      <c r="E18" s="214" t="s">
        <v>251</v>
      </c>
      <c r="F18" s="214" t="s">
        <v>251</v>
      </c>
      <c r="G18" s="248" t="s">
        <v>251</v>
      </c>
      <c r="H18" s="214" t="s">
        <v>307</v>
      </c>
      <c r="I18" s="214" t="s">
        <v>307</v>
      </c>
      <c r="J18" s="214" t="s">
        <v>307</v>
      </c>
      <c r="K18" s="214" t="s">
        <v>307</v>
      </c>
      <c r="L18" s="214" t="s">
        <v>307</v>
      </c>
      <c r="M18" s="214" t="s">
        <v>307</v>
      </c>
      <c r="N18" s="214" t="s">
        <v>307</v>
      </c>
      <c r="O18" s="214" t="s">
        <v>307</v>
      </c>
      <c r="P18" s="214" t="s">
        <v>307</v>
      </c>
      <c r="Q18" s="214" t="s">
        <v>307</v>
      </c>
      <c r="R18" s="43">
        <f>SUM(E18:Q18)</f>
        <v>0</v>
      </c>
    </row>
    <row r="19" spans="1:18" ht="23.25" customHeight="1">
      <c r="A19" s="134"/>
      <c r="B19" s="38"/>
      <c r="C19" s="135" t="s">
        <v>170</v>
      </c>
      <c r="D19" s="226" t="s">
        <v>74</v>
      </c>
      <c r="E19" s="238">
        <v>2000</v>
      </c>
      <c r="F19" s="256">
        <v>3500</v>
      </c>
      <c r="G19" s="256">
        <v>2200</v>
      </c>
      <c r="H19" s="256">
        <v>3000</v>
      </c>
      <c r="I19" s="256">
        <v>3000</v>
      </c>
      <c r="J19" s="256">
        <v>3000</v>
      </c>
      <c r="K19" s="256">
        <v>3000</v>
      </c>
      <c r="L19" s="256">
        <v>5000</v>
      </c>
      <c r="M19" s="256">
        <v>5500</v>
      </c>
      <c r="N19" s="256">
        <v>3200</v>
      </c>
      <c r="O19" s="256">
        <v>3000</v>
      </c>
      <c r="P19" s="256">
        <v>3000</v>
      </c>
      <c r="Q19" s="256">
        <v>3000</v>
      </c>
      <c r="R19" s="43">
        <f t="shared" si="2"/>
        <v>42400</v>
      </c>
    </row>
    <row r="20" spans="1:18" ht="23.25" customHeight="1">
      <c r="A20" s="134"/>
      <c r="B20" s="38"/>
      <c r="C20" s="135" t="s">
        <v>171</v>
      </c>
      <c r="D20" s="225" t="s">
        <v>73</v>
      </c>
      <c r="E20" s="214">
        <v>2000</v>
      </c>
      <c r="F20" s="248">
        <v>3500</v>
      </c>
      <c r="G20" s="248">
        <v>2200</v>
      </c>
      <c r="H20" s="248">
        <v>3000</v>
      </c>
      <c r="I20" s="248">
        <v>3000</v>
      </c>
      <c r="J20" s="248">
        <v>3000</v>
      </c>
      <c r="K20" s="248">
        <v>3000</v>
      </c>
      <c r="L20" s="248">
        <v>3500</v>
      </c>
      <c r="M20" s="330" t="s">
        <v>488</v>
      </c>
      <c r="N20" s="248">
        <v>8700</v>
      </c>
      <c r="O20" s="330" t="s">
        <v>586</v>
      </c>
      <c r="P20" s="248">
        <v>5000</v>
      </c>
      <c r="Q20" s="248">
        <v>2900</v>
      </c>
      <c r="R20" s="43">
        <f t="shared" si="2"/>
        <v>39800</v>
      </c>
    </row>
    <row r="21" spans="1:18" ht="23.25" customHeight="1">
      <c r="A21" s="42"/>
      <c r="B21" s="40"/>
      <c r="C21" s="135" t="s">
        <v>172</v>
      </c>
      <c r="D21" s="228" t="s">
        <v>83</v>
      </c>
      <c r="E21" s="214">
        <v>1900</v>
      </c>
      <c r="F21" s="214">
        <v>3500</v>
      </c>
      <c r="G21" s="214">
        <v>2100</v>
      </c>
      <c r="H21" s="214">
        <v>2900</v>
      </c>
      <c r="I21" s="214">
        <v>2900</v>
      </c>
      <c r="J21" s="214">
        <v>2900</v>
      </c>
      <c r="K21" s="214">
        <v>2900</v>
      </c>
      <c r="L21" s="214">
        <v>5000</v>
      </c>
      <c r="M21" s="214">
        <v>5500</v>
      </c>
      <c r="N21" s="214">
        <v>3100</v>
      </c>
      <c r="O21" s="214">
        <v>2900</v>
      </c>
      <c r="P21" s="214">
        <v>2900</v>
      </c>
      <c r="Q21" s="214">
        <v>2800</v>
      </c>
      <c r="R21" s="218">
        <f t="shared" si="2"/>
        <v>41300</v>
      </c>
    </row>
    <row r="22" spans="1:18" ht="23.25" customHeight="1">
      <c r="A22" s="42"/>
      <c r="B22" s="40"/>
      <c r="C22" s="135" t="s">
        <v>173</v>
      </c>
      <c r="D22" s="226" t="s">
        <v>87</v>
      </c>
      <c r="E22" s="214">
        <v>800</v>
      </c>
      <c r="F22" s="214">
        <v>3500</v>
      </c>
      <c r="G22" s="214">
        <v>2200</v>
      </c>
      <c r="H22" s="358">
        <v>2500</v>
      </c>
      <c r="I22" s="214">
        <v>2500</v>
      </c>
      <c r="J22" s="214">
        <v>2500</v>
      </c>
      <c r="K22" s="214">
        <v>2500</v>
      </c>
      <c r="L22" s="214"/>
      <c r="M22" s="214">
        <v>2400</v>
      </c>
      <c r="N22" s="214">
        <v>800</v>
      </c>
      <c r="O22" s="214">
        <v>1600</v>
      </c>
      <c r="P22" s="214"/>
      <c r="Q22" s="214">
        <v>1600</v>
      </c>
      <c r="R22" s="218">
        <f t="shared" si="1"/>
        <v>22900</v>
      </c>
    </row>
    <row r="23" spans="1:18" ht="23.25" customHeight="1">
      <c r="A23" s="42"/>
      <c r="B23" s="38"/>
      <c r="C23" s="135" t="s">
        <v>174</v>
      </c>
      <c r="D23" s="226" t="s">
        <v>90</v>
      </c>
      <c r="E23" s="214">
        <v>2000</v>
      </c>
      <c r="F23" s="214">
        <v>3500</v>
      </c>
      <c r="G23" s="214">
        <v>2200</v>
      </c>
      <c r="H23" s="214">
        <v>3000</v>
      </c>
      <c r="I23" s="214">
        <v>3000</v>
      </c>
      <c r="J23" s="214">
        <v>3000</v>
      </c>
      <c r="K23" s="214">
        <v>3000</v>
      </c>
      <c r="L23" s="214">
        <v>5000</v>
      </c>
      <c r="M23" s="214">
        <v>5500</v>
      </c>
      <c r="N23" s="214">
        <v>3200</v>
      </c>
      <c r="O23" s="214">
        <v>3000</v>
      </c>
      <c r="P23" s="214">
        <v>3000</v>
      </c>
      <c r="Q23" s="214">
        <v>3000</v>
      </c>
      <c r="R23" s="218">
        <f t="shared" si="1"/>
        <v>42400</v>
      </c>
    </row>
    <row r="24" spans="1:18" ht="23.25" customHeight="1">
      <c r="A24" s="125"/>
      <c r="B24" s="38"/>
      <c r="C24" s="135" t="s">
        <v>175</v>
      </c>
      <c r="D24" s="226" t="s">
        <v>91</v>
      </c>
      <c r="E24" s="214">
        <v>2000</v>
      </c>
      <c r="F24" s="214">
        <v>3500</v>
      </c>
      <c r="G24" s="214">
        <v>2200</v>
      </c>
      <c r="H24" s="214">
        <v>2500</v>
      </c>
      <c r="I24" s="214">
        <v>2500</v>
      </c>
      <c r="J24" s="214">
        <v>2500</v>
      </c>
      <c r="K24" s="214">
        <v>2500</v>
      </c>
      <c r="L24" s="250">
        <v>5000</v>
      </c>
      <c r="M24" s="214">
        <v>5500</v>
      </c>
      <c r="N24" s="214">
        <v>2800</v>
      </c>
      <c r="O24" s="214">
        <v>2500</v>
      </c>
      <c r="P24" s="214">
        <v>2500</v>
      </c>
      <c r="Q24" s="214">
        <v>2400</v>
      </c>
      <c r="R24" s="218">
        <f t="shared" si="1"/>
        <v>38400</v>
      </c>
    </row>
    <row r="25" spans="1:18" ht="23.25" customHeight="1">
      <c r="A25" s="125"/>
      <c r="B25" s="42"/>
      <c r="C25" s="135" t="s">
        <v>176</v>
      </c>
      <c r="D25" s="408" t="s">
        <v>81</v>
      </c>
      <c r="E25" s="214">
        <v>1900</v>
      </c>
      <c r="F25" s="214">
        <v>2400</v>
      </c>
      <c r="G25" s="214">
        <v>2100</v>
      </c>
      <c r="H25" s="214">
        <v>2900</v>
      </c>
      <c r="I25" s="214">
        <v>3000</v>
      </c>
      <c r="J25" s="214">
        <v>3000</v>
      </c>
      <c r="K25" s="214">
        <v>3000</v>
      </c>
      <c r="L25" s="214">
        <v>5000</v>
      </c>
      <c r="M25" s="214">
        <v>5500</v>
      </c>
      <c r="N25" s="214">
        <v>3200</v>
      </c>
      <c r="O25" s="214">
        <v>3000</v>
      </c>
      <c r="P25" s="214">
        <v>3000</v>
      </c>
      <c r="Q25" s="214">
        <v>2900</v>
      </c>
      <c r="R25" s="218">
        <f>SUM(E25:Q25)</f>
        <v>40900</v>
      </c>
    </row>
    <row r="26" spans="1:18" ht="23.25" customHeight="1">
      <c r="A26" s="125"/>
      <c r="B26" s="46"/>
      <c r="C26" s="135" t="s">
        <v>177</v>
      </c>
      <c r="D26" s="226" t="s">
        <v>76</v>
      </c>
      <c r="E26" s="251">
        <v>2000</v>
      </c>
      <c r="F26" s="214">
        <v>3500</v>
      </c>
      <c r="G26" s="346" t="s">
        <v>326</v>
      </c>
      <c r="H26" s="214">
        <v>4700</v>
      </c>
      <c r="I26" s="214">
        <v>2500</v>
      </c>
      <c r="J26" s="214">
        <v>3000</v>
      </c>
      <c r="K26" s="214">
        <v>3000</v>
      </c>
      <c r="L26" s="214">
        <v>5000</v>
      </c>
      <c r="M26" s="214">
        <v>5500</v>
      </c>
      <c r="N26" s="214">
        <v>3300</v>
      </c>
      <c r="O26" s="214">
        <v>3000</v>
      </c>
      <c r="P26" s="214">
        <v>3000</v>
      </c>
      <c r="Q26" s="214">
        <v>2900</v>
      </c>
      <c r="R26" s="218">
        <f>SUM(E26:Q26)</f>
        <v>41400</v>
      </c>
    </row>
    <row r="27" spans="1:18" ht="22.95" customHeight="1">
      <c r="A27" s="125"/>
      <c r="B27" s="38"/>
      <c r="C27" s="135" t="s">
        <v>178</v>
      </c>
      <c r="D27" s="226" t="s">
        <v>80</v>
      </c>
      <c r="E27" s="214">
        <v>2000</v>
      </c>
      <c r="F27" s="214"/>
      <c r="G27" s="214">
        <v>2200</v>
      </c>
      <c r="H27" s="214">
        <v>3000</v>
      </c>
      <c r="I27" s="214">
        <v>3000</v>
      </c>
      <c r="J27" s="214">
        <v>3000</v>
      </c>
      <c r="K27" s="214">
        <v>3000</v>
      </c>
      <c r="L27" s="214">
        <v>3500</v>
      </c>
      <c r="M27" s="214">
        <v>4000</v>
      </c>
      <c r="N27" s="214">
        <v>3300</v>
      </c>
      <c r="O27" s="214">
        <v>3000</v>
      </c>
      <c r="P27" s="214">
        <v>3000</v>
      </c>
      <c r="Q27" s="214">
        <v>3000</v>
      </c>
      <c r="R27" s="218">
        <f t="shared" si="1"/>
        <v>36000</v>
      </c>
    </row>
    <row r="28" spans="1:18" ht="23.25" customHeight="1">
      <c r="A28" s="125" t="s">
        <v>158</v>
      </c>
      <c r="B28" s="38"/>
      <c r="C28" s="135" t="s">
        <v>179</v>
      </c>
      <c r="D28" s="226" t="s">
        <v>79</v>
      </c>
      <c r="E28" s="238">
        <v>2000</v>
      </c>
      <c r="F28" s="238">
        <v>2800</v>
      </c>
      <c r="G28" s="238">
        <v>2200</v>
      </c>
      <c r="H28" s="238">
        <v>3000</v>
      </c>
      <c r="I28" s="238">
        <v>3000</v>
      </c>
      <c r="J28" s="238">
        <v>3000</v>
      </c>
      <c r="K28" s="238">
        <v>3000</v>
      </c>
      <c r="L28" s="238">
        <v>3500</v>
      </c>
      <c r="M28" s="238">
        <v>4000</v>
      </c>
      <c r="N28" s="238">
        <v>3200</v>
      </c>
      <c r="O28" s="238">
        <v>3000</v>
      </c>
      <c r="P28" s="238">
        <v>3000</v>
      </c>
      <c r="Q28" s="238">
        <v>3000</v>
      </c>
      <c r="R28" s="218">
        <f t="shared" ref="R28:R34" si="3">SUM(E28:Q28)</f>
        <v>38700</v>
      </c>
    </row>
    <row r="29" spans="1:18" ht="23.25" customHeight="1">
      <c r="A29" s="134"/>
      <c r="B29" s="38"/>
      <c r="C29" s="135" t="s">
        <v>180</v>
      </c>
      <c r="D29" s="228" t="s">
        <v>84</v>
      </c>
      <c r="E29" s="214">
        <v>1900</v>
      </c>
      <c r="F29" s="214">
        <v>3500</v>
      </c>
      <c r="G29" s="214">
        <v>2100</v>
      </c>
      <c r="H29" s="214">
        <v>2900</v>
      </c>
      <c r="I29" s="214">
        <v>2900</v>
      </c>
      <c r="J29" s="214">
        <v>2900</v>
      </c>
      <c r="K29" s="214">
        <v>2900</v>
      </c>
      <c r="L29" s="214">
        <v>5000</v>
      </c>
      <c r="M29" s="214">
        <v>5500</v>
      </c>
      <c r="N29" s="214">
        <v>3200</v>
      </c>
      <c r="O29" s="214">
        <v>2900</v>
      </c>
      <c r="P29" s="214">
        <v>2900</v>
      </c>
      <c r="Q29" s="214">
        <v>2800</v>
      </c>
      <c r="R29" s="218">
        <f t="shared" si="3"/>
        <v>41400</v>
      </c>
    </row>
    <row r="30" spans="1:18" ht="23.25" customHeight="1">
      <c r="A30" s="134"/>
      <c r="B30" s="38"/>
      <c r="C30" s="135" t="s">
        <v>181</v>
      </c>
      <c r="D30" s="228" t="s">
        <v>95</v>
      </c>
      <c r="E30" s="214">
        <v>1900</v>
      </c>
      <c r="F30" s="214">
        <v>3500</v>
      </c>
      <c r="G30" s="214">
        <v>2100</v>
      </c>
      <c r="H30" s="214">
        <v>2900</v>
      </c>
      <c r="I30" s="214">
        <v>2900</v>
      </c>
      <c r="J30" s="214">
        <v>2900</v>
      </c>
      <c r="K30" s="214">
        <v>2900</v>
      </c>
      <c r="L30" s="214">
        <v>5000</v>
      </c>
      <c r="M30" s="214">
        <v>5500</v>
      </c>
      <c r="N30" s="214">
        <v>3100</v>
      </c>
      <c r="O30" s="214">
        <v>2900</v>
      </c>
      <c r="P30" s="214">
        <v>2900</v>
      </c>
      <c r="Q30" s="214">
        <v>2900</v>
      </c>
      <c r="R30" s="218">
        <f t="shared" si="3"/>
        <v>41400</v>
      </c>
    </row>
    <row r="31" spans="1:18" ht="22.95" customHeight="1">
      <c r="A31" s="134"/>
      <c r="B31" s="38"/>
      <c r="C31" s="135" t="s">
        <v>182</v>
      </c>
      <c r="D31" s="226" t="s">
        <v>98</v>
      </c>
      <c r="E31" s="214">
        <v>2000</v>
      </c>
      <c r="F31" s="214">
        <v>3500</v>
      </c>
      <c r="G31" s="214">
        <v>2200</v>
      </c>
      <c r="H31" s="214">
        <v>3000</v>
      </c>
      <c r="I31" s="214">
        <v>3000</v>
      </c>
      <c r="J31" s="214">
        <v>3000</v>
      </c>
      <c r="K31" s="214">
        <v>3000</v>
      </c>
      <c r="L31" s="214">
        <v>5000</v>
      </c>
      <c r="M31" s="214">
        <v>4000</v>
      </c>
      <c r="N31" s="214">
        <v>3300</v>
      </c>
      <c r="O31" s="214">
        <v>3000</v>
      </c>
      <c r="P31" s="214">
        <v>3000</v>
      </c>
      <c r="Q31" s="214">
        <v>3000</v>
      </c>
      <c r="R31" s="218">
        <f t="shared" si="3"/>
        <v>41000</v>
      </c>
    </row>
    <row r="32" spans="1:18" ht="23.25" customHeight="1">
      <c r="A32" s="134"/>
      <c r="B32" s="38"/>
      <c r="C32" s="135" t="s">
        <v>183</v>
      </c>
      <c r="D32" s="226" t="s">
        <v>102</v>
      </c>
      <c r="E32" s="214">
        <v>2000</v>
      </c>
      <c r="F32" s="214">
        <v>3500</v>
      </c>
      <c r="G32" s="346" t="s">
        <v>326</v>
      </c>
      <c r="H32" s="214">
        <v>5200</v>
      </c>
      <c r="I32" s="214">
        <v>3000</v>
      </c>
      <c r="J32" s="214">
        <v>3000</v>
      </c>
      <c r="K32" s="214">
        <v>3000</v>
      </c>
      <c r="L32" s="214">
        <v>5000</v>
      </c>
      <c r="M32" s="214">
        <v>4000</v>
      </c>
      <c r="N32" s="214">
        <v>3300</v>
      </c>
      <c r="O32" s="214">
        <v>3000</v>
      </c>
      <c r="P32" s="214">
        <v>3000</v>
      </c>
      <c r="Q32" s="214">
        <v>3000</v>
      </c>
      <c r="R32" s="218">
        <f t="shared" si="3"/>
        <v>41000</v>
      </c>
    </row>
    <row r="33" spans="1:18" ht="23.25" customHeight="1">
      <c r="A33" s="134"/>
      <c r="B33" s="38"/>
      <c r="C33" s="135" t="s">
        <v>184</v>
      </c>
      <c r="D33" s="226" t="s">
        <v>105</v>
      </c>
      <c r="E33" s="214">
        <v>800</v>
      </c>
      <c r="F33" s="214">
        <v>2800</v>
      </c>
      <c r="G33" s="214"/>
      <c r="H33" s="214">
        <v>800</v>
      </c>
      <c r="I33" s="214">
        <v>400</v>
      </c>
      <c r="J33" s="214">
        <v>400</v>
      </c>
      <c r="K33" s="214">
        <v>400</v>
      </c>
      <c r="L33" s="214">
        <v>4300</v>
      </c>
      <c r="M33" s="214"/>
      <c r="N33" s="214"/>
      <c r="O33" s="214">
        <v>2000</v>
      </c>
      <c r="P33" s="214">
        <v>1200</v>
      </c>
      <c r="Q33" s="214">
        <v>1600</v>
      </c>
      <c r="R33" s="218">
        <f t="shared" si="3"/>
        <v>14700</v>
      </c>
    </row>
    <row r="34" spans="1:18" ht="23.25" customHeight="1">
      <c r="A34" s="134"/>
      <c r="B34" s="38"/>
      <c r="C34" s="135" t="s">
        <v>185</v>
      </c>
      <c r="D34" s="226" t="s">
        <v>108</v>
      </c>
      <c r="E34" s="214" t="s">
        <v>307</v>
      </c>
      <c r="F34" s="214" t="s">
        <v>307</v>
      </c>
      <c r="G34" s="214" t="s">
        <v>307</v>
      </c>
      <c r="H34" s="214" t="s">
        <v>307</v>
      </c>
      <c r="I34" s="214" t="s">
        <v>307</v>
      </c>
      <c r="J34" s="214" t="s">
        <v>307</v>
      </c>
      <c r="K34" s="214" t="s">
        <v>307</v>
      </c>
      <c r="L34" s="214" t="s">
        <v>307</v>
      </c>
      <c r="M34" s="214" t="s">
        <v>307</v>
      </c>
      <c r="N34" s="214" t="s">
        <v>307</v>
      </c>
      <c r="O34" s="214" t="s">
        <v>307</v>
      </c>
      <c r="P34" s="214" t="s">
        <v>307</v>
      </c>
      <c r="Q34" s="214" t="s">
        <v>307</v>
      </c>
      <c r="R34" s="218">
        <f t="shared" si="3"/>
        <v>0</v>
      </c>
    </row>
    <row r="35" spans="1:18" ht="23.25" customHeight="1">
      <c r="A35" s="125"/>
      <c r="B35" s="42"/>
      <c r="C35" s="135" t="s">
        <v>186</v>
      </c>
      <c r="D35" s="228" t="s">
        <v>85</v>
      </c>
      <c r="E35" s="238">
        <v>2000</v>
      </c>
      <c r="F35" s="238">
        <v>2800</v>
      </c>
      <c r="G35" s="238">
        <v>2000</v>
      </c>
      <c r="H35" s="238">
        <v>2400</v>
      </c>
      <c r="I35" s="238">
        <v>2400</v>
      </c>
      <c r="J35" s="238">
        <v>2400</v>
      </c>
      <c r="K35" s="238">
        <v>2400</v>
      </c>
      <c r="L35" s="238">
        <v>3500</v>
      </c>
      <c r="M35" s="238">
        <v>4000</v>
      </c>
      <c r="N35" s="238">
        <v>2700</v>
      </c>
      <c r="O35" s="238">
        <v>2400</v>
      </c>
      <c r="P35" s="238">
        <v>2400</v>
      </c>
      <c r="Q35" s="238">
        <v>2300</v>
      </c>
      <c r="R35" s="218">
        <f t="shared" si="1"/>
        <v>33700</v>
      </c>
    </row>
    <row r="36" spans="1:18" ht="23.25" customHeight="1">
      <c r="A36" s="134"/>
      <c r="B36" s="38"/>
      <c r="C36" s="135" t="s">
        <v>187</v>
      </c>
      <c r="D36" s="226" t="s">
        <v>100</v>
      </c>
      <c r="E36" s="214">
        <v>2000</v>
      </c>
      <c r="F36" s="214">
        <v>3500</v>
      </c>
      <c r="G36" s="214">
        <v>2200</v>
      </c>
      <c r="H36" s="214">
        <v>3000</v>
      </c>
      <c r="I36" s="214">
        <v>3000</v>
      </c>
      <c r="J36" s="214">
        <v>3000</v>
      </c>
      <c r="K36" s="214">
        <v>3000</v>
      </c>
      <c r="L36" s="214">
        <v>5000</v>
      </c>
      <c r="M36" s="214">
        <v>5500</v>
      </c>
      <c r="N36" s="214">
        <v>3200</v>
      </c>
      <c r="O36" s="214">
        <v>3000</v>
      </c>
      <c r="P36" s="214">
        <v>3000</v>
      </c>
      <c r="Q36" s="214">
        <v>2900</v>
      </c>
      <c r="R36" s="218">
        <f>SUM(E36:Q36)</f>
        <v>42300</v>
      </c>
    </row>
    <row r="37" spans="1:18" ht="23.25" customHeight="1">
      <c r="A37" s="137">
        <v>6</v>
      </c>
      <c r="B37" s="135"/>
      <c r="C37" s="135" t="s">
        <v>188</v>
      </c>
      <c r="D37" s="226" t="s">
        <v>107</v>
      </c>
      <c r="E37" s="249">
        <v>2000</v>
      </c>
      <c r="F37" s="214">
        <v>3500</v>
      </c>
      <c r="G37" s="214">
        <v>2200</v>
      </c>
      <c r="H37" s="214">
        <v>3000</v>
      </c>
      <c r="I37" s="214">
        <v>3000</v>
      </c>
      <c r="J37" s="214">
        <v>3000</v>
      </c>
      <c r="K37" s="214">
        <v>3000</v>
      </c>
      <c r="L37" s="214">
        <v>5000</v>
      </c>
      <c r="M37" s="214"/>
      <c r="N37" s="214">
        <v>1600</v>
      </c>
      <c r="O37" s="214">
        <v>800</v>
      </c>
      <c r="P37" s="214"/>
      <c r="Q37" s="214">
        <v>4400</v>
      </c>
      <c r="R37" s="218">
        <f t="shared" ref="R37:R127" si="4">SUM(E37:Q37)</f>
        <v>31500</v>
      </c>
    </row>
    <row r="38" spans="1:18" ht="23.25" customHeight="1">
      <c r="A38" s="134"/>
      <c r="B38" s="38"/>
      <c r="C38" s="135" t="s">
        <v>189</v>
      </c>
      <c r="D38" s="226" t="s">
        <v>113</v>
      </c>
      <c r="E38" s="214">
        <v>2000</v>
      </c>
      <c r="F38" s="214" t="s">
        <v>294</v>
      </c>
      <c r="G38" s="214">
        <v>2200</v>
      </c>
      <c r="H38" s="214">
        <v>3000</v>
      </c>
      <c r="I38" s="214">
        <v>3000</v>
      </c>
      <c r="J38" s="214">
        <v>3000</v>
      </c>
      <c r="K38" s="214">
        <v>3000</v>
      </c>
      <c r="L38" s="214"/>
      <c r="M38" s="214"/>
      <c r="N38" s="214">
        <v>3300</v>
      </c>
      <c r="O38" s="214">
        <v>3000</v>
      </c>
      <c r="P38" s="214">
        <v>3000</v>
      </c>
      <c r="Q38" s="214">
        <v>3000</v>
      </c>
      <c r="R38" s="218">
        <f t="shared" si="4"/>
        <v>28500</v>
      </c>
    </row>
    <row r="39" spans="1:18" ht="23.25" customHeight="1">
      <c r="A39" s="139"/>
      <c r="B39" s="135"/>
      <c r="C39" s="135" t="s">
        <v>190</v>
      </c>
      <c r="D39" s="226" t="s">
        <v>114</v>
      </c>
      <c r="E39" s="249">
        <v>2000</v>
      </c>
      <c r="F39" s="214">
        <v>3500</v>
      </c>
      <c r="G39" s="346" t="s">
        <v>326</v>
      </c>
      <c r="H39" s="214">
        <v>4700</v>
      </c>
      <c r="I39" s="214">
        <v>2500</v>
      </c>
      <c r="J39" s="214">
        <v>2500</v>
      </c>
      <c r="K39" s="214">
        <v>2500</v>
      </c>
      <c r="L39" s="250">
        <v>5000</v>
      </c>
      <c r="M39" s="214">
        <v>5500</v>
      </c>
      <c r="N39" s="214">
        <v>2800</v>
      </c>
      <c r="O39" s="214">
        <v>2500</v>
      </c>
      <c r="P39" s="214">
        <v>2500</v>
      </c>
      <c r="Q39" s="214">
        <v>2500</v>
      </c>
      <c r="R39" s="218">
        <f t="shared" si="4"/>
        <v>38500</v>
      </c>
    </row>
    <row r="40" spans="1:18" ht="23.25" customHeight="1">
      <c r="A40" s="139"/>
      <c r="B40" s="135"/>
      <c r="C40" s="135" t="s">
        <v>191</v>
      </c>
      <c r="D40" s="226" t="s">
        <v>115</v>
      </c>
      <c r="E40" s="215">
        <v>2000</v>
      </c>
      <c r="F40" s="252">
        <v>3500</v>
      </c>
      <c r="G40" s="249">
        <v>2200</v>
      </c>
      <c r="H40" s="249">
        <v>3000</v>
      </c>
      <c r="I40" s="249">
        <v>3000</v>
      </c>
      <c r="J40" s="249">
        <v>3000</v>
      </c>
      <c r="K40" s="249">
        <v>3000</v>
      </c>
      <c r="L40" s="249">
        <v>5000</v>
      </c>
      <c r="M40" s="249">
        <v>5500</v>
      </c>
      <c r="N40" s="249">
        <v>3300</v>
      </c>
      <c r="O40" s="249">
        <v>3000</v>
      </c>
      <c r="P40" s="249">
        <v>3000</v>
      </c>
      <c r="Q40" s="249">
        <v>3000</v>
      </c>
      <c r="R40" s="218">
        <f t="shared" si="4"/>
        <v>42500</v>
      </c>
    </row>
    <row r="41" spans="1:18" ht="23.25" customHeight="1">
      <c r="A41" s="139"/>
      <c r="B41" s="135"/>
      <c r="C41" s="135" t="s">
        <v>192</v>
      </c>
      <c r="D41" s="226" t="s">
        <v>116</v>
      </c>
      <c r="E41" s="215">
        <v>2000</v>
      </c>
      <c r="F41" s="252" t="s">
        <v>308</v>
      </c>
      <c r="G41" s="249">
        <v>5000</v>
      </c>
      <c r="H41" s="249">
        <v>3000</v>
      </c>
      <c r="I41" s="249">
        <v>3000</v>
      </c>
      <c r="J41" s="249">
        <v>3000</v>
      </c>
      <c r="K41" s="249">
        <v>3000</v>
      </c>
      <c r="L41" s="249">
        <v>5000</v>
      </c>
      <c r="M41" s="249">
        <v>5500</v>
      </c>
      <c r="N41" s="249">
        <v>3200</v>
      </c>
      <c r="O41" s="249">
        <v>3000</v>
      </c>
      <c r="P41" s="249">
        <v>3000</v>
      </c>
      <c r="Q41" s="249">
        <v>2900</v>
      </c>
      <c r="R41" s="218">
        <f t="shared" si="4"/>
        <v>41600</v>
      </c>
    </row>
    <row r="42" spans="1:18" ht="23.25" customHeight="1">
      <c r="A42" s="139"/>
      <c r="B42" s="135"/>
      <c r="C42" s="135" t="s">
        <v>193</v>
      </c>
      <c r="D42" s="226" t="s">
        <v>119</v>
      </c>
      <c r="E42" s="215">
        <v>2000</v>
      </c>
      <c r="F42" s="252">
        <v>2000</v>
      </c>
      <c r="G42" s="249">
        <v>2200</v>
      </c>
      <c r="H42" s="249">
        <v>2500</v>
      </c>
      <c r="I42" s="249">
        <v>2500</v>
      </c>
      <c r="J42" s="249">
        <v>2500</v>
      </c>
      <c r="K42" s="249">
        <v>2500</v>
      </c>
      <c r="L42" s="249">
        <v>3500</v>
      </c>
      <c r="M42" s="249">
        <v>5500</v>
      </c>
      <c r="N42" s="249">
        <v>2800</v>
      </c>
      <c r="O42" s="249">
        <v>2500</v>
      </c>
      <c r="P42" s="249">
        <v>2500</v>
      </c>
      <c r="Q42" s="249">
        <v>2500</v>
      </c>
      <c r="R42" s="218">
        <f t="shared" si="4"/>
        <v>35500</v>
      </c>
    </row>
    <row r="43" spans="1:18" ht="23.25" customHeight="1">
      <c r="A43" s="139"/>
      <c r="B43" s="135"/>
      <c r="C43" s="135" t="s">
        <v>194</v>
      </c>
      <c r="D43" s="226" t="s">
        <v>120</v>
      </c>
      <c r="E43" s="215">
        <v>2000</v>
      </c>
      <c r="F43" s="252">
        <v>2800</v>
      </c>
      <c r="G43" s="249">
        <v>2200</v>
      </c>
      <c r="H43" s="249">
        <v>3000</v>
      </c>
      <c r="I43" s="373" t="s">
        <v>363</v>
      </c>
      <c r="J43" s="249">
        <v>6000</v>
      </c>
      <c r="K43" s="249">
        <v>3000</v>
      </c>
      <c r="L43" s="249"/>
      <c r="M43" s="249" t="s">
        <v>294</v>
      </c>
      <c r="N43" s="249">
        <v>3300</v>
      </c>
      <c r="O43" s="373" t="s">
        <v>586</v>
      </c>
      <c r="P43" s="249">
        <v>3000</v>
      </c>
      <c r="Q43" s="249"/>
      <c r="R43" s="218">
        <f t="shared" si="4"/>
        <v>25300</v>
      </c>
    </row>
    <row r="44" spans="1:18" ht="23.25" customHeight="1">
      <c r="A44" s="139"/>
      <c r="B44" s="135"/>
      <c r="C44" s="135" t="s">
        <v>195</v>
      </c>
      <c r="D44" s="226" t="s">
        <v>126</v>
      </c>
      <c r="E44" s="215">
        <v>2000</v>
      </c>
      <c r="F44" s="249">
        <v>3500</v>
      </c>
      <c r="G44" s="323">
        <v>2200</v>
      </c>
      <c r="H44" s="323">
        <v>3000</v>
      </c>
      <c r="I44" s="323">
        <v>3000</v>
      </c>
      <c r="J44" s="323">
        <v>3000</v>
      </c>
      <c r="K44" s="323">
        <v>3000</v>
      </c>
      <c r="L44" s="373" t="s">
        <v>458</v>
      </c>
      <c r="M44" s="323">
        <v>10500</v>
      </c>
      <c r="N44" s="323">
        <v>3300</v>
      </c>
      <c r="O44" s="323">
        <v>3000</v>
      </c>
      <c r="P44" s="323">
        <v>3000</v>
      </c>
      <c r="Q44" s="323">
        <v>3000</v>
      </c>
      <c r="R44" s="218">
        <f t="shared" si="4"/>
        <v>42500</v>
      </c>
    </row>
    <row r="45" spans="1:18" ht="23.25" customHeight="1">
      <c r="A45" s="139"/>
      <c r="B45" s="135"/>
      <c r="C45" s="135" t="s">
        <v>196</v>
      </c>
      <c r="D45" s="226" t="s">
        <v>121</v>
      </c>
      <c r="E45" s="215">
        <v>2000</v>
      </c>
      <c r="F45" s="249">
        <v>3500</v>
      </c>
      <c r="G45" s="249">
        <v>2200</v>
      </c>
      <c r="H45" s="249">
        <v>3000</v>
      </c>
      <c r="I45" s="249">
        <v>3000</v>
      </c>
      <c r="J45" s="249">
        <v>3000</v>
      </c>
      <c r="K45" s="249">
        <v>3000</v>
      </c>
      <c r="L45" s="249">
        <v>5000</v>
      </c>
      <c r="M45" s="249">
        <v>5500</v>
      </c>
      <c r="N45" s="249">
        <v>3300</v>
      </c>
      <c r="O45" s="249">
        <v>3000</v>
      </c>
      <c r="P45" s="249">
        <v>3000</v>
      </c>
      <c r="Q45" s="249">
        <v>3000</v>
      </c>
      <c r="R45" s="218">
        <f t="shared" si="4"/>
        <v>42500</v>
      </c>
    </row>
    <row r="46" spans="1:18" ht="23.25" customHeight="1">
      <c r="A46" s="139"/>
      <c r="B46" s="135"/>
      <c r="C46" s="135" t="s">
        <v>197</v>
      </c>
      <c r="D46" s="226" t="s">
        <v>123</v>
      </c>
      <c r="E46" s="239">
        <v>2000</v>
      </c>
      <c r="F46" s="238">
        <v>2800</v>
      </c>
      <c r="G46" s="239">
        <v>2200</v>
      </c>
      <c r="H46" s="347">
        <v>3000</v>
      </c>
      <c r="I46" s="372" t="s">
        <v>363</v>
      </c>
      <c r="J46" s="347">
        <v>6000</v>
      </c>
      <c r="K46" s="347">
        <v>3000</v>
      </c>
      <c r="L46" s="323">
        <v>5000</v>
      </c>
      <c r="M46" s="249">
        <v>5500</v>
      </c>
      <c r="N46" s="323">
        <v>3200</v>
      </c>
      <c r="O46" s="323">
        <v>3000</v>
      </c>
      <c r="P46" s="323">
        <v>3000</v>
      </c>
      <c r="Q46" s="323">
        <v>3000</v>
      </c>
      <c r="R46" s="218">
        <f t="shared" si="4"/>
        <v>41700</v>
      </c>
    </row>
    <row r="47" spans="1:18" ht="23.25" customHeight="1">
      <c r="A47" s="139"/>
      <c r="B47" s="135"/>
      <c r="C47" s="135" t="s">
        <v>198</v>
      </c>
      <c r="D47" s="228" t="s">
        <v>122</v>
      </c>
      <c r="E47" s="240">
        <v>1900</v>
      </c>
      <c r="F47" s="323">
        <v>2800</v>
      </c>
      <c r="G47" s="323">
        <v>2100</v>
      </c>
      <c r="H47" s="323">
        <v>2400</v>
      </c>
      <c r="I47" s="372" t="s">
        <v>363</v>
      </c>
      <c r="J47" s="323">
        <v>4800</v>
      </c>
      <c r="K47" s="323">
        <v>2400</v>
      </c>
      <c r="L47" s="323">
        <v>5000</v>
      </c>
      <c r="M47" s="249">
        <v>5500</v>
      </c>
      <c r="N47" s="323">
        <v>2700</v>
      </c>
      <c r="O47" s="323">
        <v>2400</v>
      </c>
      <c r="P47" s="323">
        <v>2400</v>
      </c>
      <c r="Q47" s="323">
        <v>2300</v>
      </c>
      <c r="R47" s="218">
        <f t="shared" si="4"/>
        <v>36700</v>
      </c>
    </row>
    <row r="48" spans="1:18" ht="23.25" customHeight="1">
      <c r="A48" s="139"/>
      <c r="B48" s="135"/>
      <c r="C48" s="135" t="s">
        <v>199</v>
      </c>
      <c r="D48" s="226" t="s">
        <v>124</v>
      </c>
      <c r="E48" s="215"/>
      <c r="F48" s="249">
        <v>2800</v>
      </c>
      <c r="G48" s="249"/>
      <c r="H48" s="249">
        <v>400</v>
      </c>
      <c r="I48" s="249">
        <v>1600</v>
      </c>
      <c r="J48" s="249">
        <v>1200</v>
      </c>
      <c r="K48" s="249">
        <v>400</v>
      </c>
      <c r="L48" s="249">
        <v>1200</v>
      </c>
      <c r="M48" s="249">
        <v>800</v>
      </c>
      <c r="N48" s="249"/>
      <c r="O48" s="249"/>
      <c r="P48" s="249">
        <v>800</v>
      </c>
      <c r="Q48" s="249"/>
      <c r="R48" s="218">
        <f t="shared" si="4"/>
        <v>9200</v>
      </c>
    </row>
    <row r="49" spans="1:18" ht="23.25" customHeight="1">
      <c r="A49" s="139"/>
      <c r="B49" s="135"/>
      <c r="C49" s="135" t="s">
        <v>200</v>
      </c>
      <c r="D49" s="226" t="s">
        <v>138</v>
      </c>
      <c r="E49" s="215">
        <v>3000</v>
      </c>
      <c r="F49" s="252">
        <v>2000</v>
      </c>
      <c r="G49" s="249">
        <v>2200</v>
      </c>
      <c r="H49" s="249">
        <v>3000</v>
      </c>
      <c r="I49" s="249">
        <v>3000</v>
      </c>
      <c r="J49" s="373" t="s">
        <v>392</v>
      </c>
      <c r="K49" s="249">
        <v>3000</v>
      </c>
      <c r="L49" s="249">
        <v>6500</v>
      </c>
      <c r="M49" s="249">
        <v>4000</v>
      </c>
      <c r="N49" s="249">
        <v>3300</v>
      </c>
      <c r="O49" s="249">
        <v>3000</v>
      </c>
      <c r="P49" s="373" t="s">
        <v>606</v>
      </c>
      <c r="Q49" s="249">
        <v>6000</v>
      </c>
      <c r="R49" s="218">
        <f t="shared" si="4"/>
        <v>39000</v>
      </c>
    </row>
    <row r="50" spans="1:18" ht="23.25" customHeight="1">
      <c r="A50" s="139"/>
      <c r="B50" s="135"/>
      <c r="C50" s="135" t="s">
        <v>201</v>
      </c>
      <c r="D50" s="226" t="s">
        <v>127</v>
      </c>
      <c r="E50" s="240">
        <v>2000</v>
      </c>
      <c r="F50" s="255">
        <v>2800</v>
      </c>
      <c r="G50" s="323">
        <v>2200</v>
      </c>
      <c r="H50" s="323">
        <v>3000</v>
      </c>
      <c r="I50" s="323">
        <v>3000</v>
      </c>
      <c r="J50" s="323">
        <v>3000</v>
      </c>
      <c r="K50" s="323">
        <v>3000</v>
      </c>
      <c r="L50" s="323">
        <v>3500</v>
      </c>
      <c r="M50" s="323">
        <v>4000</v>
      </c>
      <c r="N50" s="323">
        <v>3300</v>
      </c>
      <c r="O50" s="323">
        <v>3000</v>
      </c>
      <c r="P50" s="323">
        <v>3000</v>
      </c>
      <c r="Q50" s="323">
        <v>3000</v>
      </c>
      <c r="R50" s="218">
        <f t="shared" si="4"/>
        <v>38800</v>
      </c>
    </row>
    <row r="51" spans="1:18" ht="23.25" customHeight="1">
      <c r="A51" s="139"/>
      <c r="B51" s="135"/>
      <c r="C51" s="135" t="s">
        <v>202</v>
      </c>
      <c r="D51" s="226" t="s">
        <v>128</v>
      </c>
      <c r="E51" s="240">
        <v>2000</v>
      </c>
      <c r="F51" s="255">
        <v>2800</v>
      </c>
      <c r="G51" s="323">
        <v>2200</v>
      </c>
      <c r="H51" s="323">
        <v>2500</v>
      </c>
      <c r="I51" s="323">
        <v>2500</v>
      </c>
      <c r="J51" s="323">
        <v>2500</v>
      </c>
      <c r="K51" s="323">
        <v>2500</v>
      </c>
      <c r="L51" s="323">
        <v>3500</v>
      </c>
      <c r="M51" s="323">
        <v>4000</v>
      </c>
      <c r="N51" s="323">
        <v>2800</v>
      </c>
      <c r="O51" s="323">
        <v>2500</v>
      </c>
      <c r="P51" s="323">
        <v>2500</v>
      </c>
      <c r="Q51" s="323">
        <v>2500</v>
      </c>
      <c r="R51" s="218">
        <f t="shared" si="4"/>
        <v>34800</v>
      </c>
    </row>
    <row r="52" spans="1:18" ht="23.25" customHeight="1">
      <c r="A52" s="139"/>
      <c r="B52" s="135"/>
      <c r="C52" s="135" t="s">
        <v>203</v>
      </c>
      <c r="D52" s="226" t="s">
        <v>129</v>
      </c>
      <c r="E52" s="215">
        <v>2000</v>
      </c>
      <c r="F52" s="252">
        <v>3500</v>
      </c>
      <c r="G52" s="249">
        <v>2200</v>
      </c>
      <c r="H52" s="249">
        <v>3000</v>
      </c>
      <c r="I52" s="249">
        <v>3000</v>
      </c>
      <c r="J52" s="249">
        <v>3000</v>
      </c>
      <c r="K52" s="249">
        <v>3000</v>
      </c>
      <c r="L52" s="249">
        <v>3500</v>
      </c>
      <c r="M52" s="249">
        <v>4000</v>
      </c>
      <c r="N52" s="249">
        <v>3300</v>
      </c>
      <c r="O52" s="249">
        <v>3000</v>
      </c>
      <c r="P52" s="249">
        <v>3000</v>
      </c>
      <c r="Q52" s="249">
        <v>3000</v>
      </c>
      <c r="R52" s="218">
        <f t="shared" si="4"/>
        <v>39500</v>
      </c>
    </row>
    <row r="53" spans="1:18" ht="23.25" customHeight="1">
      <c r="A53" s="139"/>
      <c r="B53" s="135"/>
      <c r="C53" s="135" t="s">
        <v>204</v>
      </c>
      <c r="D53" s="226" t="s">
        <v>130</v>
      </c>
      <c r="E53" s="215">
        <v>2000</v>
      </c>
      <c r="F53" s="252">
        <v>3500</v>
      </c>
      <c r="G53" s="249">
        <v>2200</v>
      </c>
      <c r="H53" s="249">
        <v>3000</v>
      </c>
      <c r="I53" s="249">
        <v>3000</v>
      </c>
      <c r="J53" s="249">
        <v>3000</v>
      </c>
      <c r="K53" s="249">
        <v>3000</v>
      </c>
      <c r="L53" s="249">
        <v>5000</v>
      </c>
      <c r="M53" s="249">
        <v>5500</v>
      </c>
      <c r="N53" s="249">
        <v>3300</v>
      </c>
      <c r="O53" s="249">
        <v>3000</v>
      </c>
      <c r="P53" s="249">
        <v>3000</v>
      </c>
      <c r="Q53" s="249">
        <v>3000</v>
      </c>
      <c r="R53" s="218">
        <f t="shared" si="4"/>
        <v>42500</v>
      </c>
    </row>
    <row r="54" spans="1:18" ht="23.25" customHeight="1">
      <c r="A54" s="206"/>
      <c r="B54" s="207"/>
      <c r="C54" s="207" t="s">
        <v>205</v>
      </c>
      <c r="D54" s="229" t="s">
        <v>139</v>
      </c>
      <c r="E54" s="217">
        <v>2000</v>
      </c>
      <c r="F54" s="253">
        <v>3500</v>
      </c>
      <c r="G54" s="254">
        <v>2200</v>
      </c>
      <c r="H54" s="254">
        <v>3000</v>
      </c>
      <c r="I54" s="254">
        <v>3000</v>
      </c>
      <c r="J54" s="254">
        <v>3000</v>
      </c>
      <c r="K54" s="254">
        <v>3000</v>
      </c>
      <c r="L54" s="254">
        <v>3500</v>
      </c>
      <c r="M54" s="254">
        <v>5500</v>
      </c>
      <c r="N54" s="254">
        <v>3300</v>
      </c>
      <c r="O54" s="254">
        <v>3000</v>
      </c>
      <c r="P54" s="254">
        <v>3000</v>
      </c>
      <c r="Q54" s="254">
        <v>3000</v>
      </c>
      <c r="R54" s="221">
        <f t="shared" si="4"/>
        <v>41000</v>
      </c>
    </row>
    <row r="55" spans="1:18" ht="23.25" customHeight="1">
      <c r="A55" s="206"/>
      <c r="B55" s="207"/>
      <c r="C55" s="207" t="s">
        <v>206</v>
      </c>
      <c r="D55" s="229" t="s">
        <v>140</v>
      </c>
      <c r="E55" s="217">
        <v>2000</v>
      </c>
      <c r="F55" s="253">
        <v>3500</v>
      </c>
      <c r="G55" s="254">
        <v>2200</v>
      </c>
      <c r="H55" s="254">
        <v>3000</v>
      </c>
      <c r="I55" s="254">
        <v>3000</v>
      </c>
      <c r="J55" s="254">
        <v>3000</v>
      </c>
      <c r="K55" s="254">
        <v>3000</v>
      </c>
      <c r="L55" s="254">
        <v>5000</v>
      </c>
      <c r="M55" s="254">
        <v>5500</v>
      </c>
      <c r="N55" s="254">
        <v>3300</v>
      </c>
      <c r="O55" s="337" t="s">
        <v>586</v>
      </c>
      <c r="P55" s="254">
        <v>6000</v>
      </c>
      <c r="Q55" s="254">
        <v>3000</v>
      </c>
      <c r="R55" s="221">
        <f t="shared" ref="R55:R99" si="5">SUM(E55:Q55)</f>
        <v>42500</v>
      </c>
    </row>
    <row r="56" spans="1:18" ht="23.25" customHeight="1">
      <c r="A56" s="206"/>
      <c r="B56" s="207"/>
      <c r="C56" s="207" t="s">
        <v>207</v>
      </c>
      <c r="D56" s="229" t="s">
        <v>141</v>
      </c>
      <c r="E56" s="217">
        <v>2000</v>
      </c>
      <c r="F56" s="253">
        <v>2800</v>
      </c>
      <c r="G56" s="254">
        <v>2200</v>
      </c>
      <c r="H56" s="254">
        <v>3000</v>
      </c>
      <c r="I56" s="254">
        <v>3000</v>
      </c>
      <c r="J56" s="254">
        <v>3000</v>
      </c>
      <c r="K56" s="254">
        <v>3000</v>
      </c>
      <c r="L56" s="254">
        <v>3500</v>
      </c>
      <c r="M56" s="254">
        <v>4000</v>
      </c>
      <c r="N56" s="254">
        <v>3300</v>
      </c>
      <c r="O56" s="254">
        <v>3000</v>
      </c>
      <c r="P56" s="254">
        <v>3000</v>
      </c>
      <c r="Q56" s="254">
        <v>3000</v>
      </c>
      <c r="R56" s="221">
        <f t="shared" si="5"/>
        <v>38800</v>
      </c>
    </row>
    <row r="57" spans="1:18" ht="23.25" customHeight="1">
      <c r="A57" s="206"/>
      <c r="B57" s="207"/>
      <c r="C57" s="207" t="s">
        <v>208</v>
      </c>
      <c r="D57" s="229" t="s">
        <v>142</v>
      </c>
      <c r="E57" s="357" t="s">
        <v>301</v>
      </c>
      <c r="F57" s="253">
        <v>3600</v>
      </c>
      <c r="G57" s="337" t="s">
        <v>326</v>
      </c>
      <c r="H57" s="254">
        <v>5200</v>
      </c>
      <c r="I57" s="337" t="s">
        <v>385</v>
      </c>
      <c r="J57" s="254">
        <v>6000</v>
      </c>
      <c r="K57" s="254">
        <v>3000</v>
      </c>
      <c r="L57" s="254">
        <v>3500</v>
      </c>
      <c r="M57" s="254" t="s">
        <v>294</v>
      </c>
      <c r="N57" s="254" t="s">
        <v>307</v>
      </c>
      <c r="O57" s="254" t="s">
        <v>307</v>
      </c>
      <c r="P57" s="254" t="s">
        <v>307</v>
      </c>
      <c r="Q57" s="254" t="s">
        <v>307</v>
      </c>
      <c r="R57" s="221">
        <f t="shared" si="5"/>
        <v>21300</v>
      </c>
    </row>
    <row r="58" spans="1:18" ht="23.25" customHeight="1">
      <c r="A58" s="206"/>
      <c r="B58" s="207"/>
      <c r="C58" s="207" t="s">
        <v>209</v>
      </c>
      <c r="D58" s="230" t="s">
        <v>143</v>
      </c>
      <c r="E58" s="217">
        <v>1900</v>
      </c>
      <c r="F58" s="331" t="s">
        <v>301</v>
      </c>
      <c r="G58" s="254">
        <v>4900</v>
      </c>
      <c r="H58" s="254">
        <v>2900</v>
      </c>
      <c r="I58" s="254">
        <v>2900</v>
      </c>
      <c r="J58" s="337" t="s">
        <v>392</v>
      </c>
      <c r="K58" s="254">
        <v>5800</v>
      </c>
      <c r="L58" s="254">
        <v>5000</v>
      </c>
      <c r="M58" s="254">
        <v>5500</v>
      </c>
      <c r="N58" s="254">
        <v>3100</v>
      </c>
      <c r="O58" s="337" t="s">
        <v>586</v>
      </c>
      <c r="P58" s="254">
        <v>2900</v>
      </c>
      <c r="Q58" s="254">
        <v>5700</v>
      </c>
      <c r="R58" s="221">
        <f t="shared" si="5"/>
        <v>40600</v>
      </c>
    </row>
    <row r="59" spans="1:18" ht="23.25" customHeight="1">
      <c r="A59" s="206"/>
      <c r="B59" s="207"/>
      <c r="C59" s="207" t="s">
        <v>210</v>
      </c>
      <c r="D59" s="382" t="s">
        <v>144</v>
      </c>
      <c r="E59" s="217">
        <v>2000</v>
      </c>
      <c r="F59" s="332">
        <v>3500</v>
      </c>
      <c r="G59" s="254">
        <v>2200</v>
      </c>
      <c r="H59" s="254">
        <v>2500</v>
      </c>
      <c r="I59" s="254">
        <v>2500</v>
      </c>
      <c r="J59" s="254">
        <v>2500</v>
      </c>
      <c r="K59" s="254">
        <v>2500</v>
      </c>
      <c r="L59" s="254">
        <v>5000</v>
      </c>
      <c r="M59" s="254" t="s">
        <v>294</v>
      </c>
      <c r="N59" s="254">
        <v>2800</v>
      </c>
      <c r="O59" s="254">
        <v>2500</v>
      </c>
      <c r="P59" s="254">
        <v>2500</v>
      </c>
      <c r="Q59" s="254">
        <v>2500</v>
      </c>
      <c r="R59" s="221">
        <f t="shared" si="5"/>
        <v>33000</v>
      </c>
    </row>
    <row r="60" spans="1:18" ht="23.25" customHeight="1">
      <c r="A60" s="206"/>
      <c r="B60" s="207"/>
      <c r="C60" s="207" t="s">
        <v>211</v>
      </c>
      <c r="D60" s="229" t="s">
        <v>145</v>
      </c>
      <c r="E60" s="217">
        <v>2000</v>
      </c>
      <c r="F60" s="253">
        <v>2800</v>
      </c>
      <c r="G60" s="254" t="s">
        <v>251</v>
      </c>
      <c r="H60" s="254">
        <v>3300</v>
      </c>
      <c r="I60" s="254">
        <v>3000</v>
      </c>
      <c r="J60" s="254">
        <v>3000</v>
      </c>
      <c r="K60" s="254">
        <v>3000</v>
      </c>
      <c r="L60" s="254">
        <v>5000</v>
      </c>
      <c r="M60" s="254">
        <v>5500</v>
      </c>
      <c r="N60" s="254">
        <v>3300</v>
      </c>
      <c r="O60" s="254">
        <v>3000</v>
      </c>
      <c r="P60" s="254">
        <v>3000</v>
      </c>
      <c r="Q60" s="254">
        <v>3000</v>
      </c>
      <c r="R60" s="221">
        <f t="shared" si="5"/>
        <v>39900</v>
      </c>
    </row>
    <row r="61" spans="1:18" ht="23.25" customHeight="1">
      <c r="A61" s="206"/>
      <c r="B61" s="207"/>
      <c r="C61" s="207" t="s">
        <v>212</v>
      </c>
      <c r="D61" s="229" t="s">
        <v>146</v>
      </c>
      <c r="E61" s="217">
        <v>2000</v>
      </c>
      <c r="F61" s="253" t="s">
        <v>294</v>
      </c>
      <c r="G61" s="254" t="s">
        <v>307</v>
      </c>
      <c r="H61" s="254" t="s">
        <v>307</v>
      </c>
      <c r="I61" s="254" t="s">
        <v>307</v>
      </c>
      <c r="J61" s="254" t="s">
        <v>307</v>
      </c>
      <c r="K61" s="254" t="s">
        <v>307</v>
      </c>
      <c r="L61" s="254" t="s">
        <v>307</v>
      </c>
      <c r="M61" s="254" t="s">
        <v>307</v>
      </c>
      <c r="N61" s="254" t="s">
        <v>307</v>
      </c>
      <c r="O61" s="254" t="s">
        <v>307</v>
      </c>
      <c r="P61" s="254" t="s">
        <v>307</v>
      </c>
      <c r="Q61" s="254" t="s">
        <v>307</v>
      </c>
      <c r="R61" s="221">
        <f t="shared" si="5"/>
        <v>2000</v>
      </c>
    </row>
    <row r="62" spans="1:18" ht="23.25" customHeight="1">
      <c r="A62" s="206"/>
      <c r="B62" s="207"/>
      <c r="C62" s="207" t="s">
        <v>213</v>
      </c>
      <c r="D62" s="229" t="s">
        <v>147</v>
      </c>
      <c r="E62" s="217">
        <v>2000</v>
      </c>
      <c r="F62" s="253">
        <v>3500</v>
      </c>
      <c r="G62" s="254">
        <v>2200</v>
      </c>
      <c r="H62" s="254">
        <v>3000</v>
      </c>
      <c r="I62" s="254">
        <v>3000</v>
      </c>
      <c r="J62" s="254">
        <v>3000</v>
      </c>
      <c r="K62" s="254">
        <v>3000</v>
      </c>
      <c r="L62" s="254">
        <v>5000</v>
      </c>
      <c r="M62" s="254">
        <v>5500</v>
      </c>
      <c r="N62" s="254">
        <v>3300</v>
      </c>
      <c r="O62" s="254">
        <v>3000</v>
      </c>
      <c r="P62" s="254">
        <v>3000</v>
      </c>
      <c r="Q62" s="254">
        <v>3000</v>
      </c>
      <c r="R62" s="221">
        <f t="shared" si="5"/>
        <v>42500</v>
      </c>
    </row>
    <row r="63" spans="1:18" ht="23.25" customHeight="1">
      <c r="A63" s="206"/>
      <c r="B63" s="207"/>
      <c r="C63" s="207" t="s">
        <v>214</v>
      </c>
      <c r="D63" s="229" t="s">
        <v>148</v>
      </c>
      <c r="E63" s="217">
        <v>2000</v>
      </c>
      <c r="F63" s="253">
        <v>2800</v>
      </c>
      <c r="G63" s="254">
        <v>2200</v>
      </c>
      <c r="H63" s="254">
        <v>2500</v>
      </c>
      <c r="I63" s="254">
        <v>2500</v>
      </c>
      <c r="J63" s="254">
        <v>2500</v>
      </c>
      <c r="K63" s="254">
        <v>2500</v>
      </c>
      <c r="L63" s="405">
        <v>3500</v>
      </c>
      <c r="M63" s="405">
        <v>4000</v>
      </c>
      <c r="N63" s="405">
        <v>2800</v>
      </c>
      <c r="O63" s="405">
        <v>2500</v>
      </c>
      <c r="P63" s="254">
        <v>2500</v>
      </c>
      <c r="Q63" s="405">
        <v>2500</v>
      </c>
      <c r="R63" s="221">
        <f t="shared" si="5"/>
        <v>34800</v>
      </c>
    </row>
    <row r="64" spans="1:18" ht="23.25" customHeight="1">
      <c r="A64" s="206"/>
      <c r="B64" s="207"/>
      <c r="C64" s="207" t="s">
        <v>215</v>
      </c>
      <c r="D64" s="229" t="s">
        <v>149</v>
      </c>
      <c r="E64" s="217">
        <v>2000</v>
      </c>
      <c r="F64" s="253"/>
      <c r="G64" s="254">
        <v>2200</v>
      </c>
      <c r="H64" s="254">
        <v>3000</v>
      </c>
      <c r="I64" s="254">
        <v>3000</v>
      </c>
      <c r="J64" s="254">
        <v>3000</v>
      </c>
      <c r="K64" s="254">
        <v>3000</v>
      </c>
      <c r="L64" s="254"/>
      <c r="M64" s="254">
        <v>4000</v>
      </c>
      <c r="N64" s="254">
        <v>3300</v>
      </c>
      <c r="O64" s="254">
        <v>3000</v>
      </c>
      <c r="P64" s="254">
        <v>3000</v>
      </c>
      <c r="Q64" s="254">
        <v>3000</v>
      </c>
      <c r="R64" s="221">
        <f t="shared" si="5"/>
        <v>32500</v>
      </c>
    </row>
    <row r="65" spans="1:18" ht="23.25" customHeight="1">
      <c r="A65" s="206"/>
      <c r="B65" s="207"/>
      <c r="C65" s="207" t="s">
        <v>216</v>
      </c>
      <c r="D65" s="229" t="s">
        <v>150</v>
      </c>
      <c r="E65" s="217">
        <v>2000</v>
      </c>
      <c r="F65" s="253">
        <v>3500</v>
      </c>
      <c r="G65" s="254">
        <v>2200</v>
      </c>
      <c r="H65" s="254">
        <v>3000</v>
      </c>
      <c r="I65" s="254">
        <v>3000</v>
      </c>
      <c r="J65" s="254">
        <v>3000</v>
      </c>
      <c r="K65" s="254">
        <v>3000</v>
      </c>
      <c r="L65" s="405">
        <v>5000</v>
      </c>
      <c r="M65" s="405">
        <v>5500</v>
      </c>
      <c r="N65" s="405">
        <v>3300</v>
      </c>
      <c r="O65" s="405">
        <v>3000</v>
      </c>
      <c r="P65" s="254">
        <v>3000</v>
      </c>
      <c r="Q65" s="405">
        <v>3000</v>
      </c>
      <c r="R65" s="221">
        <f t="shared" si="5"/>
        <v>42500</v>
      </c>
    </row>
    <row r="66" spans="1:18" ht="23.25" customHeight="1">
      <c r="A66" s="206"/>
      <c r="B66" s="207"/>
      <c r="C66" s="207" t="s">
        <v>217</v>
      </c>
      <c r="D66" s="229" t="s">
        <v>151</v>
      </c>
      <c r="E66" s="217">
        <v>2000</v>
      </c>
      <c r="F66" s="253"/>
      <c r="G66" s="254">
        <v>1600</v>
      </c>
      <c r="H66" s="254">
        <v>5200</v>
      </c>
      <c r="I66" s="254">
        <v>3000</v>
      </c>
      <c r="J66" s="254">
        <v>3000</v>
      </c>
      <c r="K66" s="254">
        <v>3000</v>
      </c>
      <c r="L66" s="254">
        <v>3500</v>
      </c>
      <c r="M66" s="254">
        <v>5500</v>
      </c>
      <c r="N66" s="254">
        <v>3300</v>
      </c>
      <c r="O66" s="337" t="s">
        <v>586</v>
      </c>
      <c r="P66" s="254">
        <v>6000</v>
      </c>
      <c r="Q66" s="254">
        <v>3000</v>
      </c>
      <c r="R66" s="221">
        <f t="shared" si="5"/>
        <v>39100</v>
      </c>
    </row>
    <row r="67" spans="1:18" ht="23.25" customHeight="1">
      <c r="A67" s="206"/>
      <c r="B67" s="207"/>
      <c r="C67" s="207" t="s">
        <v>218</v>
      </c>
      <c r="D67" s="229" t="s">
        <v>152</v>
      </c>
      <c r="E67" s="217">
        <v>2000</v>
      </c>
      <c r="F67" s="253"/>
      <c r="G67" s="254">
        <v>3400</v>
      </c>
      <c r="H67" s="254">
        <v>3000</v>
      </c>
      <c r="I67" s="254">
        <v>3000</v>
      </c>
      <c r="J67" s="254">
        <v>3000</v>
      </c>
      <c r="K67" s="254">
        <v>3000</v>
      </c>
      <c r="L67" s="254">
        <v>3500</v>
      </c>
      <c r="M67" s="254">
        <v>4000</v>
      </c>
      <c r="N67" s="254">
        <v>3300</v>
      </c>
      <c r="O67" s="254">
        <v>3000</v>
      </c>
      <c r="P67" s="254">
        <v>3000</v>
      </c>
      <c r="Q67" s="254">
        <v>3000</v>
      </c>
      <c r="R67" s="221">
        <f t="shared" si="5"/>
        <v>37200</v>
      </c>
    </row>
    <row r="68" spans="1:18" ht="23.25" customHeight="1">
      <c r="A68" s="206"/>
      <c r="B68" s="207"/>
      <c r="C68" s="207" t="s">
        <v>250</v>
      </c>
      <c r="D68" s="229" t="s">
        <v>248</v>
      </c>
      <c r="E68" s="217">
        <v>2000</v>
      </c>
      <c r="F68" s="219"/>
      <c r="G68" s="254">
        <v>3400</v>
      </c>
      <c r="H68" s="254">
        <v>2000</v>
      </c>
      <c r="I68" s="254">
        <v>3000</v>
      </c>
      <c r="J68" s="254">
        <v>3000</v>
      </c>
      <c r="K68" s="254">
        <v>3000</v>
      </c>
      <c r="L68" s="220"/>
      <c r="M68" s="220">
        <v>400</v>
      </c>
      <c r="N68" s="220"/>
      <c r="O68" s="254">
        <v>2400</v>
      </c>
      <c r="P68" s="254">
        <v>2400</v>
      </c>
      <c r="Q68" s="254">
        <v>2000</v>
      </c>
      <c r="R68" s="221">
        <f t="shared" si="5"/>
        <v>23600</v>
      </c>
    </row>
    <row r="69" spans="1:18" ht="23.25" customHeight="1">
      <c r="A69" s="206"/>
      <c r="B69" s="207"/>
      <c r="C69" s="207" t="s">
        <v>275</v>
      </c>
      <c r="D69" s="229" t="s">
        <v>228</v>
      </c>
      <c r="E69" s="217">
        <v>2000</v>
      </c>
      <c r="F69" s="253">
        <v>3500</v>
      </c>
      <c r="G69" s="220"/>
      <c r="H69" s="254">
        <v>400</v>
      </c>
      <c r="I69" s="254">
        <v>1200</v>
      </c>
      <c r="J69" s="254">
        <v>1600</v>
      </c>
      <c r="K69" s="254">
        <v>1200</v>
      </c>
      <c r="L69" s="220">
        <v>1600</v>
      </c>
      <c r="M69" s="220">
        <v>7500</v>
      </c>
      <c r="N69" s="220"/>
      <c r="O69" s="254">
        <v>1200</v>
      </c>
      <c r="P69" s="254">
        <v>400</v>
      </c>
      <c r="Q69" s="254">
        <v>800</v>
      </c>
      <c r="R69" s="221">
        <f t="shared" si="5"/>
        <v>21400</v>
      </c>
    </row>
    <row r="70" spans="1:18" ht="23.25" customHeight="1">
      <c r="A70" s="206"/>
      <c r="B70" s="207"/>
      <c r="C70" s="207" t="s">
        <v>276</v>
      </c>
      <c r="D70" s="229" t="s">
        <v>267</v>
      </c>
      <c r="E70" s="217"/>
      <c r="F70" s="253">
        <v>2800</v>
      </c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1">
        <f t="shared" si="5"/>
        <v>2800</v>
      </c>
    </row>
    <row r="71" spans="1:18" ht="23.25" customHeight="1">
      <c r="A71" s="206"/>
      <c r="B71" s="207"/>
      <c r="C71" s="207" t="s">
        <v>277</v>
      </c>
      <c r="D71" s="229" t="s">
        <v>268</v>
      </c>
      <c r="E71" s="217"/>
      <c r="F71" s="253">
        <v>3500</v>
      </c>
      <c r="G71" s="220"/>
      <c r="H71" s="220"/>
      <c r="I71" s="220"/>
      <c r="J71" s="220"/>
      <c r="K71" s="220"/>
      <c r="L71" s="220">
        <v>5000</v>
      </c>
      <c r="M71" s="220">
        <v>5500</v>
      </c>
      <c r="N71" s="220"/>
      <c r="O71" s="220"/>
      <c r="P71" s="220"/>
      <c r="Q71" s="220"/>
      <c r="R71" s="221">
        <f t="shared" si="5"/>
        <v>14000</v>
      </c>
    </row>
    <row r="72" spans="1:18" ht="23.25" customHeight="1">
      <c r="A72" s="206"/>
      <c r="B72" s="207"/>
      <c r="C72" s="207" t="s">
        <v>278</v>
      </c>
      <c r="D72" s="229" t="s">
        <v>269</v>
      </c>
      <c r="E72" s="217"/>
      <c r="F72" s="253">
        <v>2800</v>
      </c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1">
        <f t="shared" si="5"/>
        <v>2800</v>
      </c>
    </row>
    <row r="73" spans="1:18" ht="23.25" customHeight="1">
      <c r="A73" s="206"/>
      <c r="B73" s="207"/>
      <c r="C73" s="207" t="s">
        <v>279</v>
      </c>
      <c r="D73" s="229" t="s">
        <v>270</v>
      </c>
      <c r="E73" s="217"/>
      <c r="F73" s="253">
        <v>3500</v>
      </c>
      <c r="G73" s="220"/>
      <c r="H73" s="220"/>
      <c r="I73" s="220"/>
      <c r="J73" s="220"/>
      <c r="K73" s="220"/>
      <c r="L73" s="220">
        <v>5000</v>
      </c>
      <c r="M73" s="220">
        <v>4000</v>
      </c>
      <c r="N73" s="220"/>
      <c r="O73" s="220"/>
      <c r="P73" s="220"/>
      <c r="Q73" s="220"/>
      <c r="R73" s="221">
        <f t="shared" si="5"/>
        <v>12500</v>
      </c>
    </row>
    <row r="74" spans="1:18" ht="23.25" customHeight="1">
      <c r="A74" s="206"/>
      <c r="B74" s="207"/>
      <c r="C74" s="207" t="s">
        <v>280</v>
      </c>
      <c r="D74" s="229" t="s">
        <v>271</v>
      </c>
      <c r="E74" s="217"/>
      <c r="F74" s="253">
        <v>3500</v>
      </c>
      <c r="G74" s="220"/>
      <c r="H74" s="220"/>
      <c r="I74" s="220"/>
      <c r="J74" s="220"/>
      <c r="K74" s="220"/>
      <c r="L74" s="220">
        <v>3500</v>
      </c>
      <c r="M74" s="220">
        <v>4000</v>
      </c>
      <c r="N74" s="220"/>
      <c r="O74" s="220"/>
      <c r="P74" s="220"/>
      <c r="Q74" s="220"/>
      <c r="R74" s="221">
        <f t="shared" si="5"/>
        <v>11000</v>
      </c>
    </row>
    <row r="75" spans="1:18" ht="23.25" customHeight="1">
      <c r="A75" s="206"/>
      <c r="B75" s="207"/>
      <c r="C75" s="207" t="s">
        <v>281</v>
      </c>
      <c r="D75" s="229" t="s">
        <v>272</v>
      </c>
      <c r="E75" s="217"/>
      <c r="F75" s="253">
        <v>3500</v>
      </c>
      <c r="G75" s="220"/>
      <c r="H75" s="220"/>
      <c r="I75" s="254">
        <v>2300</v>
      </c>
      <c r="J75" s="254">
        <v>3000</v>
      </c>
      <c r="K75" s="254">
        <v>3000</v>
      </c>
      <c r="L75" s="220">
        <v>5000</v>
      </c>
      <c r="M75" s="220">
        <v>5500</v>
      </c>
      <c r="N75" s="220">
        <v>3300</v>
      </c>
      <c r="O75" s="220">
        <v>3000</v>
      </c>
      <c r="P75" s="220">
        <v>3000</v>
      </c>
      <c r="Q75" s="220">
        <v>3000</v>
      </c>
      <c r="R75" s="221">
        <f t="shared" si="5"/>
        <v>34600</v>
      </c>
    </row>
    <row r="76" spans="1:18" ht="23.25" customHeight="1">
      <c r="A76" s="206"/>
      <c r="B76" s="207"/>
      <c r="C76" s="207" t="s">
        <v>282</v>
      </c>
      <c r="D76" s="229" t="s">
        <v>273</v>
      </c>
      <c r="E76" s="217"/>
      <c r="F76" s="253">
        <v>2800</v>
      </c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1">
        <f t="shared" si="5"/>
        <v>2800</v>
      </c>
    </row>
    <row r="77" spans="1:18" ht="23.25" customHeight="1">
      <c r="A77" s="324"/>
      <c r="B77" s="325"/>
      <c r="C77" s="325" t="s">
        <v>293</v>
      </c>
      <c r="D77" s="326" t="s">
        <v>292</v>
      </c>
      <c r="E77" s="327"/>
      <c r="F77" s="348" t="s">
        <v>294</v>
      </c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9">
        <f t="shared" si="5"/>
        <v>0</v>
      </c>
    </row>
    <row r="78" spans="1:18" ht="23.25" customHeight="1">
      <c r="A78" s="206"/>
      <c r="B78" s="207"/>
      <c r="C78" s="207" t="s">
        <v>314</v>
      </c>
      <c r="D78" s="229" t="s">
        <v>309</v>
      </c>
      <c r="E78" s="217"/>
      <c r="F78" s="253"/>
      <c r="G78" s="254">
        <v>2200</v>
      </c>
      <c r="H78" s="220">
        <v>2000</v>
      </c>
      <c r="I78" s="254">
        <v>3000</v>
      </c>
      <c r="J78" s="254">
        <v>3000</v>
      </c>
      <c r="K78" s="254">
        <v>3000</v>
      </c>
      <c r="L78" s="220"/>
      <c r="M78" s="220"/>
      <c r="N78" s="220"/>
      <c r="O78" s="220"/>
      <c r="P78" s="220"/>
      <c r="Q78" s="220"/>
      <c r="R78" s="221">
        <f t="shared" si="5"/>
        <v>13200</v>
      </c>
    </row>
    <row r="79" spans="1:18" ht="23.25" customHeight="1">
      <c r="A79" s="349"/>
      <c r="B79" s="350"/>
      <c r="C79" s="350" t="s">
        <v>341</v>
      </c>
      <c r="D79" s="351" t="s">
        <v>338</v>
      </c>
      <c r="E79" s="352"/>
      <c r="F79" s="353"/>
      <c r="G79" s="354"/>
      <c r="H79" s="355">
        <v>3300</v>
      </c>
      <c r="I79" s="355"/>
      <c r="J79" s="355"/>
      <c r="K79" s="354"/>
      <c r="L79" s="355"/>
      <c r="M79" s="355"/>
      <c r="N79" s="355"/>
      <c r="O79" s="355"/>
      <c r="P79" s="355"/>
      <c r="Q79" s="355"/>
      <c r="R79" s="356">
        <f t="shared" si="5"/>
        <v>3300</v>
      </c>
    </row>
    <row r="80" spans="1:18" ht="23.25" customHeight="1">
      <c r="A80" s="349"/>
      <c r="B80" s="350"/>
      <c r="C80" s="350" t="s">
        <v>546</v>
      </c>
      <c r="D80" s="351" t="s">
        <v>352</v>
      </c>
      <c r="E80" s="352"/>
      <c r="F80" s="353"/>
      <c r="G80" s="354"/>
      <c r="H80" s="355"/>
      <c r="I80" s="354">
        <v>2300</v>
      </c>
      <c r="J80" s="354">
        <v>3000</v>
      </c>
      <c r="K80" s="354">
        <v>3000</v>
      </c>
      <c r="L80" s="355">
        <v>5000</v>
      </c>
      <c r="M80" s="355">
        <v>5500</v>
      </c>
      <c r="N80" s="355">
        <v>3300</v>
      </c>
      <c r="O80" s="355">
        <v>3000</v>
      </c>
      <c r="P80" s="355">
        <v>3000</v>
      </c>
      <c r="Q80" s="355">
        <v>3000</v>
      </c>
      <c r="R80" s="356">
        <f>SUM(E80:Q80)</f>
        <v>31100</v>
      </c>
    </row>
    <row r="81" spans="1:18" ht="23.25" customHeight="1">
      <c r="A81" s="349"/>
      <c r="B81" s="350"/>
      <c r="C81" s="350" t="s">
        <v>547</v>
      </c>
      <c r="D81" s="351" t="s">
        <v>353</v>
      </c>
      <c r="E81" s="352"/>
      <c r="F81" s="353"/>
      <c r="G81" s="354"/>
      <c r="H81" s="355"/>
      <c r="I81" s="354">
        <v>2300</v>
      </c>
      <c r="J81" s="354">
        <v>3000</v>
      </c>
      <c r="K81" s="354">
        <v>3000</v>
      </c>
      <c r="L81" s="355">
        <v>3500</v>
      </c>
      <c r="M81" s="355">
        <v>4000</v>
      </c>
      <c r="N81" s="355">
        <v>3300</v>
      </c>
      <c r="O81" s="355">
        <v>3000</v>
      </c>
      <c r="P81" s="355">
        <v>3000</v>
      </c>
      <c r="Q81" s="355">
        <v>3000</v>
      </c>
      <c r="R81" s="356">
        <f>SUM(E81:Q81)</f>
        <v>28100</v>
      </c>
    </row>
    <row r="82" spans="1:18" ht="23.25" customHeight="1">
      <c r="A82" s="349"/>
      <c r="B82" s="350"/>
      <c r="C82" s="350" t="s">
        <v>548</v>
      </c>
      <c r="D82" s="351" t="s">
        <v>354</v>
      </c>
      <c r="E82" s="352"/>
      <c r="F82" s="353"/>
      <c r="G82" s="354"/>
      <c r="H82" s="355"/>
      <c r="I82" s="354">
        <v>2300</v>
      </c>
      <c r="J82" s="354">
        <v>3000</v>
      </c>
      <c r="K82" s="354">
        <v>3000</v>
      </c>
      <c r="L82" s="355">
        <v>3500</v>
      </c>
      <c r="M82" s="355">
        <v>4000</v>
      </c>
      <c r="N82" s="355">
        <v>3300</v>
      </c>
      <c r="O82" s="355">
        <v>3000</v>
      </c>
      <c r="P82" s="355">
        <v>3000</v>
      </c>
      <c r="Q82" s="355">
        <v>3000</v>
      </c>
      <c r="R82" s="356">
        <f>SUM(E82:Q82)</f>
        <v>28100</v>
      </c>
    </row>
    <row r="83" spans="1:18" ht="23.25" customHeight="1">
      <c r="A83" s="349"/>
      <c r="B83" s="350"/>
      <c r="C83" s="350" t="s">
        <v>549</v>
      </c>
      <c r="D83" s="351" t="s">
        <v>367</v>
      </c>
      <c r="E83" s="352"/>
      <c r="F83" s="353"/>
      <c r="G83" s="354"/>
      <c r="H83" s="355"/>
      <c r="I83" s="355"/>
      <c r="J83" s="383">
        <v>2300</v>
      </c>
      <c r="K83" s="383">
        <v>3000</v>
      </c>
      <c r="L83" s="383">
        <v>3500</v>
      </c>
      <c r="M83" s="355"/>
      <c r="N83" s="506">
        <v>3300</v>
      </c>
      <c r="O83" s="506">
        <v>3000</v>
      </c>
      <c r="P83" s="506">
        <v>3000</v>
      </c>
      <c r="Q83" s="506">
        <v>3000</v>
      </c>
      <c r="R83" s="356">
        <f>SUM(E83:Q83)</f>
        <v>21100</v>
      </c>
    </row>
    <row r="84" spans="1:18" ht="23.25" customHeight="1">
      <c r="A84" s="349"/>
      <c r="B84" s="350"/>
      <c r="C84" s="350" t="s">
        <v>550</v>
      </c>
      <c r="D84" s="351" t="s">
        <v>381</v>
      </c>
      <c r="E84" s="352"/>
      <c r="F84" s="353"/>
      <c r="G84" s="354"/>
      <c r="H84" s="355"/>
      <c r="I84" s="355"/>
      <c r="J84" s="354">
        <v>3300</v>
      </c>
      <c r="K84" s="354">
        <v>3000</v>
      </c>
      <c r="L84" s="355">
        <v>3500</v>
      </c>
      <c r="M84" s="355">
        <v>4000</v>
      </c>
      <c r="N84" s="355">
        <v>3300</v>
      </c>
      <c r="O84" s="355">
        <v>3000</v>
      </c>
      <c r="P84" s="355">
        <v>3000</v>
      </c>
      <c r="Q84" s="355">
        <v>3000</v>
      </c>
      <c r="R84" s="356">
        <f t="shared" si="5"/>
        <v>26100</v>
      </c>
    </row>
    <row r="85" spans="1:18" ht="23.25" customHeight="1">
      <c r="A85" s="349"/>
      <c r="B85" s="350"/>
      <c r="C85" s="350" t="s">
        <v>551</v>
      </c>
      <c r="D85" s="351" t="s">
        <v>401</v>
      </c>
      <c r="E85" s="352"/>
      <c r="F85" s="353"/>
      <c r="G85" s="354"/>
      <c r="H85" s="355"/>
      <c r="I85" s="355"/>
      <c r="J85" s="354"/>
      <c r="K85" s="354">
        <v>2300</v>
      </c>
      <c r="L85" s="355">
        <v>3500</v>
      </c>
      <c r="M85" s="355">
        <v>4000</v>
      </c>
      <c r="N85" s="355">
        <v>3300</v>
      </c>
      <c r="O85" s="355">
        <v>3000</v>
      </c>
      <c r="P85" s="355">
        <v>3000</v>
      </c>
      <c r="Q85" s="355">
        <v>3000</v>
      </c>
      <c r="R85" s="356">
        <f t="shared" ref="R85:R98" si="6">SUM(E85:Q85)</f>
        <v>22100</v>
      </c>
    </row>
    <row r="86" spans="1:18" ht="23.25" customHeight="1">
      <c r="A86" s="349"/>
      <c r="B86" s="350"/>
      <c r="C86" s="350" t="s">
        <v>552</v>
      </c>
      <c r="D86" s="351" t="s">
        <v>422</v>
      </c>
      <c r="E86" s="352"/>
      <c r="F86" s="353"/>
      <c r="G86" s="354"/>
      <c r="H86" s="355"/>
      <c r="I86" s="355"/>
      <c r="J86" s="354"/>
      <c r="K86" s="354"/>
      <c r="L86" s="355">
        <v>3500</v>
      </c>
      <c r="M86" s="355"/>
      <c r="N86" s="355"/>
      <c r="O86" s="355"/>
      <c r="P86" s="355"/>
      <c r="Q86" s="355"/>
      <c r="R86" s="356">
        <f t="shared" si="6"/>
        <v>3500</v>
      </c>
    </row>
    <row r="87" spans="1:18" ht="23.25" customHeight="1">
      <c r="A87" s="349"/>
      <c r="B87" s="350"/>
      <c r="C87" s="350" t="s">
        <v>553</v>
      </c>
      <c r="D87" s="351" t="s">
        <v>423</v>
      </c>
      <c r="E87" s="352"/>
      <c r="F87" s="353"/>
      <c r="G87" s="354"/>
      <c r="H87" s="355"/>
      <c r="I87" s="355"/>
      <c r="J87" s="354"/>
      <c r="K87" s="354"/>
      <c r="L87" s="355">
        <v>3500</v>
      </c>
      <c r="M87" s="355"/>
      <c r="N87" s="355"/>
      <c r="O87" s="355"/>
      <c r="P87" s="355"/>
      <c r="Q87" s="355"/>
      <c r="R87" s="356">
        <f t="shared" si="6"/>
        <v>3500</v>
      </c>
    </row>
    <row r="88" spans="1:18" ht="23.25" customHeight="1">
      <c r="A88" s="349"/>
      <c r="B88" s="350"/>
      <c r="C88" s="350" t="s">
        <v>554</v>
      </c>
      <c r="D88" s="351" t="s">
        <v>424</v>
      </c>
      <c r="E88" s="352"/>
      <c r="F88" s="353"/>
      <c r="G88" s="354"/>
      <c r="H88" s="355"/>
      <c r="I88" s="355"/>
      <c r="J88" s="354"/>
      <c r="K88" s="354"/>
      <c r="L88" s="355">
        <v>3500</v>
      </c>
      <c r="M88" s="355">
        <v>4000</v>
      </c>
      <c r="N88" s="355"/>
      <c r="O88" s="355">
        <v>2300</v>
      </c>
      <c r="P88" s="355">
        <v>3000</v>
      </c>
      <c r="Q88" s="355">
        <v>2900</v>
      </c>
      <c r="R88" s="356">
        <f t="shared" si="6"/>
        <v>15700</v>
      </c>
    </row>
    <row r="89" spans="1:18" ht="23.25" customHeight="1">
      <c r="A89" s="349"/>
      <c r="B89" s="350"/>
      <c r="C89" s="350" t="s">
        <v>555</v>
      </c>
      <c r="D89" s="351" t="s">
        <v>425</v>
      </c>
      <c r="E89" s="352"/>
      <c r="F89" s="353"/>
      <c r="G89" s="354"/>
      <c r="H89" s="355"/>
      <c r="I89" s="355"/>
      <c r="J89" s="354"/>
      <c r="K89" s="354"/>
      <c r="L89" s="355">
        <v>3500</v>
      </c>
      <c r="M89" s="355" t="s">
        <v>294</v>
      </c>
      <c r="N89" s="355"/>
      <c r="O89" s="355"/>
      <c r="P89" s="355"/>
      <c r="Q89" s="355"/>
      <c r="R89" s="356">
        <f t="shared" si="6"/>
        <v>3500</v>
      </c>
    </row>
    <row r="90" spans="1:18" ht="23.25" customHeight="1">
      <c r="A90" s="349"/>
      <c r="B90" s="350"/>
      <c r="C90" s="350" t="s">
        <v>556</v>
      </c>
      <c r="D90" s="351" t="s">
        <v>426</v>
      </c>
      <c r="E90" s="352"/>
      <c r="F90" s="353"/>
      <c r="G90" s="354"/>
      <c r="H90" s="355"/>
      <c r="I90" s="355"/>
      <c r="J90" s="354"/>
      <c r="K90" s="354"/>
      <c r="L90" s="355">
        <v>3500</v>
      </c>
      <c r="M90" s="355"/>
      <c r="N90" s="355"/>
      <c r="O90" s="355"/>
      <c r="P90" s="355"/>
      <c r="Q90" s="355"/>
      <c r="R90" s="356">
        <f t="shared" si="6"/>
        <v>3500</v>
      </c>
    </row>
    <row r="91" spans="1:18" ht="23.25" customHeight="1">
      <c r="A91" s="349"/>
      <c r="B91" s="350"/>
      <c r="C91" s="350" t="s">
        <v>557</v>
      </c>
      <c r="D91" s="351" t="s">
        <v>427</v>
      </c>
      <c r="E91" s="352"/>
      <c r="F91" s="353"/>
      <c r="G91" s="354"/>
      <c r="H91" s="355"/>
      <c r="I91" s="355"/>
      <c r="J91" s="354"/>
      <c r="K91" s="354"/>
      <c r="L91" s="355">
        <v>3500</v>
      </c>
      <c r="M91" s="355"/>
      <c r="N91" s="355"/>
      <c r="O91" s="355"/>
      <c r="P91" s="355"/>
      <c r="Q91" s="355"/>
      <c r="R91" s="356">
        <f t="shared" si="6"/>
        <v>3500</v>
      </c>
    </row>
    <row r="92" spans="1:18" ht="23.25" customHeight="1">
      <c r="A92" s="349"/>
      <c r="B92" s="350"/>
      <c r="C92" s="350" t="s">
        <v>558</v>
      </c>
      <c r="D92" s="351" t="s">
        <v>428</v>
      </c>
      <c r="E92" s="352"/>
      <c r="F92" s="353"/>
      <c r="G92" s="354"/>
      <c r="H92" s="355"/>
      <c r="I92" s="355"/>
      <c r="J92" s="354"/>
      <c r="K92" s="354"/>
      <c r="L92" s="355">
        <v>3500</v>
      </c>
      <c r="M92" s="355">
        <v>4000</v>
      </c>
      <c r="N92" s="355"/>
      <c r="O92" s="355"/>
      <c r="P92" s="355"/>
      <c r="Q92" s="355"/>
      <c r="R92" s="356">
        <f t="shared" si="6"/>
        <v>7500</v>
      </c>
    </row>
    <row r="93" spans="1:18" ht="23.25" customHeight="1">
      <c r="A93" s="349"/>
      <c r="B93" s="350"/>
      <c r="C93" s="350" t="s">
        <v>559</v>
      </c>
      <c r="D93" s="351" t="s">
        <v>429</v>
      </c>
      <c r="E93" s="352"/>
      <c r="F93" s="353"/>
      <c r="G93" s="354"/>
      <c r="H93" s="355"/>
      <c r="I93" s="355"/>
      <c r="J93" s="354"/>
      <c r="K93" s="354"/>
      <c r="L93" s="355">
        <v>3500</v>
      </c>
      <c r="M93" s="355">
        <v>4000</v>
      </c>
      <c r="N93" s="355"/>
      <c r="O93" s="355"/>
      <c r="P93" s="355"/>
      <c r="Q93" s="355"/>
      <c r="R93" s="356">
        <f t="shared" si="6"/>
        <v>7500</v>
      </c>
    </row>
    <row r="94" spans="1:18" ht="23.25" customHeight="1">
      <c r="A94" s="349"/>
      <c r="B94" s="350"/>
      <c r="C94" s="350" t="s">
        <v>560</v>
      </c>
      <c r="D94" s="351" t="s">
        <v>430</v>
      </c>
      <c r="E94" s="352"/>
      <c r="F94" s="353"/>
      <c r="G94" s="354"/>
      <c r="H94" s="355"/>
      <c r="I94" s="355"/>
      <c r="J94" s="354"/>
      <c r="K94" s="354"/>
      <c r="L94" s="355">
        <v>3500</v>
      </c>
      <c r="M94" s="355">
        <v>4000</v>
      </c>
      <c r="N94" s="355"/>
      <c r="O94" s="355"/>
      <c r="P94" s="355"/>
      <c r="Q94" s="355"/>
      <c r="R94" s="356">
        <f t="shared" si="6"/>
        <v>7500</v>
      </c>
    </row>
    <row r="95" spans="1:18" ht="23.25" customHeight="1">
      <c r="A95" s="349"/>
      <c r="B95" s="350"/>
      <c r="C95" s="350" t="s">
        <v>561</v>
      </c>
      <c r="D95" s="351" t="s">
        <v>434</v>
      </c>
      <c r="E95" s="352"/>
      <c r="F95" s="353"/>
      <c r="G95" s="354"/>
      <c r="H95" s="355"/>
      <c r="I95" s="355"/>
      <c r="J95" s="354"/>
      <c r="K95" s="354"/>
      <c r="L95" s="355">
        <v>3500</v>
      </c>
      <c r="M95" s="355" t="s">
        <v>294</v>
      </c>
      <c r="N95" s="355"/>
      <c r="O95" s="355"/>
      <c r="P95" s="355"/>
      <c r="Q95" s="355"/>
      <c r="R95" s="356">
        <f t="shared" si="6"/>
        <v>3500</v>
      </c>
    </row>
    <row r="96" spans="1:18" ht="23.25" customHeight="1">
      <c r="A96" s="349"/>
      <c r="B96" s="350"/>
      <c r="C96" s="350" t="s">
        <v>562</v>
      </c>
      <c r="D96" s="351" t="s">
        <v>431</v>
      </c>
      <c r="E96" s="352"/>
      <c r="F96" s="353"/>
      <c r="G96" s="354"/>
      <c r="H96" s="355"/>
      <c r="I96" s="355"/>
      <c r="J96" s="354"/>
      <c r="K96" s="354"/>
      <c r="L96" s="355"/>
      <c r="M96" s="355">
        <v>4000</v>
      </c>
      <c r="N96" s="355"/>
      <c r="O96" s="355"/>
      <c r="P96" s="355"/>
      <c r="Q96" s="355"/>
      <c r="R96" s="356">
        <f t="shared" si="6"/>
        <v>4000</v>
      </c>
    </row>
    <row r="97" spans="1:18" ht="23.25" customHeight="1">
      <c r="A97" s="349"/>
      <c r="B97" s="350"/>
      <c r="C97" s="350" t="s">
        <v>563</v>
      </c>
      <c r="D97" s="351" t="s">
        <v>432</v>
      </c>
      <c r="E97" s="352"/>
      <c r="F97" s="353"/>
      <c r="G97" s="354"/>
      <c r="H97" s="355"/>
      <c r="I97" s="355"/>
      <c r="J97" s="354"/>
      <c r="K97" s="354"/>
      <c r="L97" s="355">
        <v>3500</v>
      </c>
      <c r="M97" s="355">
        <v>4000</v>
      </c>
      <c r="N97" s="355"/>
      <c r="O97" s="355"/>
      <c r="P97" s="355"/>
      <c r="Q97" s="355"/>
      <c r="R97" s="356">
        <f t="shared" si="6"/>
        <v>7500</v>
      </c>
    </row>
    <row r="98" spans="1:18" ht="23.25" customHeight="1">
      <c r="A98" s="349"/>
      <c r="B98" s="350"/>
      <c r="C98" s="350" t="s">
        <v>564</v>
      </c>
      <c r="D98" s="351" t="s">
        <v>433</v>
      </c>
      <c r="E98" s="352"/>
      <c r="F98" s="353"/>
      <c r="G98" s="354"/>
      <c r="H98" s="355"/>
      <c r="I98" s="355"/>
      <c r="J98" s="354"/>
      <c r="K98" s="354"/>
      <c r="L98" s="355"/>
      <c r="M98" s="355">
        <v>2750</v>
      </c>
      <c r="N98" s="355"/>
      <c r="O98" s="355"/>
      <c r="P98" s="355"/>
      <c r="Q98" s="355"/>
      <c r="R98" s="356">
        <f t="shared" si="6"/>
        <v>2750</v>
      </c>
    </row>
    <row r="99" spans="1:18" ht="23.25" customHeight="1">
      <c r="A99" s="206"/>
      <c r="B99" s="207"/>
      <c r="C99" s="207" t="s">
        <v>565</v>
      </c>
      <c r="D99" s="229" t="s">
        <v>454</v>
      </c>
      <c r="E99" s="217"/>
      <c r="F99" s="253"/>
      <c r="G99" s="220"/>
      <c r="H99" s="220"/>
      <c r="I99" s="220"/>
      <c r="J99" s="220"/>
      <c r="K99" s="220"/>
      <c r="L99" s="220"/>
      <c r="M99" s="220">
        <v>2000</v>
      </c>
      <c r="N99" s="220">
        <v>2300</v>
      </c>
      <c r="O99" s="220">
        <v>2500</v>
      </c>
      <c r="P99" s="220">
        <v>2500</v>
      </c>
      <c r="Q99" s="220">
        <v>2500</v>
      </c>
      <c r="R99" s="221">
        <f t="shared" si="5"/>
        <v>11800</v>
      </c>
    </row>
    <row r="100" spans="1:18" ht="23.25" customHeight="1">
      <c r="A100" s="349"/>
      <c r="B100" s="350"/>
      <c r="C100" s="350" t="s">
        <v>566</v>
      </c>
      <c r="D100" s="351" t="s">
        <v>486</v>
      </c>
      <c r="E100" s="352"/>
      <c r="F100" s="353"/>
      <c r="G100" s="355"/>
      <c r="H100" s="355"/>
      <c r="I100" s="355"/>
      <c r="J100" s="355"/>
      <c r="K100" s="355"/>
      <c r="L100" s="355"/>
      <c r="M100" s="355"/>
      <c r="N100" s="355">
        <v>2700</v>
      </c>
      <c r="O100" s="355">
        <v>3000</v>
      </c>
      <c r="P100" s="355">
        <v>3000</v>
      </c>
      <c r="Q100" s="355">
        <v>2900</v>
      </c>
      <c r="R100" s="356">
        <f t="shared" ref="R100:R113" si="7">SUM(E100:Q100)</f>
        <v>11600</v>
      </c>
    </row>
    <row r="101" spans="1:18" ht="23.25" customHeight="1">
      <c r="A101" s="507"/>
      <c r="B101" s="508"/>
      <c r="C101" s="508" t="s">
        <v>567</v>
      </c>
      <c r="D101" s="509" t="s">
        <v>487</v>
      </c>
      <c r="E101" s="510"/>
      <c r="F101" s="511"/>
      <c r="G101" s="512"/>
      <c r="H101" s="512"/>
      <c r="I101" s="512"/>
      <c r="J101" s="512"/>
      <c r="K101" s="512"/>
      <c r="L101" s="512"/>
      <c r="M101" s="512"/>
      <c r="N101" s="512">
        <v>2300</v>
      </c>
      <c r="O101" s="512">
        <v>3000</v>
      </c>
      <c r="P101" s="512">
        <v>3000</v>
      </c>
      <c r="Q101" s="512">
        <v>3000</v>
      </c>
      <c r="R101" s="513">
        <f t="shared" si="7"/>
        <v>11300</v>
      </c>
    </row>
    <row r="102" spans="1:18" ht="23.25" customHeight="1">
      <c r="A102" s="507"/>
      <c r="B102" s="508"/>
      <c r="C102" s="508" t="s">
        <v>568</v>
      </c>
      <c r="D102" s="509" t="s">
        <v>493</v>
      </c>
      <c r="E102" s="510"/>
      <c r="F102" s="511"/>
      <c r="G102" s="512"/>
      <c r="H102" s="512"/>
      <c r="I102" s="512"/>
      <c r="J102" s="512"/>
      <c r="K102" s="512"/>
      <c r="L102" s="512"/>
      <c r="M102" s="512"/>
      <c r="N102" s="512">
        <v>2300</v>
      </c>
      <c r="O102" s="512">
        <v>3000</v>
      </c>
      <c r="P102" s="512">
        <v>3000</v>
      </c>
      <c r="Q102" s="637" t="s">
        <v>629</v>
      </c>
      <c r="R102" s="513">
        <f t="shared" si="7"/>
        <v>8300</v>
      </c>
    </row>
    <row r="103" spans="1:18" ht="23.25" customHeight="1">
      <c r="A103" s="541"/>
      <c r="B103" s="542"/>
      <c r="C103" s="542" t="s">
        <v>569</v>
      </c>
      <c r="D103" s="543" t="s">
        <v>527</v>
      </c>
      <c r="E103" s="544"/>
      <c r="F103" s="545"/>
      <c r="G103" s="546"/>
      <c r="H103" s="546"/>
      <c r="I103" s="546"/>
      <c r="J103" s="546"/>
      <c r="K103" s="546"/>
      <c r="L103" s="546"/>
      <c r="M103" s="546"/>
      <c r="N103" s="546"/>
      <c r="O103" s="546">
        <v>2300</v>
      </c>
      <c r="P103" s="546">
        <v>3000</v>
      </c>
      <c r="Q103" s="546">
        <v>2900</v>
      </c>
      <c r="R103" s="547">
        <f t="shared" si="7"/>
        <v>8200</v>
      </c>
    </row>
    <row r="104" spans="1:18" ht="23.25" customHeight="1">
      <c r="A104" s="541"/>
      <c r="B104" s="542"/>
      <c r="C104" s="542" t="s">
        <v>570</v>
      </c>
      <c r="D104" s="543" t="s">
        <v>528</v>
      </c>
      <c r="E104" s="544"/>
      <c r="F104" s="545"/>
      <c r="G104" s="546"/>
      <c r="H104" s="546"/>
      <c r="I104" s="546"/>
      <c r="J104" s="546"/>
      <c r="K104" s="546"/>
      <c r="L104" s="546"/>
      <c r="M104" s="546"/>
      <c r="N104" s="546"/>
      <c r="O104" s="546">
        <v>2300</v>
      </c>
      <c r="P104" s="546">
        <v>3000</v>
      </c>
      <c r="Q104" s="546">
        <v>3000</v>
      </c>
      <c r="R104" s="547">
        <f t="shared" si="7"/>
        <v>8300</v>
      </c>
    </row>
    <row r="105" spans="1:18" ht="23.25" customHeight="1">
      <c r="A105" s="541"/>
      <c r="B105" s="542"/>
      <c r="C105" s="542" t="s">
        <v>571</v>
      </c>
      <c r="D105" s="543" t="s">
        <v>529</v>
      </c>
      <c r="E105" s="544"/>
      <c r="F105" s="545"/>
      <c r="G105" s="546"/>
      <c r="H105" s="546"/>
      <c r="I105" s="546"/>
      <c r="J105" s="546"/>
      <c r="K105" s="546"/>
      <c r="L105" s="546"/>
      <c r="M105" s="546"/>
      <c r="N105" s="546"/>
      <c r="O105" s="546">
        <v>2300</v>
      </c>
      <c r="P105" s="546">
        <v>3000</v>
      </c>
      <c r="Q105" s="546">
        <v>3000</v>
      </c>
      <c r="R105" s="547">
        <f t="shared" si="7"/>
        <v>8300</v>
      </c>
    </row>
    <row r="106" spans="1:18" ht="23.25" customHeight="1">
      <c r="A106" s="541"/>
      <c r="B106" s="542"/>
      <c r="C106" s="542" t="s">
        <v>572</v>
      </c>
      <c r="D106" s="543" t="s">
        <v>530</v>
      </c>
      <c r="E106" s="544"/>
      <c r="F106" s="545"/>
      <c r="G106" s="546"/>
      <c r="H106" s="546"/>
      <c r="I106" s="546"/>
      <c r="J106" s="546"/>
      <c r="K106" s="546"/>
      <c r="L106" s="546"/>
      <c r="M106" s="546"/>
      <c r="N106" s="546"/>
      <c r="O106" s="546">
        <v>2300</v>
      </c>
      <c r="P106" s="546">
        <v>3000</v>
      </c>
      <c r="Q106" s="546" t="s">
        <v>307</v>
      </c>
      <c r="R106" s="547">
        <f t="shared" si="7"/>
        <v>5300</v>
      </c>
    </row>
    <row r="107" spans="1:18" ht="23.25" customHeight="1">
      <c r="A107" s="541"/>
      <c r="B107" s="542"/>
      <c r="C107" s="542" t="s">
        <v>573</v>
      </c>
      <c r="D107" s="543" t="s">
        <v>531</v>
      </c>
      <c r="E107" s="544"/>
      <c r="F107" s="545"/>
      <c r="G107" s="546"/>
      <c r="H107" s="546"/>
      <c r="I107" s="546"/>
      <c r="J107" s="546"/>
      <c r="K107" s="546"/>
      <c r="L107" s="546"/>
      <c r="M107" s="546"/>
      <c r="N107" s="546"/>
      <c r="O107" s="546">
        <v>2300</v>
      </c>
      <c r="P107" s="546">
        <v>3000</v>
      </c>
      <c r="Q107" s="546">
        <v>3000</v>
      </c>
      <c r="R107" s="547">
        <f t="shared" si="7"/>
        <v>8300</v>
      </c>
    </row>
    <row r="108" spans="1:18" ht="23.25" customHeight="1">
      <c r="A108" s="541"/>
      <c r="B108" s="542"/>
      <c r="C108" s="542" t="s">
        <v>574</v>
      </c>
      <c r="D108" s="543" t="s">
        <v>532</v>
      </c>
      <c r="E108" s="544"/>
      <c r="F108" s="545"/>
      <c r="G108" s="546"/>
      <c r="H108" s="546"/>
      <c r="I108" s="546"/>
      <c r="J108" s="546"/>
      <c r="K108" s="546"/>
      <c r="L108" s="546"/>
      <c r="M108" s="546"/>
      <c r="N108" s="546"/>
      <c r="O108" s="546">
        <v>2300</v>
      </c>
      <c r="P108" s="546">
        <v>2500</v>
      </c>
      <c r="Q108" s="546">
        <v>2400</v>
      </c>
      <c r="R108" s="547">
        <f t="shared" si="7"/>
        <v>7200</v>
      </c>
    </row>
    <row r="109" spans="1:18" ht="23.25" customHeight="1">
      <c r="A109" s="541"/>
      <c r="B109" s="542"/>
      <c r="C109" s="542" t="s">
        <v>575</v>
      </c>
      <c r="D109" s="543" t="s">
        <v>533</v>
      </c>
      <c r="E109" s="544"/>
      <c r="F109" s="545"/>
      <c r="G109" s="546"/>
      <c r="H109" s="546"/>
      <c r="I109" s="546"/>
      <c r="J109" s="546"/>
      <c r="K109" s="546"/>
      <c r="L109" s="546"/>
      <c r="M109" s="546"/>
      <c r="N109" s="546"/>
      <c r="O109" s="546">
        <v>3300</v>
      </c>
      <c r="P109" s="546">
        <v>3000</v>
      </c>
      <c r="Q109" s="546">
        <v>3000</v>
      </c>
      <c r="R109" s="547">
        <f t="shared" si="7"/>
        <v>9300</v>
      </c>
    </row>
    <row r="110" spans="1:18" ht="23.25" customHeight="1">
      <c r="A110" s="541"/>
      <c r="B110" s="542"/>
      <c r="C110" s="542" t="s">
        <v>576</v>
      </c>
      <c r="D110" s="543" t="s">
        <v>534</v>
      </c>
      <c r="E110" s="544"/>
      <c r="F110" s="545"/>
      <c r="G110" s="546"/>
      <c r="H110" s="546"/>
      <c r="I110" s="546"/>
      <c r="J110" s="546"/>
      <c r="K110" s="546"/>
      <c r="L110" s="546"/>
      <c r="M110" s="546"/>
      <c r="N110" s="546"/>
      <c r="O110" s="546">
        <v>2800</v>
      </c>
      <c r="P110" s="546">
        <v>2500</v>
      </c>
      <c r="Q110" s="546">
        <v>2500</v>
      </c>
      <c r="R110" s="547">
        <f t="shared" si="7"/>
        <v>7800</v>
      </c>
    </row>
    <row r="111" spans="1:18" ht="23.25" customHeight="1">
      <c r="A111" s="541"/>
      <c r="B111" s="542"/>
      <c r="C111" s="542" t="s">
        <v>577</v>
      </c>
      <c r="D111" s="543" t="s">
        <v>535</v>
      </c>
      <c r="E111" s="544"/>
      <c r="F111" s="545"/>
      <c r="G111" s="546"/>
      <c r="H111" s="546"/>
      <c r="I111" s="546"/>
      <c r="J111" s="546"/>
      <c r="K111" s="546"/>
      <c r="L111" s="546"/>
      <c r="M111" s="546"/>
      <c r="N111" s="546"/>
      <c r="O111" s="546">
        <v>2300</v>
      </c>
      <c r="P111" s="546">
        <v>3000</v>
      </c>
      <c r="Q111" s="546">
        <v>3000</v>
      </c>
      <c r="R111" s="547">
        <f t="shared" si="7"/>
        <v>8300</v>
      </c>
    </row>
    <row r="112" spans="1:18" ht="23.25" customHeight="1">
      <c r="A112" s="541"/>
      <c r="B112" s="542"/>
      <c r="C112" s="542" t="s">
        <v>608</v>
      </c>
      <c r="D112" s="543" t="s">
        <v>605</v>
      </c>
      <c r="E112" s="544"/>
      <c r="F112" s="545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>
        <v>3300</v>
      </c>
      <c r="R112" s="547">
        <f t="shared" si="7"/>
        <v>3300</v>
      </c>
    </row>
    <row r="113" spans="1:18" ht="23.25" customHeight="1">
      <c r="A113" s="507"/>
      <c r="B113" s="508"/>
      <c r="C113" s="508" t="s">
        <v>613</v>
      </c>
      <c r="D113" s="226" t="s">
        <v>253</v>
      </c>
      <c r="E113" s="215">
        <v>800</v>
      </c>
      <c r="F113" s="511"/>
      <c r="G113" s="249">
        <v>1600</v>
      </c>
      <c r="H113" s="512"/>
      <c r="I113" s="512"/>
      <c r="J113" s="249">
        <v>800</v>
      </c>
      <c r="K113" s="249">
        <v>800</v>
      </c>
      <c r="L113" s="512"/>
      <c r="M113" s="213">
        <v>2800</v>
      </c>
      <c r="N113" s="213">
        <v>4000</v>
      </c>
      <c r="O113" s="512"/>
      <c r="P113" s="512"/>
      <c r="Q113" s="512"/>
      <c r="R113" s="513">
        <f t="shared" si="7"/>
        <v>10800</v>
      </c>
    </row>
    <row r="114" spans="1:18" ht="23.25" customHeight="1">
      <c r="A114" s="139"/>
      <c r="B114" s="135"/>
      <c r="C114" s="135" t="s">
        <v>614</v>
      </c>
      <c r="D114" s="226" t="s">
        <v>249</v>
      </c>
      <c r="E114" s="215">
        <v>1200</v>
      </c>
      <c r="F114" s="252">
        <v>2800</v>
      </c>
      <c r="G114" s="213"/>
      <c r="H114" s="249">
        <v>800</v>
      </c>
      <c r="I114" s="249">
        <v>1600</v>
      </c>
      <c r="J114" s="213"/>
      <c r="K114" s="249">
        <v>800</v>
      </c>
      <c r="L114" s="213">
        <v>3500</v>
      </c>
      <c r="M114" s="213">
        <v>4000</v>
      </c>
      <c r="N114" s="213"/>
      <c r="O114" s="213"/>
      <c r="P114" s="213">
        <v>1600</v>
      </c>
      <c r="Q114" s="213"/>
      <c r="R114" s="218">
        <f t="shared" si="4"/>
        <v>16300</v>
      </c>
    </row>
    <row r="115" spans="1:18" ht="23.25" customHeight="1">
      <c r="A115" s="139"/>
      <c r="B115" s="135"/>
      <c r="C115" s="135" t="s">
        <v>615</v>
      </c>
      <c r="D115" s="226" t="s">
        <v>131</v>
      </c>
      <c r="E115" s="215">
        <v>400</v>
      </c>
      <c r="F115" s="252"/>
      <c r="G115" s="213"/>
      <c r="H115" s="249">
        <v>400</v>
      </c>
      <c r="I115" s="213"/>
      <c r="J115" s="213"/>
      <c r="K115" s="213"/>
      <c r="L115" s="213"/>
      <c r="M115" s="213">
        <v>1200</v>
      </c>
      <c r="N115" s="213"/>
      <c r="O115" s="213"/>
      <c r="P115" s="213"/>
      <c r="Q115" s="213"/>
      <c r="R115" s="218">
        <f t="shared" si="4"/>
        <v>2000</v>
      </c>
    </row>
    <row r="116" spans="1:18" ht="23.25" customHeight="1">
      <c r="A116" s="139"/>
      <c r="B116" s="135"/>
      <c r="C116" s="135" t="s">
        <v>616</v>
      </c>
      <c r="D116" s="226" t="s">
        <v>132</v>
      </c>
      <c r="E116" s="215">
        <v>2400</v>
      </c>
      <c r="F116" s="252"/>
      <c r="G116" s="249">
        <v>1200</v>
      </c>
      <c r="H116" s="249">
        <v>800</v>
      </c>
      <c r="I116" s="249">
        <v>1200</v>
      </c>
      <c r="J116" s="213"/>
      <c r="K116" s="249">
        <v>1200</v>
      </c>
      <c r="L116" s="213">
        <v>2400</v>
      </c>
      <c r="M116" s="213">
        <v>800</v>
      </c>
      <c r="N116" s="213">
        <v>1200</v>
      </c>
      <c r="O116" s="213">
        <v>800</v>
      </c>
      <c r="P116" s="213"/>
      <c r="Q116" s="249">
        <v>800</v>
      </c>
      <c r="R116" s="218">
        <f t="shared" si="4"/>
        <v>12800</v>
      </c>
    </row>
    <row r="117" spans="1:18" ht="23.25" customHeight="1">
      <c r="A117" s="139"/>
      <c r="B117" s="135"/>
      <c r="C117" s="135" t="s">
        <v>617</v>
      </c>
      <c r="D117" s="231" t="s">
        <v>219</v>
      </c>
      <c r="E117" s="215">
        <v>1200</v>
      </c>
      <c r="F117" s="252">
        <v>1600</v>
      </c>
      <c r="G117" s="213"/>
      <c r="H117" s="249">
        <v>1600</v>
      </c>
      <c r="I117" s="249">
        <v>1200</v>
      </c>
      <c r="J117" s="249">
        <v>1600</v>
      </c>
      <c r="K117" s="249">
        <v>400</v>
      </c>
      <c r="L117" s="213">
        <v>1200</v>
      </c>
      <c r="M117" s="213"/>
      <c r="N117" s="213"/>
      <c r="O117" s="213"/>
      <c r="P117" s="213"/>
      <c r="Q117" s="213"/>
      <c r="R117" s="218">
        <f t="shared" si="4"/>
        <v>8800</v>
      </c>
    </row>
    <row r="118" spans="1:18" ht="23.25" customHeight="1">
      <c r="A118" s="139"/>
      <c r="B118" s="135"/>
      <c r="C118" s="135" t="s">
        <v>618</v>
      </c>
      <c r="D118" s="226" t="s">
        <v>220</v>
      </c>
      <c r="E118" s="215">
        <v>1200</v>
      </c>
      <c r="F118" s="252">
        <v>1600</v>
      </c>
      <c r="G118" s="213"/>
      <c r="H118" s="249">
        <v>1600</v>
      </c>
      <c r="I118" s="249">
        <v>1200</v>
      </c>
      <c r="J118" s="249">
        <v>1600</v>
      </c>
      <c r="K118" s="249">
        <v>400</v>
      </c>
      <c r="L118" s="213">
        <v>1200</v>
      </c>
      <c r="M118" s="213"/>
      <c r="N118" s="213"/>
      <c r="O118" s="213"/>
      <c r="P118" s="213"/>
      <c r="Q118" s="249"/>
      <c r="R118" s="218">
        <f t="shared" si="4"/>
        <v>8800</v>
      </c>
    </row>
    <row r="119" spans="1:18" ht="23.25" customHeight="1">
      <c r="A119" s="139"/>
      <c r="B119" s="135"/>
      <c r="C119" s="135" t="s">
        <v>619</v>
      </c>
      <c r="D119" s="226" t="s">
        <v>106</v>
      </c>
      <c r="E119" s="215"/>
      <c r="F119" s="252"/>
      <c r="G119" s="213"/>
      <c r="H119" s="249"/>
      <c r="I119" s="249"/>
      <c r="J119" s="249"/>
      <c r="K119" s="249"/>
      <c r="L119" s="213"/>
      <c r="M119" s="213"/>
      <c r="N119" s="213"/>
      <c r="O119" s="213"/>
      <c r="P119" s="213"/>
      <c r="Q119" s="213"/>
      <c r="R119" s="218">
        <f>SUM(E119:Q119)</f>
        <v>0</v>
      </c>
    </row>
    <row r="120" spans="1:18" ht="23.25" customHeight="1">
      <c r="A120" s="139"/>
      <c r="B120" s="135"/>
      <c r="C120" s="135" t="s">
        <v>620</v>
      </c>
      <c r="D120" s="226" t="s">
        <v>103</v>
      </c>
      <c r="E120" s="215"/>
      <c r="F120" s="252"/>
      <c r="G120" s="213"/>
      <c r="H120" s="249">
        <v>400</v>
      </c>
      <c r="I120" s="249"/>
      <c r="J120" s="249">
        <v>1200</v>
      </c>
      <c r="K120" s="213"/>
      <c r="L120" s="213">
        <v>400</v>
      </c>
      <c r="M120" s="213">
        <v>400</v>
      </c>
      <c r="N120" s="213"/>
      <c r="O120" s="213"/>
      <c r="P120" s="213"/>
      <c r="Q120" s="249">
        <v>4400</v>
      </c>
      <c r="R120" s="218">
        <f t="shared" si="4"/>
        <v>6800</v>
      </c>
    </row>
    <row r="121" spans="1:18" ht="23.25" customHeight="1">
      <c r="A121" s="139"/>
      <c r="B121" s="135"/>
      <c r="C121" s="135" t="s">
        <v>621</v>
      </c>
      <c r="D121" s="226" t="s">
        <v>229</v>
      </c>
      <c r="E121" s="215">
        <v>2000</v>
      </c>
      <c r="F121" s="252"/>
      <c r="G121" s="213"/>
      <c r="H121" s="249">
        <v>1200</v>
      </c>
      <c r="I121" s="249"/>
      <c r="J121" s="249">
        <v>1600</v>
      </c>
      <c r="K121" s="249">
        <v>1600</v>
      </c>
      <c r="L121" s="213"/>
      <c r="M121" s="213">
        <v>800</v>
      </c>
      <c r="N121" s="213"/>
      <c r="O121" s="213">
        <v>1600</v>
      </c>
      <c r="P121" s="213"/>
      <c r="Q121" s="213"/>
      <c r="R121" s="218">
        <f t="shared" si="4"/>
        <v>8800</v>
      </c>
    </row>
    <row r="122" spans="1:18" ht="23.25" customHeight="1">
      <c r="A122" s="139"/>
      <c r="B122" s="135"/>
      <c r="C122" s="135" t="s">
        <v>622</v>
      </c>
      <c r="D122" s="226" t="s">
        <v>266</v>
      </c>
      <c r="E122" s="215"/>
      <c r="F122" s="252">
        <v>1200</v>
      </c>
      <c r="G122" s="213"/>
      <c r="H122" s="249">
        <v>1200</v>
      </c>
      <c r="I122" s="249">
        <v>2400</v>
      </c>
      <c r="J122" s="249">
        <v>1200</v>
      </c>
      <c r="K122" s="249">
        <v>1200</v>
      </c>
      <c r="L122" s="213"/>
      <c r="M122" s="213"/>
      <c r="N122" s="213">
        <v>1200</v>
      </c>
      <c r="O122" s="213"/>
      <c r="P122" s="213">
        <v>1200</v>
      </c>
      <c r="Q122" s="213">
        <v>2000</v>
      </c>
      <c r="R122" s="218">
        <f t="shared" si="4"/>
        <v>11600</v>
      </c>
    </row>
    <row r="123" spans="1:18" ht="23.25" customHeight="1">
      <c r="A123" s="139"/>
      <c r="B123" s="135"/>
      <c r="C123" s="135" t="s">
        <v>623</v>
      </c>
      <c r="D123" s="226" t="s">
        <v>305</v>
      </c>
      <c r="E123" s="215"/>
      <c r="F123" s="252">
        <v>400</v>
      </c>
      <c r="G123" s="249">
        <v>400</v>
      </c>
      <c r="H123" s="249"/>
      <c r="I123" s="249"/>
      <c r="J123" s="249"/>
      <c r="K123" s="213"/>
      <c r="L123" s="213"/>
      <c r="M123" s="213"/>
      <c r="N123" s="213">
        <v>800</v>
      </c>
      <c r="O123" s="213"/>
      <c r="P123" s="213"/>
      <c r="Q123" s="213"/>
      <c r="R123" s="218">
        <f>SUM(G123:Q123)</f>
        <v>1200</v>
      </c>
    </row>
    <row r="124" spans="1:18" ht="23.25" customHeight="1">
      <c r="A124" s="139"/>
      <c r="B124" s="135"/>
      <c r="C124" s="135" t="s">
        <v>624</v>
      </c>
      <c r="D124" s="226" t="s">
        <v>274</v>
      </c>
      <c r="E124" s="216"/>
      <c r="F124" s="214">
        <v>1600</v>
      </c>
      <c r="G124" s="214"/>
      <c r="H124" s="214"/>
      <c r="I124" s="214"/>
      <c r="J124" s="214"/>
      <c r="K124" s="212"/>
      <c r="L124" s="212"/>
      <c r="M124" s="212"/>
      <c r="N124" s="212"/>
      <c r="O124" s="212"/>
      <c r="P124" s="212"/>
      <c r="Q124" s="212"/>
      <c r="R124" s="218">
        <f t="shared" si="4"/>
        <v>1600</v>
      </c>
    </row>
    <row r="125" spans="1:18" ht="23.25" customHeight="1">
      <c r="A125" s="139"/>
      <c r="B125" s="135"/>
      <c r="C125" s="135" t="s">
        <v>625</v>
      </c>
      <c r="D125" s="226" t="s">
        <v>329</v>
      </c>
      <c r="E125" s="216"/>
      <c r="F125" s="214"/>
      <c r="G125" s="214">
        <v>1200</v>
      </c>
      <c r="H125" s="214">
        <v>800</v>
      </c>
      <c r="I125" s="214">
        <v>1600</v>
      </c>
      <c r="J125" s="214">
        <v>1200</v>
      </c>
      <c r="K125" s="214">
        <v>800</v>
      </c>
      <c r="L125" s="212">
        <v>800</v>
      </c>
      <c r="M125" s="212">
        <v>1200</v>
      </c>
      <c r="N125" s="212">
        <v>1600</v>
      </c>
      <c r="O125" s="212"/>
      <c r="P125" s="212">
        <v>1200</v>
      </c>
      <c r="Q125" s="212">
        <v>800</v>
      </c>
      <c r="R125" s="218">
        <f t="shared" si="4"/>
        <v>11200</v>
      </c>
    </row>
    <row r="126" spans="1:18" ht="23.25" customHeight="1">
      <c r="A126" s="139"/>
      <c r="B126" s="135"/>
      <c r="C126" s="135" t="s">
        <v>626</v>
      </c>
      <c r="D126" s="226" t="s">
        <v>327</v>
      </c>
      <c r="E126" s="212"/>
      <c r="F126" s="214"/>
      <c r="G126" s="212"/>
      <c r="H126" s="214">
        <v>800</v>
      </c>
      <c r="I126" s="214"/>
      <c r="J126" s="212"/>
      <c r="K126" s="212"/>
      <c r="L126" s="212"/>
      <c r="M126" s="212"/>
      <c r="N126" s="212"/>
      <c r="O126" s="212"/>
      <c r="P126" s="212"/>
      <c r="Q126" s="212"/>
      <c r="R126" s="218">
        <f t="shared" si="4"/>
        <v>800</v>
      </c>
    </row>
    <row r="127" spans="1:18" ht="23.25" customHeight="1">
      <c r="A127" s="139"/>
      <c r="B127" s="135"/>
      <c r="C127" s="135" t="s">
        <v>627</v>
      </c>
      <c r="D127" s="223" t="s">
        <v>328</v>
      </c>
      <c r="E127" s="213"/>
      <c r="F127" s="249"/>
      <c r="G127" s="213"/>
      <c r="H127" s="249">
        <v>400</v>
      </c>
      <c r="I127" s="213"/>
      <c r="J127" s="213"/>
      <c r="K127" s="213"/>
      <c r="L127" s="213"/>
      <c r="M127" s="213"/>
      <c r="N127" s="213"/>
      <c r="O127" s="213"/>
      <c r="P127" s="213"/>
      <c r="Q127" s="213"/>
      <c r="R127" s="218">
        <f t="shared" si="4"/>
        <v>400</v>
      </c>
    </row>
    <row r="128" spans="1:18" s="41" customFormat="1" ht="23.25" customHeight="1">
      <c r="A128" s="38"/>
      <c r="B128" s="38"/>
      <c r="C128" s="135" t="s">
        <v>628</v>
      </c>
      <c r="D128" s="223" t="s">
        <v>607</v>
      </c>
      <c r="E128" s="213"/>
      <c r="F128" s="249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>
        <v>400</v>
      </c>
      <c r="R128" s="218">
        <f>SUM(E128:Q128)</f>
        <v>400</v>
      </c>
    </row>
    <row r="129" spans="1:18" s="41" customFormat="1" ht="23.25" customHeight="1">
      <c r="A129" s="135"/>
      <c r="B129" s="135"/>
      <c r="C129" s="135"/>
      <c r="D129" s="223"/>
      <c r="E129" s="213"/>
      <c r="F129" s="249"/>
      <c r="G129" s="213"/>
      <c r="H129" s="249"/>
      <c r="I129" s="213"/>
      <c r="J129" s="213"/>
      <c r="K129" s="213"/>
      <c r="L129" s="213"/>
      <c r="M129" s="213"/>
      <c r="N129" s="213"/>
      <c r="O129" s="213"/>
      <c r="P129" s="213"/>
      <c r="Q129" s="213"/>
      <c r="R129" s="222">
        <f>SUM(E129:Q129)</f>
        <v>0</v>
      </c>
    </row>
    <row r="130" spans="1:18" s="41" customFormat="1" ht="23.25" customHeight="1">
      <c r="A130" s="135"/>
      <c r="B130" s="135"/>
      <c r="C130" s="135"/>
      <c r="D130" s="223"/>
      <c r="E130" s="213"/>
      <c r="F130" s="249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22">
        <f>SUM(E130:Q130)</f>
        <v>0</v>
      </c>
    </row>
    <row r="131" spans="1:18" s="41" customFormat="1" ht="23.25" customHeight="1">
      <c r="A131" s="135"/>
      <c r="B131" s="135"/>
      <c r="C131" s="135"/>
      <c r="D131" s="223"/>
      <c r="E131" s="213"/>
      <c r="F131" s="249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22"/>
    </row>
    <row r="132" spans="1:18" s="41" customFormat="1" ht="23.25" customHeight="1">
      <c r="A132" s="135"/>
      <c r="B132" s="135"/>
      <c r="C132" s="135"/>
      <c r="D132" s="223"/>
      <c r="E132" s="213"/>
      <c r="F132" s="249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22"/>
    </row>
    <row r="133" spans="1:18" s="41" customFormat="1" ht="23.25" customHeight="1">
      <c r="A133" s="135"/>
      <c r="B133" s="135"/>
      <c r="C133" s="135"/>
      <c r="D133" s="223"/>
      <c r="E133" s="213"/>
      <c r="F133" s="249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22"/>
    </row>
    <row r="134" spans="1:18" s="41" customFormat="1" ht="23.25" customHeight="1">
      <c r="A134" s="135"/>
      <c r="B134" s="135"/>
      <c r="C134" s="135"/>
      <c r="D134" s="223"/>
      <c r="E134" s="213"/>
      <c r="F134" s="249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22"/>
    </row>
    <row r="135" spans="1:18" s="41" customFormat="1" ht="23.25" customHeight="1">
      <c r="A135" s="135"/>
      <c r="B135" s="135"/>
      <c r="C135" s="135"/>
      <c r="D135" s="223"/>
      <c r="E135" s="213"/>
      <c r="F135" s="249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22"/>
    </row>
    <row r="136" spans="1:18" s="41" customFormat="1" ht="23.25" customHeight="1">
      <c r="A136" s="135"/>
      <c r="B136" s="135"/>
      <c r="C136" s="135"/>
      <c r="D136" s="223"/>
      <c r="E136" s="213"/>
      <c r="F136" s="249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22"/>
    </row>
    <row r="137" spans="1:18" s="41" customFormat="1" ht="23.25" customHeight="1">
      <c r="A137" s="135"/>
      <c r="B137" s="135"/>
      <c r="C137" s="135"/>
      <c r="D137" s="223"/>
      <c r="E137" s="213"/>
      <c r="F137" s="249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22"/>
    </row>
    <row r="138" spans="1:18" s="41" customFormat="1" ht="23.25" customHeight="1">
      <c r="A138" s="135"/>
      <c r="B138" s="135"/>
      <c r="C138" s="135"/>
      <c r="D138" s="223"/>
      <c r="E138" s="213"/>
      <c r="F138" s="249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22"/>
    </row>
    <row r="139" spans="1:18" s="41" customFormat="1" ht="23.25" customHeight="1">
      <c r="A139" s="135"/>
      <c r="B139" s="135"/>
      <c r="C139" s="135"/>
      <c r="D139" s="223"/>
      <c r="E139" s="213"/>
      <c r="F139" s="249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22"/>
    </row>
    <row r="140" spans="1:18" s="41" customFormat="1" ht="23.25" customHeight="1">
      <c r="A140" s="135"/>
      <c r="B140" s="135"/>
      <c r="C140" s="135"/>
      <c r="D140" s="223"/>
      <c r="E140" s="213"/>
      <c r="F140" s="249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22"/>
    </row>
    <row r="141" spans="1:18" s="41" customFormat="1" ht="23.25" customHeight="1">
      <c r="A141" s="135"/>
      <c r="B141" s="135"/>
      <c r="C141" s="135"/>
      <c r="D141" s="223"/>
      <c r="E141" s="213"/>
      <c r="F141" s="249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22"/>
    </row>
    <row r="142" spans="1:18" s="41" customFormat="1" ht="23.25" customHeight="1">
      <c r="A142" s="135"/>
      <c r="B142" s="135"/>
      <c r="C142" s="135"/>
      <c r="D142" s="223"/>
      <c r="E142" s="213"/>
      <c r="F142" s="249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22"/>
    </row>
    <row r="143" spans="1:18" s="41" customFormat="1" ht="23.25" customHeight="1">
      <c r="A143" s="135"/>
      <c r="B143" s="135"/>
      <c r="C143" s="135"/>
      <c r="D143" s="223"/>
      <c r="E143" s="213"/>
      <c r="F143" s="249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22"/>
    </row>
    <row r="144" spans="1:18" s="41" customFormat="1" ht="23.25" customHeight="1">
      <c r="A144" s="135"/>
      <c r="B144" s="135"/>
      <c r="C144" s="135"/>
      <c r="D144" s="223"/>
      <c r="E144" s="142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22"/>
    </row>
    <row r="145" spans="1:18" s="41" customFormat="1" ht="23.25" customHeight="1">
      <c r="A145" s="135"/>
      <c r="B145" s="135"/>
      <c r="C145" s="135"/>
      <c r="D145" s="223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77"/>
    </row>
    <row r="146" spans="1:18" s="41" customFormat="1" ht="23.25" customHeight="1">
      <c r="A146" s="135"/>
      <c r="B146" s="135"/>
      <c r="C146" s="135"/>
      <c r="D146" s="223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77"/>
    </row>
    <row r="147" spans="1:18" s="41" customFormat="1" ht="23.25" customHeight="1">
      <c r="A147" s="135"/>
      <c r="B147" s="135"/>
      <c r="C147" s="135"/>
      <c r="D147" s="223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77"/>
    </row>
    <row r="148" spans="1:18" s="41" customFormat="1" ht="23.25" customHeight="1">
      <c r="A148" s="135"/>
      <c r="B148" s="135"/>
      <c r="C148" s="135"/>
      <c r="D148" s="223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77"/>
    </row>
    <row r="149" spans="1:18" s="41" customFormat="1" ht="23.25" customHeight="1">
      <c r="A149" s="135"/>
      <c r="B149" s="135"/>
      <c r="C149" s="135"/>
      <c r="D149" s="223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77"/>
    </row>
    <row r="150" spans="1:18" s="41" customFormat="1" ht="23.25" customHeight="1">
      <c r="A150" s="135"/>
      <c r="B150" s="135"/>
      <c r="C150" s="135"/>
      <c r="D150" s="176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77"/>
    </row>
    <row r="151" spans="1:18" s="41" customFormat="1" ht="23.25" customHeight="1">
      <c r="A151" s="135"/>
      <c r="B151" s="135"/>
      <c r="C151" s="135"/>
      <c r="D151" s="176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77"/>
    </row>
    <row r="152" spans="1:18" s="41" customFormat="1" ht="23.25" customHeight="1">
      <c r="A152" s="135"/>
      <c r="B152" s="135"/>
      <c r="C152" s="135"/>
      <c r="D152" s="178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77"/>
    </row>
    <row r="153" spans="1:18" s="41" customFormat="1" ht="23.25" customHeight="1">
      <c r="A153" s="135"/>
      <c r="B153" s="135"/>
      <c r="C153" s="135"/>
      <c r="D153" s="178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77"/>
    </row>
    <row r="154" spans="1:18" s="41" customFormat="1" ht="23.25" customHeight="1">
      <c r="A154" s="135"/>
      <c r="B154" s="135"/>
      <c r="C154" s="135"/>
      <c r="D154" s="178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77"/>
    </row>
    <row r="155" spans="1:18" s="41" customFormat="1" ht="23.25" customHeight="1">
      <c r="A155" s="135"/>
      <c r="B155" s="135"/>
      <c r="C155" s="135"/>
      <c r="D155" s="178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77"/>
    </row>
    <row r="156" spans="1:18" s="41" customFormat="1" ht="24" customHeight="1">
      <c r="A156" s="135"/>
      <c r="B156" s="135"/>
      <c r="C156" s="135"/>
      <c r="D156" s="178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77"/>
    </row>
    <row r="157" spans="1:18" s="41" customFormat="1" ht="24" customHeight="1">
      <c r="A157" s="135"/>
      <c r="B157" s="135"/>
      <c r="C157" s="135"/>
      <c r="D157" s="178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77"/>
    </row>
    <row r="158" spans="1:18" s="41" customFormat="1" ht="23.25" customHeight="1">
      <c r="A158" s="135"/>
      <c r="B158" s="135"/>
      <c r="C158" s="135"/>
      <c r="D158" s="178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77"/>
    </row>
    <row r="159" spans="1:18" s="41" customFormat="1" ht="23.25" customHeight="1">
      <c r="A159" s="135"/>
      <c r="B159" s="135"/>
      <c r="C159" s="135"/>
      <c r="D159" s="178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77"/>
    </row>
    <row r="160" spans="1:18" ht="23.25" customHeight="1">
      <c r="A160" s="49"/>
      <c r="B160" s="49"/>
      <c r="C160" s="149"/>
      <c r="D160" s="179"/>
      <c r="E160" s="48">
        <f>SUM(E2:E126)</f>
        <v>140300</v>
      </c>
      <c r="F160" s="145">
        <f>SUM(F2:F128)</f>
        <v>207500</v>
      </c>
      <c r="G160" s="143">
        <f>SUM(G2:G128)</f>
        <v>136700</v>
      </c>
      <c r="H160" s="143">
        <f>SUM(H2:H131)</f>
        <v>210400</v>
      </c>
      <c r="I160" s="143">
        <f>SUM(I2:I130)</f>
        <v>192300</v>
      </c>
      <c r="J160" s="143">
        <f>SUM(J2:J130)</f>
        <v>200100</v>
      </c>
      <c r="K160" s="143">
        <f>SUM(K2:K131)</f>
        <v>194600</v>
      </c>
      <c r="L160" s="143">
        <f t="shared" ref="L160:Q160" si="8">SUM(L2:L130)</f>
        <v>312100</v>
      </c>
      <c r="M160" s="143">
        <f t="shared" si="8"/>
        <v>329050</v>
      </c>
      <c r="N160" s="143">
        <f t="shared" si="8"/>
        <v>211200</v>
      </c>
      <c r="O160" s="143">
        <f t="shared" si="8"/>
        <v>200200</v>
      </c>
      <c r="P160" s="143">
        <f t="shared" si="8"/>
        <v>223000</v>
      </c>
      <c r="Q160" s="143">
        <f t="shared" si="8"/>
        <v>223400</v>
      </c>
      <c r="R160" s="48">
        <f>SUM(R2:R128)</f>
        <v>2780450</v>
      </c>
    </row>
    <row r="161" spans="4:17" ht="23.25" customHeight="1">
      <c r="D161" s="44"/>
      <c r="L161" s="126"/>
      <c r="M161" s="127"/>
      <c r="Q161" s="140"/>
    </row>
    <row r="162" spans="4:17" ht="16.5" customHeight="1">
      <c r="L162" s="128"/>
      <c r="M162" s="127"/>
    </row>
    <row r="163" spans="4:17" ht="16.5" customHeight="1">
      <c r="L163" s="126"/>
      <c r="M163" s="127"/>
    </row>
    <row r="164" spans="4:17" ht="16.5" customHeight="1">
      <c r="L164" s="126"/>
      <c r="M164" s="127"/>
    </row>
    <row r="165" spans="4:17" ht="16.5" customHeight="1">
      <c r="L165" s="126"/>
      <c r="M165" s="127"/>
    </row>
    <row r="166" spans="4:17" ht="16.5" customHeight="1">
      <c r="L166" s="126"/>
      <c r="M166" s="127"/>
    </row>
    <row r="167" spans="4:17" ht="16.5" customHeight="1">
      <c r="L167" s="126"/>
      <c r="M167" s="127"/>
    </row>
    <row r="168" spans="4:17" ht="16.5" customHeight="1">
      <c r="L168" s="128"/>
      <c r="M168" s="127"/>
    </row>
    <row r="169" spans="4:17" ht="16.5" customHeight="1">
      <c r="L169" s="126"/>
      <c r="M169" s="127"/>
    </row>
    <row r="170" spans="4:17" ht="16.5" customHeight="1">
      <c r="L170" s="126"/>
      <c r="M170" s="127"/>
    </row>
    <row r="171" spans="4:17" ht="16.5" customHeight="1">
      <c r="L171" s="126"/>
      <c r="M171" s="127"/>
    </row>
    <row r="172" spans="4:17" ht="16.5" customHeight="1">
      <c r="L172" s="126"/>
      <c r="M172" s="127"/>
    </row>
    <row r="173" spans="4:17" ht="16.5" customHeight="1">
      <c r="L173" s="126"/>
      <c r="M173" s="127"/>
    </row>
    <row r="174" spans="4:17" ht="16.5" customHeight="1">
      <c r="L174" s="126"/>
      <c r="M174" s="127"/>
    </row>
    <row r="175" spans="4:17" ht="16.5" customHeight="1">
      <c r="L175" s="128"/>
      <c r="M175" s="127"/>
    </row>
    <row r="176" spans="4:17" ht="16.5" customHeight="1">
      <c r="L176" s="128"/>
      <c r="M176" s="127"/>
    </row>
    <row r="177" spans="12:13" ht="16.5" customHeight="1">
      <c r="L177" s="128"/>
      <c r="M177" s="127"/>
    </row>
    <row r="178" spans="12:13" ht="16.5" customHeight="1">
      <c r="L178" s="128"/>
      <c r="M178" s="127"/>
    </row>
    <row r="179" spans="12:13" ht="16.5" customHeight="1">
      <c r="L179" s="126"/>
      <c r="M179" s="127"/>
    </row>
    <row r="180" spans="12:13" ht="16.5" customHeight="1">
      <c r="L180" s="126"/>
      <c r="M180" s="127"/>
    </row>
    <row r="181" spans="12:13" ht="16.5" customHeight="1">
      <c r="L181" s="128"/>
      <c r="M181" s="127"/>
    </row>
    <row r="182" spans="12:13" ht="16.5" customHeight="1">
      <c r="L182" s="128"/>
      <c r="M182" s="127"/>
    </row>
    <row r="183" spans="12:13" ht="16.5" customHeight="1">
      <c r="L183" s="128"/>
      <c r="M183" s="127"/>
    </row>
    <row r="184" spans="12:13" ht="16.5" customHeight="1">
      <c r="L184" s="128"/>
      <c r="M184" s="127"/>
    </row>
    <row r="185" spans="12:13" ht="16.5" customHeight="1">
      <c r="L185" s="128"/>
      <c r="M185" s="127"/>
    </row>
    <row r="186" spans="12:13" ht="16.5" customHeight="1">
      <c r="L186" s="128"/>
      <c r="M186" s="127"/>
    </row>
    <row r="187" spans="12:13" ht="16.5" customHeight="1">
      <c r="L187" s="128"/>
      <c r="M187" s="127"/>
    </row>
    <row r="188" spans="12:13" ht="16.5" customHeight="1">
      <c r="L188" s="126"/>
      <c r="M188" s="127"/>
    </row>
    <row r="189" spans="12:13" ht="16.5" customHeight="1">
      <c r="L189" s="128"/>
      <c r="M189" s="127"/>
    </row>
    <row r="190" spans="12:13" ht="16.5" customHeight="1">
      <c r="L190" s="128"/>
      <c r="M190" s="127"/>
    </row>
    <row r="191" spans="12:13" ht="16.5" customHeight="1">
      <c r="L191" s="128"/>
      <c r="M191" s="127"/>
    </row>
    <row r="192" spans="12:13" ht="16.5" customHeight="1">
      <c r="L192" s="128"/>
      <c r="M192" s="127"/>
    </row>
    <row r="193" spans="12:13" ht="16.5" customHeight="1">
      <c r="L193" s="128"/>
      <c r="M193" s="127"/>
    </row>
    <row r="194" spans="12:13" ht="16.5" customHeight="1">
      <c r="L194" s="128"/>
      <c r="M194" s="127"/>
    </row>
    <row r="195" spans="12:13" ht="16.5" customHeight="1">
      <c r="L195" s="128"/>
      <c r="M195" s="127"/>
    </row>
    <row r="196" spans="12:13" ht="16.5" customHeight="1">
      <c r="L196" s="128"/>
      <c r="M196" s="127"/>
    </row>
  </sheetData>
  <phoneticPr fontId="2" type="noConversion"/>
  <conditionalFormatting sqref="D4:D12 D14 E40:E159">
    <cfRule type="cellIs" dxfId="3" priority="4" stopIfTrue="1" operator="lessThan">
      <formula>0</formula>
    </cfRule>
  </conditionalFormatting>
  <conditionalFormatting sqref="G46">
    <cfRule type="cellIs" dxfId="2" priority="7" stopIfTrue="1" operator="lessThan">
      <formula>0</formula>
    </cfRule>
  </conditionalFormatting>
  <conditionalFormatting sqref="G125:G159">
    <cfRule type="cellIs" dxfId="1" priority="1" stopIfTrue="1" operator="lessThan">
      <formula>0</formula>
    </cfRule>
  </conditionalFormatting>
  <pageMargins left="0.75" right="0.75" top="1" bottom="1" header="0.5" footer="0.5"/>
  <pageSetup scale="51" fitToHeight="0" orientation="portrait" r:id="rId1"/>
  <headerFooter>
    <oddHeader>&amp;C&amp;"Helvetica Neue,Bold"&amp;14&amp;K000000107年繳費球員名單</oddHeader>
    <oddFooter>&amp;C&amp;"Helvetica Neue,Regular"&amp;12&amp;K000000&amp;P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pageSetUpPr fitToPage="1"/>
  </sheetPr>
  <dimension ref="A1:IV18"/>
  <sheetViews>
    <sheetView showGridLines="0" showRuler="0" zoomScale="120" zoomScaleNormal="120" zoomScalePageLayoutView="112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8.81640625" defaultRowHeight="16.5" customHeight="1"/>
  <cols>
    <col min="1" max="1" width="5" style="1" customWidth="1"/>
    <col min="2" max="2" width="8.1796875" style="1" customWidth="1"/>
    <col min="3" max="11" width="7.6328125" style="1" customWidth="1"/>
    <col min="12" max="12" width="8" style="1" customWidth="1"/>
    <col min="13" max="13" width="7.6328125" style="1" customWidth="1"/>
    <col min="14" max="14" width="8" style="1" customWidth="1"/>
    <col min="15" max="15" width="9.6328125" style="1" customWidth="1"/>
    <col min="16" max="256" width="8.81640625" style="1" customWidth="1"/>
    <col min="257" max="16384" width="8.81640625" style="2"/>
  </cols>
  <sheetData>
    <row r="1" spans="1:15" s="1" customFormat="1" ht="32.25" customHeight="1" thickBot="1">
      <c r="A1" s="638" t="s">
        <v>133</v>
      </c>
      <c r="B1" s="639"/>
      <c r="C1" s="640"/>
      <c r="D1" s="640"/>
      <c r="E1" s="640"/>
      <c r="F1" s="639"/>
      <c r="G1" s="639"/>
      <c r="H1" s="639"/>
      <c r="I1" s="639"/>
      <c r="J1" s="639"/>
      <c r="K1" s="639"/>
      <c r="L1" s="639"/>
      <c r="M1" s="639"/>
      <c r="N1" s="639"/>
      <c r="O1" s="18"/>
    </row>
    <row r="2" spans="1:15" s="1" customFormat="1" ht="21" customHeight="1" thickTop="1">
      <c r="A2" s="19" t="s">
        <v>34</v>
      </c>
      <c r="B2" s="20" t="s">
        <v>48</v>
      </c>
      <c r="C2" s="29" t="s">
        <v>96</v>
      </c>
      <c r="D2" s="124" t="s">
        <v>69</v>
      </c>
      <c r="E2" s="29" t="s">
        <v>71</v>
      </c>
      <c r="F2" s="29" t="s">
        <v>38</v>
      </c>
      <c r="G2" s="29" t="s">
        <v>39</v>
      </c>
      <c r="H2" s="29" t="s">
        <v>40</v>
      </c>
      <c r="I2" s="29" t="s">
        <v>41</v>
      </c>
      <c r="J2" s="29" t="s">
        <v>42</v>
      </c>
      <c r="K2" s="29" t="s">
        <v>43</v>
      </c>
      <c r="L2" s="29" t="s">
        <v>44</v>
      </c>
      <c r="M2" s="29" t="s">
        <v>45</v>
      </c>
      <c r="N2" s="29" t="s">
        <v>97</v>
      </c>
      <c r="O2" s="21" t="s">
        <v>49</v>
      </c>
    </row>
    <row r="3" spans="1:15" s="1" customFormat="1" ht="19.95" customHeight="1">
      <c r="A3" s="22">
        <v>1</v>
      </c>
      <c r="B3" s="180" t="s">
        <v>50</v>
      </c>
      <c r="C3" s="23">
        <v>45771</v>
      </c>
      <c r="D3" s="23">
        <v>58990</v>
      </c>
      <c r="E3" s="23">
        <v>49800</v>
      </c>
      <c r="F3" s="23">
        <v>46600</v>
      </c>
      <c r="G3" s="23">
        <v>49200</v>
      </c>
      <c r="H3" s="23">
        <v>49500</v>
      </c>
      <c r="I3" s="23">
        <v>53400</v>
      </c>
      <c r="J3" s="23">
        <v>49548</v>
      </c>
      <c r="K3" s="23">
        <v>51150</v>
      </c>
      <c r="L3" s="23">
        <v>50600</v>
      </c>
      <c r="M3" s="23">
        <v>48200</v>
      </c>
      <c r="N3" s="23">
        <v>48500</v>
      </c>
      <c r="O3" s="24">
        <f t="shared" ref="O3:O17" si="0">SUM(C3:N3)</f>
        <v>601259</v>
      </c>
    </row>
    <row r="4" spans="1:15" s="1" customFormat="1" ht="19.95" customHeight="1">
      <c r="A4" s="22">
        <v>2</v>
      </c>
      <c r="B4" s="180" t="s">
        <v>51</v>
      </c>
      <c r="C4" s="23">
        <v>42445</v>
      </c>
      <c r="D4" s="23">
        <v>53601</v>
      </c>
      <c r="E4" s="23">
        <v>44200</v>
      </c>
      <c r="F4" s="23">
        <v>43100</v>
      </c>
      <c r="G4" s="23">
        <v>45700</v>
      </c>
      <c r="H4" s="23">
        <v>43000</v>
      </c>
      <c r="I4" s="23">
        <v>53400</v>
      </c>
      <c r="J4" s="23">
        <v>62450</v>
      </c>
      <c r="K4" s="23">
        <v>46900</v>
      </c>
      <c r="L4" s="23">
        <v>44700</v>
      </c>
      <c r="M4" s="23">
        <v>41100</v>
      </c>
      <c r="N4" s="23">
        <v>44400</v>
      </c>
      <c r="O4" s="24">
        <f t="shared" si="0"/>
        <v>564996</v>
      </c>
    </row>
    <row r="5" spans="1:15" s="1" customFormat="1" ht="19.95" customHeight="1">
      <c r="A5" s="22">
        <v>3</v>
      </c>
      <c r="B5" s="180" t="s">
        <v>52</v>
      </c>
      <c r="C5" s="23">
        <v>32900</v>
      </c>
      <c r="D5" s="23">
        <v>45443</v>
      </c>
      <c r="E5" s="23">
        <v>33600</v>
      </c>
      <c r="F5" s="23">
        <v>37800</v>
      </c>
      <c r="G5" s="23">
        <v>36300</v>
      </c>
      <c r="H5" s="23">
        <v>33600</v>
      </c>
      <c r="I5" s="23">
        <v>46100</v>
      </c>
      <c r="J5" s="23">
        <v>42450</v>
      </c>
      <c r="K5" s="23">
        <v>33000</v>
      </c>
      <c r="L5" s="23">
        <v>34750</v>
      </c>
      <c r="M5" s="23">
        <v>35100</v>
      </c>
      <c r="N5" s="23">
        <v>33500</v>
      </c>
      <c r="O5" s="24">
        <f t="shared" si="0"/>
        <v>444543</v>
      </c>
    </row>
    <row r="6" spans="1:15" s="1" customFormat="1" ht="19.95" customHeight="1">
      <c r="A6" s="22">
        <v>4</v>
      </c>
      <c r="B6" s="53" t="s">
        <v>104</v>
      </c>
      <c r="C6" s="23">
        <v>23950</v>
      </c>
      <c r="D6" s="23">
        <v>24350</v>
      </c>
      <c r="E6" s="23">
        <v>18800</v>
      </c>
      <c r="F6" s="23">
        <v>16400</v>
      </c>
      <c r="G6" s="23">
        <v>20000</v>
      </c>
      <c r="H6" s="23">
        <v>21800</v>
      </c>
      <c r="I6" s="23">
        <v>30500</v>
      </c>
      <c r="J6" s="23">
        <v>45800</v>
      </c>
      <c r="K6" s="23">
        <v>34000</v>
      </c>
      <c r="L6" s="23">
        <v>23000</v>
      </c>
      <c r="M6" s="23"/>
      <c r="N6" s="23"/>
      <c r="O6" s="24">
        <f t="shared" si="0"/>
        <v>258600</v>
      </c>
    </row>
    <row r="7" spans="1:15" s="1" customFormat="1" ht="19.95" customHeight="1">
      <c r="A7" s="22">
        <v>5</v>
      </c>
      <c r="B7" s="37" t="s">
        <v>93</v>
      </c>
      <c r="C7" s="23">
        <v>18300</v>
      </c>
      <c r="D7" s="23">
        <v>16650</v>
      </c>
      <c r="E7" s="23">
        <v>15900</v>
      </c>
      <c r="F7" s="23">
        <v>12300</v>
      </c>
      <c r="G7" s="23">
        <v>11700</v>
      </c>
      <c r="H7" s="23">
        <v>12300</v>
      </c>
      <c r="I7" s="23">
        <v>30500</v>
      </c>
      <c r="J7" s="23">
        <v>33750</v>
      </c>
      <c r="K7" s="98">
        <v>18000</v>
      </c>
      <c r="L7" s="23">
        <v>16800</v>
      </c>
      <c r="M7" s="23"/>
      <c r="N7" s="23"/>
      <c r="O7" s="24">
        <f t="shared" si="0"/>
        <v>186200</v>
      </c>
    </row>
    <row r="8" spans="1:15" s="1" customFormat="1" ht="19.95" customHeight="1">
      <c r="A8" s="22">
        <v>6</v>
      </c>
      <c r="B8" s="101" t="s">
        <v>117</v>
      </c>
      <c r="C8" s="23">
        <v>4450</v>
      </c>
      <c r="D8" s="23"/>
      <c r="E8" s="23">
        <v>14100</v>
      </c>
      <c r="F8" s="23">
        <v>11700</v>
      </c>
      <c r="G8" s="23">
        <v>10200</v>
      </c>
      <c r="H8" s="23">
        <v>12300</v>
      </c>
      <c r="I8" s="23">
        <v>20750</v>
      </c>
      <c r="J8" s="97">
        <v>17250</v>
      </c>
      <c r="K8" s="100">
        <v>8400</v>
      </c>
      <c r="L8" s="28"/>
      <c r="M8" s="23"/>
      <c r="N8" s="23"/>
      <c r="O8" s="24">
        <f t="shared" si="0"/>
        <v>99150</v>
      </c>
    </row>
    <row r="9" spans="1:15" s="1" customFormat="1" ht="19.95" customHeight="1">
      <c r="A9" s="22">
        <v>7</v>
      </c>
      <c r="B9" s="37" t="s">
        <v>346</v>
      </c>
      <c r="C9" s="23">
        <v>8250</v>
      </c>
      <c r="D9" s="23">
        <v>14250</v>
      </c>
      <c r="E9" s="23">
        <v>12300</v>
      </c>
      <c r="F9" s="23">
        <v>11100</v>
      </c>
      <c r="G9" s="23">
        <v>9900</v>
      </c>
      <c r="H9" s="23">
        <v>12900</v>
      </c>
      <c r="I9" s="23">
        <v>31250</v>
      </c>
      <c r="J9" s="23">
        <v>33250</v>
      </c>
      <c r="K9" s="23">
        <v>12000</v>
      </c>
      <c r="L9" s="23">
        <v>7200</v>
      </c>
      <c r="M9" s="23">
        <v>9600</v>
      </c>
      <c r="N9" s="23">
        <v>10500</v>
      </c>
      <c r="O9" s="24">
        <f>SUM(C9:N9)</f>
        <v>172500</v>
      </c>
    </row>
    <row r="10" spans="1:15" s="1" customFormat="1" ht="19.95" customHeight="1">
      <c r="A10" s="22">
        <v>8</v>
      </c>
      <c r="B10" s="53" t="s">
        <v>359</v>
      </c>
      <c r="C10" s="23"/>
      <c r="D10" s="23"/>
      <c r="E10" s="23"/>
      <c r="F10" s="23">
        <v>1500</v>
      </c>
      <c r="G10" s="23">
        <v>4200</v>
      </c>
      <c r="H10" s="23">
        <v>600</v>
      </c>
      <c r="I10" s="23"/>
      <c r="J10" s="23"/>
      <c r="K10" s="23"/>
      <c r="L10" s="23">
        <v>1500</v>
      </c>
      <c r="M10" s="23"/>
      <c r="N10" s="23"/>
      <c r="O10" s="24">
        <f>SUM(C10:N10)</f>
        <v>7800</v>
      </c>
    </row>
    <row r="11" spans="1:15" s="1" customFormat="1" ht="19.95" customHeight="1">
      <c r="A11" s="22">
        <v>9</v>
      </c>
      <c r="B11" s="101" t="s">
        <v>413</v>
      </c>
      <c r="C11" s="28"/>
      <c r="D11" s="23"/>
      <c r="E11" s="23"/>
      <c r="F11" s="23"/>
      <c r="G11" s="23"/>
      <c r="H11" s="23">
        <v>3900</v>
      </c>
      <c r="I11" s="23">
        <v>10500</v>
      </c>
      <c r="J11" s="23">
        <v>15000</v>
      </c>
      <c r="K11" s="23">
        <v>13800</v>
      </c>
      <c r="L11" s="23">
        <v>15000</v>
      </c>
      <c r="M11" s="23">
        <v>18000</v>
      </c>
      <c r="N11" s="23">
        <v>19200</v>
      </c>
      <c r="O11" s="24">
        <f t="shared" si="0"/>
        <v>95400</v>
      </c>
    </row>
    <row r="12" spans="1:15" s="1" customFormat="1" ht="19.95" customHeight="1">
      <c r="A12" s="22">
        <v>10</v>
      </c>
      <c r="B12" s="53" t="s">
        <v>445</v>
      </c>
      <c r="C12" s="23"/>
      <c r="D12" s="23"/>
      <c r="E12" s="23"/>
      <c r="F12" s="23"/>
      <c r="G12" s="23"/>
      <c r="H12" s="23"/>
      <c r="I12" s="23">
        <v>25500</v>
      </c>
      <c r="J12" s="23">
        <v>3750</v>
      </c>
      <c r="K12" s="98"/>
      <c r="L12" s="23"/>
      <c r="M12" s="23"/>
      <c r="N12" s="23"/>
      <c r="O12" s="24">
        <f t="shared" si="0"/>
        <v>29250</v>
      </c>
    </row>
    <row r="13" spans="1:15" s="1" customFormat="1" ht="19.95" customHeight="1">
      <c r="A13" s="22">
        <v>11</v>
      </c>
      <c r="B13" s="53" t="s">
        <v>446</v>
      </c>
      <c r="C13" s="23"/>
      <c r="D13" s="23"/>
      <c r="E13" s="23"/>
      <c r="F13" s="23"/>
      <c r="G13" s="23"/>
      <c r="H13" s="23"/>
      <c r="I13" s="23">
        <v>19200</v>
      </c>
      <c r="J13" s="97">
        <v>1800</v>
      </c>
      <c r="K13" s="100"/>
      <c r="L13" s="28"/>
      <c r="M13" s="23">
        <v>6300</v>
      </c>
      <c r="N13" s="23"/>
      <c r="O13" s="24">
        <f t="shared" si="0"/>
        <v>27300</v>
      </c>
    </row>
    <row r="14" spans="1:15" s="1" customFormat="1" ht="19.95" customHeight="1">
      <c r="A14" s="22">
        <v>12</v>
      </c>
      <c r="B14" s="101" t="s">
        <v>447</v>
      </c>
      <c r="C14" s="102"/>
      <c r="D14" s="102"/>
      <c r="E14" s="102"/>
      <c r="F14" s="102"/>
      <c r="G14" s="102"/>
      <c r="H14" s="102"/>
      <c r="I14" s="102">
        <v>21600</v>
      </c>
      <c r="J14" s="103">
        <v>3000</v>
      </c>
      <c r="K14" s="104"/>
      <c r="L14" s="102"/>
      <c r="M14" s="102"/>
      <c r="N14" s="102"/>
      <c r="O14" s="24">
        <f t="shared" si="0"/>
        <v>24600</v>
      </c>
    </row>
    <row r="15" spans="1:15" s="1" customFormat="1" ht="21" customHeight="1">
      <c r="A15" s="22">
        <v>13</v>
      </c>
      <c r="B15" s="587" t="s">
        <v>591</v>
      </c>
      <c r="C15" s="586"/>
      <c r="D15" s="585"/>
      <c r="E15" s="576"/>
      <c r="F15" s="582"/>
      <c r="G15" s="577"/>
      <c r="H15" s="577"/>
      <c r="I15" s="582"/>
      <c r="J15" s="578"/>
      <c r="K15" s="99"/>
      <c r="L15" s="582"/>
      <c r="M15" s="582">
        <v>2400</v>
      </c>
      <c r="N15" s="577">
        <v>4800</v>
      </c>
      <c r="O15" s="24">
        <f t="shared" si="0"/>
        <v>7200</v>
      </c>
    </row>
    <row r="16" spans="1:15" s="1" customFormat="1" ht="21" customHeight="1" thickBot="1">
      <c r="A16" s="594">
        <v>14</v>
      </c>
      <c r="B16" s="590" t="s">
        <v>592</v>
      </c>
      <c r="C16" s="576"/>
      <c r="D16" s="595"/>
      <c r="E16" s="596"/>
      <c r="F16" s="596"/>
      <c r="G16" s="596"/>
      <c r="H16" s="596"/>
      <c r="I16" s="596"/>
      <c r="J16" s="584"/>
      <c r="K16" s="579"/>
      <c r="L16" s="583"/>
      <c r="M16" s="581">
        <v>4800</v>
      </c>
      <c r="N16" s="580">
        <v>12600</v>
      </c>
      <c r="O16" s="592">
        <f>SUM(C16:N16)</f>
        <v>17400</v>
      </c>
    </row>
    <row r="17" spans="1:15" s="1" customFormat="1" ht="23.25" customHeight="1" thickTop="1" thickBot="1">
      <c r="A17" s="588"/>
      <c r="B17" s="589" t="s">
        <v>56</v>
      </c>
      <c r="C17" s="591">
        <v>75</v>
      </c>
      <c r="D17" s="25">
        <v>60</v>
      </c>
      <c r="E17" s="25">
        <v>75</v>
      </c>
      <c r="F17" s="25">
        <v>90</v>
      </c>
      <c r="G17" s="25">
        <v>90</v>
      </c>
      <c r="H17" s="25">
        <v>85</v>
      </c>
      <c r="I17" s="25">
        <v>135</v>
      </c>
      <c r="J17" s="25">
        <v>135</v>
      </c>
      <c r="K17" s="25">
        <v>90</v>
      </c>
      <c r="L17" s="25">
        <v>90</v>
      </c>
      <c r="M17" s="25">
        <v>90</v>
      </c>
      <c r="N17" s="25">
        <v>75</v>
      </c>
      <c r="O17" s="593">
        <f t="shared" si="0"/>
        <v>1090</v>
      </c>
    </row>
    <row r="18" spans="1:15" s="1" customFormat="1" ht="28.5" customHeight="1" thickBot="1">
      <c r="A18" s="641" t="s">
        <v>53</v>
      </c>
      <c r="B18" s="642"/>
      <c r="C18" s="26">
        <f t="shared" ref="C18:O18" si="1">SUM(C3:C17)</f>
        <v>176141</v>
      </c>
      <c r="D18" s="26">
        <f t="shared" si="1"/>
        <v>213344</v>
      </c>
      <c r="E18" s="26">
        <f t="shared" si="1"/>
        <v>188775</v>
      </c>
      <c r="F18" s="26">
        <f>SUM(F3:F17)</f>
        <v>180590</v>
      </c>
      <c r="G18" s="26">
        <f t="shared" si="1"/>
        <v>187290</v>
      </c>
      <c r="H18" s="26">
        <f t="shared" si="1"/>
        <v>189985</v>
      </c>
      <c r="I18" s="26">
        <f t="shared" si="1"/>
        <v>342835</v>
      </c>
      <c r="J18" s="26">
        <f t="shared" si="1"/>
        <v>308183</v>
      </c>
      <c r="K18" s="26">
        <f t="shared" si="1"/>
        <v>217340</v>
      </c>
      <c r="L18" s="26">
        <f t="shared" si="1"/>
        <v>193640</v>
      </c>
      <c r="M18" s="26">
        <f>SUM(M3:M17)</f>
        <v>165590</v>
      </c>
      <c r="N18" s="26">
        <f t="shared" si="1"/>
        <v>173575</v>
      </c>
      <c r="O18" s="27">
        <f t="shared" si="1"/>
        <v>2537288</v>
      </c>
    </row>
  </sheetData>
  <mergeCells count="2">
    <mergeCell ref="A1:N1"/>
    <mergeCell ref="A18:B18"/>
  </mergeCells>
  <phoneticPr fontId="2" type="noConversion"/>
  <conditionalFormatting sqref="C3:O18">
    <cfRule type="cellIs" dxfId="0" priority="1" stopIfTrue="1" operator="lessThan">
      <formula>0</formula>
    </cfRule>
  </conditionalFormatting>
  <pageMargins left="0.75" right="0.75" top="1" bottom="1" header="0.5" footer="0.5"/>
  <pageSetup scale="88" orientation="landscape" r:id="rId1"/>
  <headerFooter>
    <oddFooter>&amp;C&amp;"Helvetica Neue,Regular"&amp;12&amp;K000000&amp;P&amp;R&amp;"Helvetica Neue,Regular"&amp;12&amp;K000000製表：方媽  2018年8月9日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114日記帳</vt:lpstr>
      <vt:lpstr>114收支表 </vt:lpstr>
      <vt:lpstr>比賽費用支出</vt:lpstr>
      <vt:lpstr>繳費名單</vt:lpstr>
      <vt:lpstr>教練薪資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minmin kuo</cp:lastModifiedBy>
  <cp:lastPrinted>2022-01-07T23:30:00Z</cp:lastPrinted>
  <dcterms:created xsi:type="dcterms:W3CDTF">2020-01-02T12:17:06Z</dcterms:created>
  <dcterms:modified xsi:type="dcterms:W3CDTF">2026-05-07T10:35:24Z</dcterms:modified>
</cp:coreProperties>
</file>