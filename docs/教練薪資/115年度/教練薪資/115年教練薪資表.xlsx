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8"/>
  <workbookPr/>
  <mc:AlternateContent xmlns:mc="http://schemas.openxmlformats.org/markup-compatibility/2006">
    <mc:Choice Requires="x15">
      <x15ac:absPath xmlns:x15ac="http://schemas.microsoft.com/office/spreadsheetml/2010/11/ac" url="C:\Users\marco\Downloads\冠勳媽112.08.12~115.06.05\教練薪資\115年度\教練薪資\"/>
    </mc:Choice>
  </mc:AlternateContent>
  <xr:revisionPtr revIDLastSave="0" documentId="13_ncr:1_{6075EB0B-FED7-492E-A7BC-CE52E6665E3B}" xr6:coauthVersionLast="47" xr6:coauthVersionMax="47" xr10:uidLastSave="{00000000-0000-0000-0000-000000000000}"/>
  <bookViews>
    <workbookView xWindow="-98" yWindow="-98" windowWidth="21795" windowHeight="13875" firstSheet="2" activeTab="5" xr2:uid="{00000000-000D-0000-FFFF-FFFF00000000}"/>
  </bookViews>
  <sheets>
    <sheet name="115.01" sheetId="1" r:id="rId1"/>
    <sheet name="115.02" sheetId="2" r:id="rId2"/>
    <sheet name="115.03" sheetId="14" r:id="rId3"/>
    <sheet name="115.04" sheetId="4" r:id="rId4"/>
    <sheet name="115.05" sheetId="5" r:id="rId5"/>
    <sheet name="115.06" sheetId="6" r:id="rId6"/>
    <sheet name="115.07" sheetId="15" r:id="rId7"/>
    <sheet name="115.08" sheetId="16" r:id="rId8"/>
    <sheet name="115.09" sheetId="9" r:id="rId9"/>
    <sheet name="115.10" sheetId="10" r:id="rId10"/>
    <sheet name="115.11" sheetId="11" r:id="rId11"/>
    <sheet name="115.12" sheetId="12" r:id="rId12"/>
    <sheet name="工作表1" sheetId="13" r:id="rId1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6" l="1"/>
  <c r="F15" i="6"/>
  <c r="D14" i="6"/>
  <c r="F14" i="6"/>
  <c r="D17" i="6"/>
  <c r="F17" i="6"/>
  <c r="D16" i="5"/>
  <c r="F14" i="4"/>
  <c r="D15" i="4"/>
  <c r="F15" i="4"/>
  <c r="F9" i="4"/>
  <c r="F16" i="14"/>
  <c r="D16" i="14"/>
  <c r="D5" i="16"/>
  <c r="F3" i="16"/>
  <c r="D8" i="16"/>
  <c r="F6" i="16"/>
  <c r="D11" i="16"/>
  <c r="F9" i="16"/>
  <c r="D13" i="16"/>
  <c r="F12" i="16"/>
  <c r="D14" i="16"/>
  <c r="F14" i="16"/>
  <c r="D15" i="16"/>
  <c r="F15" i="16"/>
  <c r="D16" i="16"/>
  <c r="F16" i="16"/>
  <c r="D17" i="16"/>
  <c r="F17" i="16"/>
  <c r="D18" i="16"/>
  <c r="F18" i="16"/>
  <c r="D19" i="16"/>
  <c r="F19" i="16"/>
  <c r="D20" i="16"/>
  <c r="F20" i="16"/>
  <c r="F21" i="16"/>
  <c r="E21" i="16"/>
  <c r="D21" i="16"/>
  <c r="B7" i="16"/>
  <c r="D5" i="15"/>
  <c r="F3" i="15"/>
  <c r="D8" i="15"/>
  <c r="F6" i="15"/>
  <c r="D11" i="15"/>
  <c r="F9" i="15"/>
  <c r="D13" i="15"/>
  <c r="F12" i="15"/>
  <c r="D14" i="15"/>
  <c r="F14" i="15"/>
  <c r="D15" i="15"/>
  <c r="F15" i="15"/>
  <c r="D16" i="15"/>
  <c r="F16" i="15"/>
  <c r="D17" i="15"/>
  <c r="F17" i="15"/>
  <c r="D18" i="15"/>
  <c r="F18" i="15"/>
  <c r="D19" i="15"/>
  <c r="F19" i="15"/>
  <c r="D20" i="15"/>
  <c r="F20" i="15"/>
  <c r="F21" i="15"/>
  <c r="E21" i="15"/>
  <c r="D21" i="15"/>
  <c r="B7" i="15"/>
  <c r="D6" i="12"/>
  <c r="F4" i="12"/>
  <c r="D9" i="12"/>
  <c r="F7" i="12"/>
  <c r="D12" i="12"/>
  <c r="F10" i="12"/>
  <c r="D14" i="12"/>
  <c r="F13" i="12"/>
  <c r="D15" i="12"/>
  <c r="F15" i="12"/>
  <c r="D16" i="12"/>
  <c r="F16" i="12"/>
  <c r="D17" i="12"/>
  <c r="F17" i="12"/>
  <c r="F18" i="12"/>
  <c r="E18" i="12"/>
  <c r="D18" i="12"/>
  <c r="B8" i="12"/>
  <c r="D6" i="11"/>
  <c r="F4" i="11"/>
  <c r="D9" i="11"/>
  <c r="F7" i="11"/>
  <c r="D12" i="11"/>
  <c r="F10" i="11"/>
  <c r="D14" i="11"/>
  <c r="F13" i="11"/>
  <c r="D15" i="11"/>
  <c r="F15" i="11"/>
  <c r="D16" i="11"/>
  <c r="F16" i="11"/>
  <c r="D17" i="11"/>
  <c r="F17" i="11"/>
  <c r="F18" i="11"/>
  <c r="E18" i="11"/>
  <c r="D18" i="11"/>
  <c r="B8" i="11"/>
  <c r="D6" i="10"/>
  <c r="F4" i="10"/>
  <c r="D9" i="10"/>
  <c r="F7" i="10"/>
  <c r="D12" i="10"/>
  <c r="F10" i="10"/>
  <c r="D14" i="10"/>
  <c r="F13" i="10"/>
  <c r="D15" i="10"/>
  <c r="F15" i="10"/>
  <c r="D16" i="10"/>
  <c r="F16" i="10"/>
  <c r="D17" i="10"/>
  <c r="F17" i="10"/>
  <c r="F18" i="10"/>
  <c r="E18" i="10"/>
  <c r="D18" i="10"/>
  <c r="B8" i="10"/>
  <c r="D5" i="9"/>
  <c r="F3" i="9"/>
  <c r="D8" i="9"/>
  <c r="F6" i="9"/>
  <c r="D11" i="9"/>
  <c r="F9" i="9"/>
  <c r="D13" i="9"/>
  <c r="F12" i="9"/>
  <c r="D14" i="9"/>
  <c r="F14" i="9"/>
  <c r="D15" i="9"/>
  <c r="F15" i="9"/>
  <c r="D16" i="9"/>
  <c r="F16" i="9"/>
  <c r="F17" i="9"/>
  <c r="E17" i="9"/>
  <c r="D17" i="9"/>
  <c r="B7" i="9"/>
  <c r="D5" i="6"/>
  <c r="F3" i="6"/>
  <c r="D8" i="6"/>
  <c r="F6" i="6"/>
  <c r="D11" i="6"/>
  <c r="F9" i="6"/>
  <c r="D13" i="6"/>
  <c r="F12" i="6"/>
  <c r="D16" i="6"/>
  <c r="F16" i="6"/>
  <c r="F18" i="6"/>
  <c r="E18" i="6"/>
  <c r="D18" i="6"/>
  <c r="B7" i="6"/>
  <c r="D5" i="5"/>
  <c r="F3" i="5"/>
  <c r="D8" i="5"/>
  <c r="F6" i="5"/>
  <c r="D11" i="5"/>
  <c r="F9" i="5"/>
  <c r="D13" i="5"/>
  <c r="F12" i="5"/>
  <c r="D14" i="5"/>
  <c r="F14" i="5"/>
  <c r="D15" i="5"/>
  <c r="F15" i="5"/>
  <c r="D17" i="5"/>
  <c r="F17" i="5"/>
  <c r="E18" i="5"/>
  <c r="B7" i="5"/>
  <c r="D5" i="4"/>
  <c r="F3" i="4"/>
  <c r="D8" i="4"/>
  <c r="F6" i="4"/>
  <c r="D11" i="4"/>
  <c r="D13" i="4"/>
  <c r="F12" i="4"/>
  <c r="D14" i="4"/>
  <c r="D16" i="4"/>
  <c r="F16" i="4"/>
  <c r="F17" i="4"/>
  <c r="E17" i="4"/>
  <c r="D17" i="4"/>
  <c r="B7" i="4"/>
  <c r="D5" i="14"/>
  <c r="F3" i="14"/>
  <c r="D8" i="14"/>
  <c r="F6" i="14"/>
  <c r="B7" i="14"/>
  <c r="D11" i="14"/>
  <c r="F9" i="14"/>
  <c r="D13" i="14"/>
  <c r="F12" i="14"/>
  <c r="D14" i="14"/>
  <c r="F14" i="14"/>
  <c r="D15" i="14"/>
  <c r="F15" i="14"/>
  <c r="D17" i="14"/>
  <c r="F17" i="14"/>
  <c r="D18" i="14"/>
  <c r="E18" i="14"/>
  <c r="F18" i="14"/>
  <c r="F22" i="1"/>
  <c r="E28" i="2"/>
  <c r="D27" i="2"/>
  <c r="D26" i="2"/>
  <c r="D25" i="2"/>
  <c r="D24" i="2"/>
  <c r="D23" i="2"/>
  <c r="D22" i="2"/>
  <c r="F22" i="2"/>
  <c r="D21" i="2"/>
  <c r="D20" i="2"/>
  <c r="F20" i="2"/>
  <c r="D19" i="2"/>
  <c r="D18" i="2"/>
  <c r="D17" i="2"/>
  <c r="D16" i="2"/>
  <c r="F15" i="2"/>
  <c r="D14" i="2"/>
  <c r="D13" i="2"/>
  <c r="F11" i="2"/>
  <c r="D10" i="2"/>
  <c r="D9" i="2"/>
  <c r="D6" i="2"/>
  <c r="D5" i="2"/>
  <c r="E28" i="1"/>
  <c r="F15" i="1"/>
  <c r="F20" i="1"/>
  <c r="D27" i="1"/>
  <c r="F26" i="1"/>
  <c r="D26" i="1"/>
  <c r="D25" i="1"/>
  <c r="D24" i="1"/>
  <c r="F24" i="1"/>
  <c r="D23" i="1"/>
  <c r="D22" i="1"/>
  <c r="D21" i="1"/>
  <c r="D20" i="1"/>
  <c r="D28" i="1"/>
  <c r="D19" i="1"/>
  <c r="D18" i="1"/>
  <c r="D17" i="1"/>
  <c r="D16" i="1"/>
  <c r="D14" i="1"/>
  <c r="D13" i="1"/>
  <c r="F11" i="1"/>
  <c r="D10" i="1"/>
  <c r="D9" i="1"/>
  <c r="D6" i="1"/>
  <c r="D5" i="1"/>
  <c r="F26" i="2"/>
  <c r="F24" i="2"/>
  <c r="F18" i="2"/>
  <c r="D28" i="2"/>
  <c r="F7" i="2"/>
  <c r="F28" i="1"/>
  <c r="F3" i="2"/>
  <c r="F18" i="1"/>
  <c r="F7" i="1"/>
  <c r="F3" i="1"/>
  <c r="F28" i="2"/>
  <c r="F16" i="5"/>
  <c r="F18" i="5"/>
  <c r="D18" i="5"/>
</calcChain>
</file>

<file path=xl/sharedStrings.xml><?xml version="1.0" encoding="utf-8"?>
<sst xmlns="http://schemas.openxmlformats.org/spreadsheetml/2006/main" count="456" uniqueCount="138">
  <si>
    <t>教練姓名</t>
  </si>
  <si>
    <t>費用</t>
  </si>
  <si>
    <t>薪資</t>
  </si>
  <si>
    <t>比賽         津貼</t>
  </si>
  <si>
    <t>總計</t>
  </si>
  <si>
    <t>備註</t>
  </si>
  <si>
    <t>帳戶號碼</t>
  </si>
  <si>
    <t>許晉得</t>
  </si>
  <si>
    <t>高銀203210261883</t>
  </si>
  <si>
    <t>勞健保補貼</t>
  </si>
  <si>
    <t>邱鴻祥</t>
  </si>
  <si>
    <t>高銀200210572669</t>
  </si>
  <si>
    <t>羅婉玲</t>
  </si>
  <si>
    <t>中信銀509540270574</t>
  </si>
  <si>
    <t>天數/     時數/h</t>
    <phoneticPr fontId="3" type="noConversion"/>
  </si>
  <si>
    <t>劉威廷</t>
    <phoneticPr fontId="3" type="noConversion"/>
  </si>
  <si>
    <t>勞健保補貼</t>
    <phoneticPr fontId="3" type="noConversion"/>
  </si>
  <si>
    <t>林彥廷</t>
    <phoneticPr fontId="3" type="noConversion"/>
  </si>
  <si>
    <t>葉門鐶</t>
    <phoneticPr fontId="3" type="noConversion"/>
  </si>
  <si>
    <t>林均庭</t>
    <phoneticPr fontId="3" type="noConversion"/>
  </si>
  <si>
    <t>黃亭瑄</t>
    <phoneticPr fontId="3" type="noConversion"/>
  </si>
  <si>
    <t>黃亭凱</t>
    <phoneticPr fontId="3" type="noConversion"/>
  </si>
  <si>
    <t>合計</t>
    <phoneticPr fontId="3" type="noConversion"/>
  </si>
  <si>
    <t>郵局00414610330353</t>
    <phoneticPr fontId="3" type="noConversion"/>
  </si>
  <si>
    <t>中信銀613890037719</t>
    <phoneticPr fontId="3" type="noConversion"/>
  </si>
  <si>
    <t>國泰銀699513322791</t>
    <phoneticPr fontId="3" type="noConversion"/>
  </si>
  <si>
    <t>國泰銀277506327425</t>
    <phoneticPr fontId="3" type="noConversion"/>
  </si>
  <si>
    <t>中信銀565540600612</t>
    <phoneticPr fontId="3" type="noConversion"/>
  </si>
  <si>
    <t>郵局00414610356879</t>
    <phoneticPr fontId="3" type="noConversion"/>
  </si>
  <si>
    <t>趙嘉甫</t>
    <phoneticPr fontId="3" type="noConversion"/>
  </si>
  <si>
    <t>陳勝凱</t>
    <phoneticPr fontId="3" type="noConversion"/>
  </si>
  <si>
    <t>2月10~11日媽祖盃
1500*2=3000</t>
    <phoneticPr fontId="3" type="noConversion"/>
  </si>
  <si>
    <t>郵局00414130450458</t>
    <phoneticPr fontId="3" type="noConversion"/>
  </si>
  <si>
    <t>郵局01014500969034</t>
    <phoneticPr fontId="3" type="noConversion"/>
  </si>
  <si>
    <t>115年2月份教練薪資表+寒訓(2/2~2/13)</t>
    <phoneticPr fontId="3" type="noConversion"/>
  </si>
  <si>
    <t xml:space="preserve">月薪
(2/2~2/13;2/23~2/28)
</t>
    <phoneticPr fontId="3" type="noConversion"/>
  </si>
  <si>
    <t>月薪(2/2~2/13;2/23~2/28)</t>
    <phoneticPr fontId="3" type="noConversion"/>
  </si>
  <si>
    <t>月薪(2/2~2/13)</t>
    <phoneticPr fontId="3" type="noConversion"/>
  </si>
  <si>
    <t xml:space="preserve">月薪
(1/1~1/23;1/24~1/31)
</t>
    <phoneticPr fontId="3" type="noConversion"/>
  </si>
  <si>
    <t>月薪(1/1~1/23;1/24~1/31)</t>
    <phoneticPr fontId="3" type="noConversion"/>
  </si>
  <si>
    <t>月薪(1/1~1/23)</t>
    <phoneticPr fontId="3" type="noConversion"/>
  </si>
  <si>
    <t>115年1月份教練薪資表+寒訓(1/24~1/31)</t>
    <phoneticPr fontId="3" type="noConversion"/>
  </si>
  <si>
    <t xml:space="preserve">春節月薪
37000≒28*9=11893
2月月薪
37000≒28*15=19821
</t>
    <phoneticPr fontId="3" type="noConversion"/>
  </si>
  <si>
    <t xml:space="preserve">春節月薪
32000≒28*9=10286
2月月薪
32000≒28*15=17143
</t>
    <phoneticPr fontId="3" type="noConversion"/>
  </si>
  <si>
    <t>春節月薪
31000≒28*9=9964
2月月薪
31000≒28*15=16607</t>
    <phoneticPr fontId="3" type="noConversion"/>
  </si>
  <si>
    <t>合計</t>
  </si>
  <si>
    <t>國泰699513322791</t>
    <phoneticPr fontId="20" type="noConversion"/>
  </si>
  <si>
    <t>林彥廷</t>
    <phoneticPr fontId="24" type="noConversion"/>
  </si>
  <si>
    <t>郵局01014500969034</t>
    <phoneticPr fontId="20" type="noConversion"/>
  </si>
  <si>
    <t>趙嘉甫</t>
    <phoneticPr fontId="20" type="noConversion"/>
  </si>
  <si>
    <r>
      <rPr>
        <sz val="16"/>
        <color rgb="FF000000"/>
        <rFont val="Microsoft JhengHei UI"/>
        <family val="4"/>
        <charset val="136"/>
      </rPr>
      <t>一</t>
    </r>
    <r>
      <rPr>
        <sz val="16"/>
        <color rgb="FF000000"/>
        <rFont val="Microsoft JhengHei"/>
        <family val="4"/>
      </rPr>
      <t>銀</t>
    </r>
    <r>
      <rPr>
        <sz val="16"/>
        <color rgb="FF000000"/>
        <rFont val="Calibri"/>
        <family val="4"/>
      </rPr>
      <t>46268193063</t>
    </r>
    <phoneticPr fontId="20" type="noConversion"/>
  </si>
  <si>
    <t>陳昱丞</t>
    <phoneticPr fontId="24" type="noConversion"/>
  </si>
  <si>
    <t>勞健保補貼</t>
    <phoneticPr fontId="24" type="noConversion"/>
  </si>
  <si>
    <t>中信銀509540270574</t>
    <phoneticPr fontId="24" type="noConversion"/>
  </si>
  <si>
    <t>月薪</t>
    <phoneticPr fontId="24" type="noConversion"/>
  </si>
  <si>
    <t>羅婉玲</t>
    <phoneticPr fontId="29" type="noConversion"/>
  </si>
  <si>
    <t>300</t>
    <phoneticPr fontId="20" type="noConversion"/>
  </si>
  <si>
    <t>34</t>
    <phoneticPr fontId="24" type="noConversion"/>
  </si>
  <si>
    <t>高銀200210572669</t>
    <phoneticPr fontId="24" type="noConversion"/>
  </si>
  <si>
    <t>邱鴻祥</t>
    <phoneticPr fontId="29" type="noConversion"/>
  </si>
  <si>
    <t>300</t>
    <phoneticPr fontId="24" type="noConversion"/>
  </si>
  <si>
    <t>36</t>
    <phoneticPr fontId="24" type="noConversion"/>
  </si>
  <si>
    <t>高銀203210261883</t>
    <phoneticPr fontId="24" type="noConversion"/>
  </si>
  <si>
    <t>許晉得</t>
    <phoneticPr fontId="29" type="noConversion"/>
  </si>
  <si>
    <t>帳戶號碼</t>
    <phoneticPr fontId="24" type="noConversion"/>
  </si>
  <si>
    <t>備註</t>
    <phoneticPr fontId="24" type="noConversion"/>
  </si>
  <si>
    <t>比賽         津貼</t>
    <phoneticPr fontId="24" type="noConversion"/>
  </si>
  <si>
    <t>天數/     時數/h</t>
  </si>
  <si>
    <t>教練姓名</t>
    <phoneticPr fontId="24" type="noConversion"/>
  </si>
  <si>
    <t>115年3月份教練薪資表</t>
    <phoneticPr fontId="20" type="noConversion"/>
  </si>
  <si>
    <t>115年4月份教練薪資表</t>
    <phoneticPr fontId="20" type="noConversion"/>
  </si>
  <si>
    <t>115年5月份教練薪資表</t>
    <phoneticPr fontId="20" type="noConversion"/>
  </si>
  <si>
    <t>115年6月份教練薪資表</t>
    <phoneticPr fontId="20" type="noConversion"/>
  </si>
  <si>
    <t>115年9月份教練薪資表</t>
    <phoneticPr fontId="20" type="noConversion"/>
  </si>
  <si>
    <t>115年10月份教練薪資表</t>
    <phoneticPr fontId="20" type="noConversion"/>
  </si>
  <si>
    <t>115年11月份教練薪資表</t>
    <phoneticPr fontId="20" type="noConversion"/>
  </si>
  <si>
    <t>115年12月份教練薪資表</t>
    <phoneticPr fontId="20" type="noConversion"/>
  </si>
  <si>
    <t>114年7月份教練薪資表</t>
    <phoneticPr fontId="20" type="noConversion"/>
  </si>
  <si>
    <t xml:space="preserve">7/29日豪雨假
6*2*400=4800
7/30~7/31日
南區菁英賽超時$1000元
</t>
    <phoneticPr fontId="20" type="noConversion"/>
  </si>
  <si>
    <t>114</t>
    <phoneticPr fontId="24" type="noConversion"/>
  </si>
  <si>
    <t>400</t>
    <phoneticPr fontId="24" type="noConversion"/>
  </si>
  <si>
    <t>7/29日豪雨假
6*2*350=4200元
7/30~7/31日
南區菁英賽超時$1000元</t>
    <phoneticPr fontId="20" type="noConversion"/>
  </si>
  <si>
    <t>132</t>
    <phoneticPr fontId="24" type="noConversion"/>
  </si>
  <si>
    <t>350</t>
    <phoneticPr fontId="20" type="noConversion"/>
  </si>
  <si>
    <t>7/29日豪雨假
6*2*350=4200元</t>
    <phoneticPr fontId="20" type="noConversion"/>
  </si>
  <si>
    <t>7/30~7/31日
南區菁英賽超時$500元</t>
    <phoneticPr fontId="20" type="noConversion"/>
  </si>
  <si>
    <t>7/29日豪雨假
6*2*250=3000元
7/30~7/31日
南區菁英賽超時
$500元</t>
    <phoneticPr fontId="20" type="noConversion"/>
  </si>
  <si>
    <t>劉威廷</t>
    <phoneticPr fontId="20" type="noConversion"/>
  </si>
  <si>
    <t>中信銀613890037719</t>
    <phoneticPr fontId="20" type="noConversion"/>
  </si>
  <si>
    <t>夏以昕</t>
    <phoneticPr fontId="20" type="noConversion"/>
  </si>
  <si>
    <t>中信銀439540479720</t>
    <phoneticPr fontId="20" type="noConversion"/>
  </si>
  <si>
    <t>傅楷欣</t>
    <phoneticPr fontId="20" type="noConversion"/>
  </si>
  <si>
    <t>中信銀613540750896</t>
    <phoneticPr fontId="20" type="noConversion"/>
  </si>
  <si>
    <t>傅傳硯</t>
    <phoneticPr fontId="20" type="noConversion"/>
  </si>
  <si>
    <t>114年8月份教練薪資表</t>
    <phoneticPr fontId="20" type="noConversion"/>
  </si>
  <si>
    <t>95</t>
    <phoneticPr fontId="24" type="noConversion"/>
  </si>
  <si>
    <t>167</t>
    <phoneticPr fontId="24" type="noConversion"/>
  </si>
  <si>
    <t>趙嘉甫</t>
    <phoneticPr fontId="24" type="noConversion"/>
  </si>
  <si>
    <t>夏以昕</t>
    <phoneticPr fontId="24" type="noConversion"/>
  </si>
  <si>
    <t>傅傳硯</t>
    <phoneticPr fontId="24" type="noConversion"/>
  </si>
  <si>
    <t>傅楷欣</t>
    <phoneticPr fontId="24" type="noConversion"/>
  </si>
  <si>
    <t>劉威廷</t>
    <phoneticPr fontId="29" type="noConversion"/>
  </si>
  <si>
    <r>
      <rPr>
        <sz val="18"/>
        <color rgb="FF000000"/>
        <rFont val="Microsoft JhengHei UI"/>
        <family val="4"/>
        <charset val="136"/>
      </rPr>
      <t>一</t>
    </r>
    <r>
      <rPr>
        <sz val="18"/>
        <color rgb="FF000000"/>
        <rFont val="Microsoft JhengHei"/>
        <family val="4"/>
      </rPr>
      <t>銀</t>
    </r>
    <r>
      <rPr>
        <sz val="18"/>
        <color rgb="FF000000"/>
        <rFont val="Calibri"/>
        <family val="4"/>
      </rPr>
      <t>46268193063</t>
    </r>
    <phoneticPr fontId="20" type="noConversion"/>
  </si>
  <si>
    <t>中信銀613540750854</t>
    <phoneticPr fontId="20" type="noConversion"/>
  </si>
  <si>
    <t>國泰銀699513322791</t>
    <phoneticPr fontId="20" type="noConversion"/>
  </si>
  <si>
    <t xml:space="preserve">月薪
</t>
    <phoneticPr fontId="24" type="noConversion"/>
  </si>
  <si>
    <t xml:space="preserve">  ╱</t>
    <phoneticPr fontId="20" type="noConversion"/>
  </si>
  <si>
    <t>╱</t>
    <phoneticPr fontId="3" type="noConversion"/>
  </si>
  <si>
    <t>36</t>
    <phoneticPr fontId="3" type="noConversion"/>
  </si>
  <si>
    <t>38</t>
    <phoneticPr fontId="3" type="noConversion"/>
  </si>
  <si>
    <t>葉門鐶</t>
    <phoneticPr fontId="24" type="noConversion"/>
  </si>
  <si>
    <t>林均庭</t>
    <phoneticPr fontId="24" type="noConversion"/>
  </si>
  <si>
    <t>第ㄧ銀46268193063</t>
    <phoneticPr fontId="20" type="noConversion"/>
  </si>
  <si>
    <t>22</t>
    <phoneticPr fontId="24" type="noConversion"/>
  </si>
  <si>
    <t>13</t>
    <phoneticPr fontId="24" type="noConversion"/>
  </si>
  <si>
    <t xml:space="preserve">4/6日清明連假加練
$400*3=1200元 
</t>
    <phoneticPr fontId="3" type="noConversion"/>
  </si>
  <si>
    <t>4/6日清明連假加練
$300*3=900元 
4/24~25日小運會
$1500*2天=3000元</t>
    <phoneticPr fontId="3" type="noConversion"/>
  </si>
  <si>
    <t>陳昱丞</t>
    <phoneticPr fontId="3" type="noConversion"/>
  </si>
  <si>
    <t xml:space="preserve">4/6日清明連假加練
$300*3=900元 
</t>
    <phoneticPr fontId="3" type="noConversion"/>
  </si>
  <si>
    <t>一銀46268193063</t>
    <phoneticPr fontId="20" type="noConversion"/>
  </si>
  <si>
    <t>4/6日清明連假加練
$300*4=1200元 
4/24~25日小運會
$1500*2天=3000元
4/30日自由盃體賽
1500元</t>
    <phoneticPr fontId="3" type="noConversion"/>
  </si>
  <si>
    <t>4/6日清明連假加練
$300*3=900元 
4/25日小運會
1500元</t>
    <phoneticPr fontId="3" type="noConversion"/>
  </si>
  <si>
    <t>5/1~3日自由盃團體賽$1500*3=4500元</t>
    <phoneticPr fontId="3" type="noConversion"/>
  </si>
  <si>
    <t>32</t>
    <phoneticPr fontId="24" type="noConversion"/>
  </si>
  <si>
    <t xml:space="preserve">5/1~3日自由盃團體賽$1500*3=4500元
</t>
    <phoneticPr fontId="3" type="noConversion"/>
  </si>
  <si>
    <t>5/2~3日自由盃團體賽$1500*2=3000元
5/3日加時2.5h
$400*2.5=1000元</t>
    <phoneticPr fontId="3" type="noConversion"/>
  </si>
  <si>
    <r>
      <rPr>
        <sz val="14"/>
        <color rgb="FF000000"/>
        <rFont val="Microsoft JhengHei UI"/>
        <family val="4"/>
        <charset val="136"/>
      </rPr>
      <t>一</t>
    </r>
    <r>
      <rPr>
        <sz val="14"/>
        <color rgb="FF000000"/>
        <rFont val="Microsoft JhengHei"/>
        <family val="4"/>
      </rPr>
      <t>銀</t>
    </r>
    <r>
      <rPr>
        <sz val="14"/>
        <color rgb="FF000000"/>
        <rFont val="Calibri"/>
        <family val="2"/>
      </rPr>
      <t>46268193063</t>
    </r>
    <phoneticPr fontId="20" type="noConversion"/>
  </si>
  <si>
    <t>5/1~3日自由盃團體賽$1500*3=4500元
5/3日加時2.5h
$300*2.5=750元</t>
    <phoneticPr fontId="3" type="noConversion"/>
  </si>
  <si>
    <t>28</t>
    <phoneticPr fontId="24" type="noConversion"/>
  </si>
  <si>
    <t>35</t>
    <phoneticPr fontId="24" type="noConversion"/>
  </si>
  <si>
    <t>高銀016-203210261883</t>
    <phoneticPr fontId="24" type="noConversion"/>
  </si>
  <si>
    <t>高銀016-200210572669</t>
    <phoneticPr fontId="24" type="noConversion"/>
  </si>
  <si>
    <t>中信銀822-509540270574</t>
    <phoneticPr fontId="24" type="noConversion"/>
  </si>
  <si>
    <t>中信銀822-613890037719</t>
    <phoneticPr fontId="3" type="noConversion"/>
  </si>
  <si>
    <t>中信銀822-565540600612</t>
    <phoneticPr fontId="3" type="noConversion"/>
  </si>
  <si>
    <t>國泰銀013-277506327425</t>
    <phoneticPr fontId="3" type="noConversion"/>
  </si>
  <si>
    <t>國泰銀013-699513322791</t>
    <phoneticPr fontId="20" type="noConversion"/>
  </si>
  <si>
    <t>一銀007-46268193063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</si>
</sst>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_);[Red]\(#,##0\)"/>
    <numFmt numFmtId="178" formatCode="#,##0&quot; &quot;;\(#,##0\)"/>
  </numFmts>
  <fonts count="4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8"/>
      <color theme="1"/>
      <name val="新細明體-ExtB"/>
      <family val="1"/>
      <charset val="136"/>
    </font>
    <font>
      <sz val="14"/>
      <color theme="1"/>
      <name val="新細明體-ExtB"/>
      <family val="1"/>
      <charset val="136"/>
    </font>
    <font>
      <b/>
      <sz val="18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6"/>
      <color indexed="8"/>
      <name val="標楷體"/>
      <family val="4"/>
      <charset val="136"/>
    </font>
    <font>
      <sz val="18"/>
      <color indexed="8"/>
      <name val="標楷體"/>
      <family val="4"/>
      <charset val="136"/>
    </font>
    <font>
      <sz val="20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indexed="8"/>
      <name val="標楷體"/>
      <family val="4"/>
      <charset val="136"/>
    </font>
    <font>
      <sz val="17"/>
      <color indexed="8"/>
      <name val="標楷體"/>
      <family val="4"/>
      <charset val="136"/>
    </font>
    <font>
      <sz val="18"/>
      <name val="標楷體"/>
      <family val="4"/>
      <charset val="136"/>
    </font>
    <font>
      <sz val="9"/>
      <name val="Helvetica Neue"/>
      <family val="1"/>
      <charset val="136"/>
    </font>
    <font>
      <sz val="16"/>
      <color rgb="FF000000"/>
      <name val="標楷體"/>
      <family val="4"/>
      <charset val="136"/>
    </font>
    <font>
      <sz val="16"/>
      <color rgb="FF000000"/>
      <name val="Microsoft JhengHei UI"/>
      <family val="4"/>
      <charset val="136"/>
    </font>
    <font>
      <sz val="16"/>
      <color rgb="FF000000"/>
      <name val="Microsoft JhengHei"/>
      <family val="4"/>
    </font>
    <font>
      <sz val="16"/>
      <color rgb="FF000000"/>
      <name val="Calibri"/>
      <family val="4"/>
    </font>
    <font>
      <sz val="9"/>
      <name val="細明體"/>
      <family val="3"/>
      <charset val="136"/>
    </font>
    <font>
      <b/>
      <sz val="20"/>
      <color rgb="FF000000"/>
      <name val="標楷體"/>
      <family val="4"/>
      <charset val="136"/>
    </font>
    <font>
      <b/>
      <sz val="26"/>
      <color rgb="FF000000"/>
      <name val="標楷體"/>
      <family val="4"/>
      <charset val="136"/>
    </font>
    <font>
      <b/>
      <sz val="20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b/>
      <sz val="16"/>
      <color indexed="8"/>
      <name val="標楷體"/>
      <family val="4"/>
      <charset val="136"/>
    </font>
    <font>
      <sz val="22"/>
      <color indexed="8"/>
      <name val="標楷體"/>
      <family val="4"/>
      <charset val="136"/>
    </font>
    <font>
      <sz val="20"/>
      <name val="標楷體"/>
      <family val="4"/>
      <charset val="136"/>
    </font>
    <font>
      <sz val="10"/>
      <color indexed="8"/>
      <name val="標楷體"/>
      <family val="4"/>
      <charset val="136"/>
    </font>
    <font>
      <sz val="18"/>
      <color rgb="FF000000"/>
      <name val="標楷體"/>
      <family val="4"/>
      <charset val="136"/>
    </font>
    <font>
      <sz val="18"/>
      <color rgb="FF000000"/>
      <name val="Microsoft JhengHei UI"/>
      <family val="4"/>
      <charset val="136"/>
    </font>
    <font>
      <sz val="18"/>
      <color rgb="FF000000"/>
      <name val="Microsoft JhengHei"/>
      <family val="4"/>
    </font>
    <font>
      <sz val="18"/>
      <color rgb="FF000000"/>
      <name val="Calibri"/>
      <family val="4"/>
    </font>
    <font>
      <sz val="14"/>
      <color rgb="FF000000"/>
      <name val="標楷體"/>
      <family val="4"/>
      <charset val="136"/>
    </font>
    <font>
      <sz val="14"/>
      <color rgb="FF000000"/>
      <name val="Microsoft JhengHei UI"/>
      <family val="4"/>
      <charset val="136"/>
    </font>
    <font>
      <sz val="14"/>
      <color rgb="FF000000"/>
      <name val="Microsoft JhengHei"/>
      <family val="4"/>
    </font>
    <font>
      <sz val="14"/>
      <color rgb="FF000000"/>
      <name val="Calibri"/>
      <family val="2"/>
    </font>
    <font>
      <sz val="11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63">
    <xf numFmtId="0" fontId="0" fillId="0" borderId="0" xfId="0"/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9" xfId="0" applyBorder="1"/>
    <xf numFmtId="0" fontId="6" fillId="0" borderId="21" xfId="0" applyFont="1" applyBorder="1"/>
    <xf numFmtId="0" fontId="0" fillId="0" borderId="22" xfId="0" applyBorder="1"/>
    <xf numFmtId="0" fontId="11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10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3" fontId="6" fillId="0" borderId="21" xfId="0" applyNumberFormat="1" applyFont="1" applyBorder="1" applyAlignment="1">
      <alignment horizontal="center" vertical="center"/>
    </xf>
    <xf numFmtId="0" fontId="2" fillId="0" borderId="0" xfId="1">
      <alignment vertical="center"/>
    </xf>
    <xf numFmtId="0" fontId="15" fillId="0" borderId="28" xfId="1" applyFont="1" applyBorder="1" applyAlignment="1">
      <alignment horizontal="center" vertical="center" wrapText="1" shrinkToFit="1"/>
    </xf>
    <xf numFmtId="0" fontId="16" fillId="0" borderId="21" xfId="1" applyFont="1" applyBorder="1" applyAlignment="1">
      <alignment horizontal="left" vertical="center" wrapText="1" shrinkToFit="1"/>
    </xf>
    <xf numFmtId="177" fontId="17" fillId="0" borderId="21" xfId="1" applyNumberFormat="1" applyFont="1" applyBorder="1" applyAlignment="1">
      <alignment horizontal="right" vertical="center" wrapText="1" shrinkToFit="1"/>
    </xf>
    <xf numFmtId="0" fontId="18" fillId="0" borderId="21" xfId="1" applyFont="1" applyBorder="1" applyAlignment="1">
      <alignment horizontal="center" vertical="center" wrapText="1" shrinkToFit="1"/>
    </xf>
    <xf numFmtId="49" fontId="19" fillId="0" borderId="29" xfId="1" applyNumberFormat="1" applyFont="1" applyBorder="1" applyAlignment="1">
      <alignment horizontal="center" vertical="center" wrapText="1" shrinkToFit="1"/>
    </xf>
    <xf numFmtId="0" fontId="17" fillId="0" borderId="16" xfId="1" applyFont="1" applyBorder="1" applyAlignment="1">
      <alignment horizontal="center" vertical="center" shrinkToFit="1"/>
    </xf>
    <xf numFmtId="0" fontId="21" fillId="0" borderId="7" xfId="1" applyFont="1" applyBorder="1" applyAlignment="1">
      <alignment horizontal="center" vertical="center" wrapText="1" shrinkToFit="1"/>
    </xf>
    <xf numFmtId="177" fontId="22" fillId="0" borderId="7" xfId="1" applyNumberFormat="1" applyFont="1" applyBorder="1" applyAlignment="1">
      <alignment horizontal="center" vertical="center" wrapText="1" shrinkToFit="1"/>
    </xf>
    <xf numFmtId="177" fontId="23" fillId="0" borderId="4" xfId="1" applyNumberFormat="1" applyFont="1" applyBorder="1" applyAlignment="1">
      <alignment horizontal="right" vertical="center" wrapText="1" shrinkToFit="1"/>
    </xf>
    <xf numFmtId="178" fontId="23" fillId="0" borderId="4" xfId="1" applyNumberFormat="1" applyFont="1" applyBorder="1" applyAlignment="1">
      <alignment horizontal="center" vertical="center" wrapText="1" shrinkToFit="1"/>
    </xf>
    <xf numFmtId="0" fontId="23" fillId="0" borderId="7" xfId="1" applyFont="1" applyBorder="1" applyAlignment="1">
      <alignment horizontal="center" vertical="center" wrapText="1" shrinkToFit="1"/>
    </xf>
    <xf numFmtId="49" fontId="19" fillId="0" borderId="30" xfId="1" applyNumberFormat="1" applyFont="1" applyBorder="1" applyAlignment="1">
      <alignment horizontal="center" vertical="center" shrinkToFit="1"/>
    </xf>
    <xf numFmtId="0" fontId="25" fillId="0" borderId="16" xfId="1" applyFont="1" applyBorder="1" applyAlignment="1">
      <alignment horizontal="center" vertical="center" shrinkToFit="1"/>
    </xf>
    <xf numFmtId="0" fontId="23" fillId="0" borderId="4" xfId="1" applyFont="1" applyBorder="1" applyAlignment="1">
      <alignment horizontal="center" vertical="center" wrapText="1" shrinkToFit="1"/>
    </xf>
    <xf numFmtId="49" fontId="23" fillId="0" borderId="4" xfId="1" applyNumberFormat="1" applyFont="1" applyBorder="1" applyAlignment="1">
      <alignment horizontal="center" vertical="center" wrapText="1" shrinkToFit="1"/>
    </xf>
    <xf numFmtId="49" fontId="23" fillId="0" borderId="15" xfId="1" applyNumberFormat="1" applyFont="1" applyBorder="1" applyAlignment="1">
      <alignment horizontal="center" vertical="center" wrapText="1" shrinkToFit="1"/>
    </xf>
    <xf numFmtId="177" fontId="18" fillId="0" borderId="4" xfId="1" applyNumberFormat="1" applyFont="1" applyBorder="1" applyAlignment="1">
      <alignment horizontal="right" vertical="center" wrapText="1" shrinkToFit="1"/>
    </xf>
    <xf numFmtId="49" fontId="18" fillId="0" borderId="32" xfId="1" applyNumberFormat="1" applyFont="1" applyBorder="1" applyAlignment="1">
      <alignment horizontal="center" vertical="center" shrinkToFit="1"/>
    </xf>
    <xf numFmtId="49" fontId="18" fillId="0" borderId="4" xfId="1" applyNumberFormat="1" applyFont="1" applyBorder="1" applyAlignment="1">
      <alignment horizontal="center" vertical="center" wrapText="1" shrinkToFit="1"/>
    </xf>
    <xf numFmtId="49" fontId="17" fillId="0" borderId="4" xfId="1" applyNumberFormat="1" applyFont="1" applyBorder="1" applyAlignment="1">
      <alignment horizontal="center" vertical="center" wrapText="1" shrinkToFit="1"/>
    </xf>
    <xf numFmtId="49" fontId="15" fillId="0" borderId="4" xfId="1" applyNumberFormat="1" applyFont="1" applyBorder="1" applyAlignment="1">
      <alignment horizontal="center" vertical="center" wrapText="1" shrinkToFit="1"/>
    </xf>
    <xf numFmtId="49" fontId="17" fillId="0" borderId="33" xfId="1" applyNumberFormat="1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1" fillId="0" borderId="0" xfId="2">
      <alignment vertical="center"/>
    </xf>
    <xf numFmtId="49" fontId="32" fillId="0" borderId="33" xfId="2" applyNumberFormat="1" applyFont="1" applyBorder="1" applyAlignment="1">
      <alignment horizontal="center" vertical="center" wrapText="1" shrinkToFit="1"/>
    </xf>
    <xf numFmtId="49" fontId="33" fillId="0" borderId="4" xfId="2" applyNumberFormat="1" applyFont="1" applyBorder="1" applyAlignment="1">
      <alignment horizontal="center" vertical="center" wrapText="1" shrinkToFit="1"/>
    </xf>
    <xf numFmtId="49" fontId="34" fillId="0" borderId="4" xfId="2" applyNumberFormat="1" applyFont="1" applyBorder="1" applyAlignment="1">
      <alignment horizontal="center" vertical="center" wrapText="1" shrinkToFit="1"/>
    </xf>
    <xf numFmtId="49" fontId="35" fillId="0" borderId="4" xfId="2" applyNumberFormat="1" applyFont="1" applyBorder="1" applyAlignment="1">
      <alignment horizontal="center" vertical="center" wrapText="1" shrinkToFit="1"/>
    </xf>
    <xf numFmtId="49" fontId="34" fillId="0" borderId="32" xfId="2" applyNumberFormat="1" applyFont="1" applyBorder="1" applyAlignment="1">
      <alignment horizontal="center" vertical="center" shrinkToFit="1"/>
    </xf>
    <xf numFmtId="49" fontId="32" fillId="0" borderId="30" xfId="2" applyNumberFormat="1" applyFont="1" applyBorder="1" applyAlignment="1">
      <alignment horizontal="center" vertical="center" shrinkToFit="1"/>
    </xf>
    <xf numFmtId="177" fontId="36" fillId="0" borderId="4" xfId="2" applyNumberFormat="1" applyFont="1" applyBorder="1" applyAlignment="1">
      <alignment horizontal="center" vertical="center" wrapText="1" shrinkToFit="1"/>
    </xf>
    <xf numFmtId="177" fontId="22" fillId="0" borderId="7" xfId="2" applyNumberFormat="1" applyFont="1" applyBorder="1" applyAlignment="1">
      <alignment horizontal="center" vertical="center" wrapText="1" shrinkToFit="1"/>
    </xf>
    <xf numFmtId="177" fontId="19" fillId="0" borderId="7" xfId="2" applyNumberFormat="1" applyFont="1" applyBorder="1" applyAlignment="1">
      <alignment horizontal="center" vertical="center" wrapText="1" shrinkToFit="1"/>
    </xf>
    <xf numFmtId="177" fontId="19" fillId="0" borderId="4" xfId="2" applyNumberFormat="1" applyFont="1" applyBorder="1" applyAlignment="1">
      <alignment horizontal="center" vertical="center" wrapText="1" shrinkToFit="1"/>
    </xf>
    <xf numFmtId="49" fontId="37" fillId="0" borderId="15" xfId="2" applyNumberFormat="1" applyFont="1" applyBorder="1" applyAlignment="1">
      <alignment horizontal="center" vertical="center" wrapText="1" shrinkToFit="1"/>
    </xf>
    <xf numFmtId="49" fontId="37" fillId="0" borderId="4" xfId="2" applyNumberFormat="1" applyFont="1" applyBorder="1" applyAlignment="1">
      <alignment horizontal="center" vertical="center" wrapText="1" shrinkToFit="1"/>
    </xf>
    <xf numFmtId="177" fontId="37" fillId="0" borderId="4" xfId="2" applyNumberFormat="1" applyFont="1" applyBorder="1" applyAlignment="1">
      <alignment horizontal="center" vertical="center" wrapText="1" shrinkToFit="1"/>
    </xf>
    <xf numFmtId="0" fontId="21" fillId="0" borderId="7" xfId="2" applyFont="1" applyBorder="1" applyAlignment="1">
      <alignment horizontal="center" vertical="center" wrapText="1" shrinkToFit="1"/>
    </xf>
    <xf numFmtId="0" fontId="37" fillId="0" borderId="4" xfId="2" applyFont="1" applyBorder="1" applyAlignment="1">
      <alignment horizontal="center" vertical="center" wrapText="1" shrinkToFit="1"/>
    </xf>
    <xf numFmtId="178" fontId="37" fillId="0" borderId="4" xfId="2" applyNumberFormat="1" applyFont="1" applyBorder="1" applyAlignment="1">
      <alignment horizontal="center" vertical="center" wrapText="1" shrinkToFit="1"/>
    </xf>
    <xf numFmtId="0" fontId="17" fillId="0" borderId="16" xfId="2" applyFont="1" applyBorder="1" applyAlignment="1">
      <alignment horizontal="center" vertical="center" shrinkToFit="1"/>
    </xf>
    <xf numFmtId="0" fontId="38" fillId="0" borderId="4" xfId="2" applyFont="1" applyBorder="1" applyAlignment="1">
      <alignment horizontal="center" vertical="center" wrapText="1" shrinkToFit="1"/>
    </xf>
    <xf numFmtId="0" fontId="25" fillId="0" borderId="7" xfId="2" applyFont="1" applyBorder="1" applyAlignment="1">
      <alignment horizontal="center" vertical="center" shrinkToFit="1"/>
    </xf>
    <xf numFmtId="0" fontId="37" fillId="0" borderId="7" xfId="2" applyFont="1" applyBorder="1" applyAlignment="1">
      <alignment horizontal="center" vertical="center" wrapText="1" shrinkToFit="1"/>
    </xf>
    <xf numFmtId="0" fontId="15" fillId="0" borderId="12" xfId="2" applyFont="1" applyBorder="1" applyAlignment="1">
      <alignment vertical="center" wrapText="1" shrinkToFit="1"/>
    </xf>
    <xf numFmtId="0" fontId="25" fillId="0" borderId="4" xfId="2" applyFont="1" applyBorder="1" applyAlignment="1">
      <alignment horizontal="center" vertical="center" shrinkToFit="1"/>
    </xf>
    <xf numFmtId="0" fontId="38" fillId="0" borderId="7" xfId="2" applyFont="1" applyBorder="1" applyAlignment="1">
      <alignment horizontal="center" vertical="center" wrapText="1" shrinkToFit="1"/>
    </xf>
    <xf numFmtId="178" fontId="37" fillId="0" borderId="7" xfId="2" applyNumberFormat="1" applyFont="1" applyBorder="1" applyAlignment="1">
      <alignment horizontal="center" vertical="center" wrapText="1" shrinkToFit="1"/>
    </xf>
    <xf numFmtId="177" fontId="37" fillId="0" borderId="7" xfId="2" applyNumberFormat="1" applyFont="1" applyBorder="1" applyAlignment="1">
      <alignment horizontal="center" vertical="center" wrapText="1" shrinkToFit="1"/>
    </xf>
    <xf numFmtId="0" fontId="21" fillId="0" borderId="4" xfId="2" applyFont="1" applyBorder="1" applyAlignment="1">
      <alignment horizontal="center" vertical="center" wrapText="1" shrinkToFit="1"/>
    </xf>
    <xf numFmtId="0" fontId="15" fillId="0" borderId="8" xfId="2" applyFont="1" applyBorder="1" applyAlignment="1">
      <alignment vertical="center" wrapText="1" shrinkToFit="1"/>
    </xf>
    <xf numFmtId="49" fontId="32" fillId="0" borderId="29" xfId="2" applyNumberFormat="1" applyFont="1" applyBorder="1" applyAlignment="1">
      <alignment horizontal="center" vertical="center" wrapText="1" shrinkToFit="1"/>
    </xf>
    <xf numFmtId="0" fontId="18" fillId="0" borderId="21" xfId="2" applyFont="1" applyBorder="1" applyAlignment="1">
      <alignment horizontal="center" vertical="center" wrapText="1" shrinkToFit="1"/>
    </xf>
    <xf numFmtId="177" fontId="19" fillId="0" borderId="21" xfId="2" applyNumberFormat="1" applyFont="1" applyBorder="1" applyAlignment="1">
      <alignment horizontal="center" vertical="center" wrapText="1" shrinkToFit="1"/>
    </xf>
    <xf numFmtId="177" fontId="17" fillId="0" borderId="21" xfId="2" applyNumberFormat="1" applyFont="1" applyBorder="1" applyAlignment="1">
      <alignment horizontal="right" vertical="center" wrapText="1" shrinkToFit="1"/>
    </xf>
    <xf numFmtId="177" fontId="19" fillId="0" borderId="21" xfId="2" applyNumberFormat="1" applyFont="1" applyBorder="1" applyAlignment="1">
      <alignment horizontal="right" vertical="center" wrapText="1" shrinkToFit="1"/>
    </xf>
    <xf numFmtId="0" fontId="16" fillId="0" borderId="21" xfId="2" applyFont="1" applyBorder="1" applyAlignment="1">
      <alignment horizontal="left" vertical="center" wrapText="1" shrinkToFit="1"/>
    </xf>
    <xf numFmtId="0" fontId="15" fillId="0" borderId="28" xfId="2" applyFont="1" applyBorder="1" applyAlignment="1">
      <alignment horizontal="center" vertical="center" wrapText="1" shrinkToFit="1"/>
    </xf>
    <xf numFmtId="0" fontId="15" fillId="0" borderId="7" xfId="2" applyFont="1" applyBorder="1" applyAlignment="1">
      <alignment horizontal="center" vertical="center" wrapText="1" shrinkToFit="1"/>
    </xf>
    <xf numFmtId="177" fontId="19" fillId="0" borderId="4" xfId="2" applyNumberFormat="1" applyFont="1" applyBorder="1" applyAlignment="1">
      <alignment horizontal="right" vertical="center" wrapText="1" shrinkToFit="1"/>
    </xf>
    <xf numFmtId="0" fontId="18" fillId="0" borderId="16" xfId="2" applyFont="1" applyBorder="1" applyAlignment="1">
      <alignment horizontal="center" vertical="center" shrinkToFit="1"/>
    </xf>
    <xf numFmtId="0" fontId="39" fillId="0" borderId="16" xfId="2" applyFont="1" applyBorder="1" applyAlignment="1">
      <alignment horizontal="center" vertical="center" shrinkToFit="1"/>
    </xf>
    <xf numFmtId="0" fontId="18" fillId="0" borderId="28" xfId="2" applyFont="1" applyBorder="1" applyAlignment="1">
      <alignment horizontal="center" vertical="center" wrapText="1" shrinkToFit="1"/>
    </xf>
    <xf numFmtId="0" fontId="23" fillId="0" borderId="4" xfId="2" applyFont="1" applyBorder="1" applyAlignment="1">
      <alignment horizontal="center" vertical="center" wrapText="1" shrinkToFit="1"/>
    </xf>
    <xf numFmtId="0" fontId="23" fillId="0" borderId="7" xfId="2" applyFont="1" applyBorder="1" applyAlignment="1">
      <alignment horizontal="center" vertical="center" wrapText="1" shrinkToFit="1"/>
    </xf>
    <xf numFmtId="0" fontId="39" fillId="0" borderId="15" xfId="2" applyFont="1" applyBorder="1" applyAlignment="1">
      <alignment horizontal="center" vertical="center" shrinkToFit="1"/>
    </xf>
    <xf numFmtId="0" fontId="1" fillId="0" borderId="19" xfId="2" applyBorder="1">
      <alignment vertical="center"/>
    </xf>
    <xf numFmtId="0" fontId="4" fillId="0" borderId="28" xfId="0" applyFont="1" applyBorder="1" applyAlignment="1">
      <alignment vertical="center"/>
    </xf>
    <xf numFmtId="0" fontId="43" fillId="0" borderId="16" xfId="1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77" fontId="17" fillId="0" borderId="21" xfId="1" applyNumberFormat="1" applyFont="1" applyBorder="1" applyAlignment="1">
      <alignment horizontal="center" vertical="center" wrapText="1" shrinkToFit="1"/>
    </xf>
    <xf numFmtId="0" fontId="15" fillId="0" borderId="16" xfId="1" applyFont="1" applyBorder="1" applyAlignment="1">
      <alignment horizontal="center" vertical="center" shrinkToFit="1"/>
    </xf>
    <xf numFmtId="0" fontId="21" fillId="0" borderId="7" xfId="1" applyFont="1" applyBorder="1" applyAlignment="1">
      <alignment horizontal="center" vertical="top" wrapText="1" shrinkToFit="1"/>
    </xf>
    <xf numFmtId="49" fontId="18" fillId="0" borderId="36" xfId="1" applyNumberFormat="1" applyFont="1" applyBorder="1" applyAlignment="1">
      <alignment horizontal="center" vertical="center" wrapText="1" shrinkToFit="1"/>
    </xf>
    <xf numFmtId="177" fontId="18" fillId="0" borderId="4" xfId="1" applyNumberFormat="1" applyFont="1" applyBorder="1" applyAlignment="1">
      <alignment horizontal="center" vertical="center" wrapText="1" shrinkToFit="1"/>
    </xf>
    <xf numFmtId="177" fontId="23" fillId="0" borderId="4" xfId="1" applyNumberFormat="1" applyFont="1" applyBorder="1" applyAlignment="1">
      <alignment horizontal="center" vertical="center" wrapText="1" shrinkToFit="1"/>
    </xf>
    <xf numFmtId="0" fontId="15" fillId="0" borderId="17" xfId="1" applyFont="1" applyBorder="1" applyAlignment="1">
      <alignment horizontal="center" vertical="center" shrinkToFit="1"/>
    </xf>
    <xf numFmtId="49" fontId="19" fillId="0" borderId="31" xfId="1" applyNumberFormat="1" applyFont="1" applyBorder="1" applyAlignment="1">
      <alignment horizontal="center" vertical="center" shrinkToFit="1"/>
    </xf>
    <xf numFmtId="177" fontId="22" fillId="0" borderId="8" xfId="1" applyNumberFormat="1" applyFont="1" applyBorder="1" applyAlignment="1">
      <alignment horizontal="center" vertical="center" wrapText="1" shrinkToFit="1"/>
    </xf>
    <xf numFmtId="0" fontId="15" fillId="0" borderId="8" xfId="1" applyFont="1" applyBorder="1" applyAlignment="1">
      <alignment horizontal="center" vertical="center" wrapText="1" shrinkToFit="1"/>
    </xf>
    <xf numFmtId="177" fontId="22" fillId="0" borderId="4" xfId="1" applyNumberFormat="1" applyFont="1" applyBorder="1" applyAlignment="1">
      <alignment horizontal="center" vertical="center" wrapText="1" shrinkToFit="1"/>
    </xf>
    <xf numFmtId="0" fontId="47" fillId="0" borderId="0" xfId="0" applyFont="1"/>
    <xf numFmtId="0" fontId="23" fillId="0" borderId="12" xfId="1" applyFont="1" applyBorder="1" applyAlignment="1">
      <alignment horizontal="center" vertical="center" wrapText="1" shrinkToFit="1"/>
    </xf>
    <xf numFmtId="178" fontId="23" fillId="0" borderId="12" xfId="1" applyNumberFormat="1" applyFont="1" applyBorder="1" applyAlignment="1">
      <alignment horizontal="center" vertical="center" wrapText="1" shrinkToFit="1"/>
    </xf>
    <xf numFmtId="177" fontId="23" fillId="0" borderId="12" xfId="1" applyNumberFormat="1" applyFont="1" applyBorder="1" applyAlignment="1">
      <alignment horizontal="right" vertical="center" wrapText="1" shrinkToFit="1"/>
    </xf>
    <xf numFmtId="0" fontId="15" fillId="0" borderId="4" xfId="1" applyFont="1" applyBorder="1" applyAlignment="1">
      <alignment horizontal="center" vertical="center" wrapText="1" shrinkToFit="1"/>
    </xf>
    <xf numFmtId="49" fontId="17" fillId="0" borderId="37" xfId="1" applyNumberFormat="1" applyFont="1" applyBorder="1" applyAlignment="1">
      <alignment horizontal="center" vertical="center" wrapText="1" shrinkToFit="1"/>
    </xf>
    <xf numFmtId="49" fontId="15" fillId="0" borderId="36" xfId="1" applyNumberFormat="1" applyFont="1" applyBorder="1" applyAlignment="1">
      <alignment horizontal="center" vertical="center" wrapText="1" shrinkToFit="1"/>
    </xf>
    <xf numFmtId="49" fontId="17" fillId="0" borderId="36" xfId="1" applyNumberFormat="1" applyFont="1" applyBorder="1" applyAlignment="1">
      <alignment horizontal="center" vertical="center" wrapText="1" shrinkToFit="1"/>
    </xf>
    <xf numFmtId="49" fontId="18" fillId="0" borderId="23" xfId="1" applyNumberFormat="1" applyFont="1" applyBorder="1" applyAlignment="1">
      <alignment horizontal="center" vertical="center" shrinkToFit="1"/>
    </xf>
    <xf numFmtId="49" fontId="19" fillId="0" borderId="33" xfId="1" applyNumberFormat="1" applyFont="1" applyBorder="1" applyAlignment="1">
      <alignment horizontal="center" vertical="center" shrinkToFit="1"/>
    </xf>
    <xf numFmtId="0" fontId="15" fillId="0" borderId="32" xfId="1" applyFont="1" applyBorder="1" applyAlignment="1">
      <alignment horizontal="center" vertical="center" shrinkToFit="1"/>
    </xf>
    <xf numFmtId="0" fontId="47" fillId="0" borderId="0" xfId="0" applyFont="1" applyAlignment="1">
      <alignment horizontal="center"/>
    </xf>
    <xf numFmtId="0" fontId="15" fillId="0" borderId="16" xfId="1" applyFont="1" applyBorder="1" applyAlignment="1">
      <alignment horizontal="center" vertical="center" shrinkToFit="1"/>
    </xf>
    <xf numFmtId="0" fontId="15" fillId="0" borderId="18" xfId="1" applyFont="1" applyBorder="1" applyAlignment="1">
      <alignment horizontal="center" vertical="center" shrinkToFit="1"/>
    </xf>
    <xf numFmtId="49" fontId="19" fillId="0" borderId="30" xfId="1" applyNumberFormat="1" applyFont="1" applyBorder="1" applyAlignment="1">
      <alignment horizontal="center" vertical="center" shrinkToFit="1"/>
    </xf>
    <xf numFmtId="49" fontId="19" fillId="0" borderId="31" xfId="1" applyNumberFormat="1" applyFont="1" applyBorder="1" applyAlignment="1">
      <alignment horizontal="center" vertical="center" shrinkToFit="1"/>
    </xf>
    <xf numFmtId="49" fontId="18" fillId="0" borderId="15" xfId="1" applyNumberFormat="1" applyFont="1" applyBorder="1" applyAlignment="1">
      <alignment horizontal="center" vertical="center" wrapText="1" shrinkToFit="1"/>
    </xf>
    <xf numFmtId="0" fontId="18" fillId="0" borderId="13" xfId="1" applyFont="1" applyBorder="1" applyAlignment="1">
      <alignment vertical="top" wrapText="1" shrinkToFit="1"/>
    </xf>
    <xf numFmtId="177" fontId="22" fillId="0" borderId="7" xfId="1" applyNumberFormat="1" applyFont="1" applyBorder="1" applyAlignment="1">
      <alignment horizontal="center" vertical="center" wrapText="1" shrinkToFit="1"/>
    </xf>
    <xf numFmtId="177" fontId="22" fillId="0" borderId="8" xfId="1" applyNumberFormat="1" applyFont="1" applyBorder="1" applyAlignment="1">
      <alignment horizontal="center" vertical="center" wrapText="1" shrinkToFit="1"/>
    </xf>
    <xf numFmtId="0" fontId="15" fillId="0" borderId="7" xfId="1" applyFont="1" applyBorder="1" applyAlignment="1">
      <alignment horizontal="center" vertical="center" wrapText="1" shrinkToFit="1"/>
    </xf>
    <xf numFmtId="0" fontId="15" fillId="0" borderId="8" xfId="1" applyFont="1" applyBorder="1" applyAlignment="1">
      <alignment horizontal="center" vertical="center" wrapText="1" shrinkToFit="1"/>
    </xf>
    <xf numFmtId="0" fontId="15" fillId="0" borderId="17" xfId="1" applyFont="1" applyBorder="1" applyAlignment="1">
      <alignment horizontal="center" vertical="center" shrinkToFit="1"/>
    </xf>
    <xf numFmtId="49" fontId="18" fillId="0" borderId="15" xfId="1" applyNumberFormat="1" applyFont="1" applyBorder="1" applyAlignment="1">
      <alignment horizontal="center" vertical="center" shrinkToFit="1"/>
    </xf>
    <xf numFmtId="49" fontId="18" fillId="0" borderId="13" xfId="1" applyNumberFormat="1" applyFont="1" applyBorder="1" applyAlignment="1">
      <alignment horizontal="center" vertical="center" shrinkToFit="1"/>
    </xf>
    <xf numFmtId="49" fontId="19" fillId="0" borderId="35" xfId="1" applyNumberFormat="1" applyFont="1" applyBorder="1" applyAlignment="1">
      <alignment horizontal="center" vertical="center" shrinkToFit="1"/>
    </xf>
    <xf numFmtId="177" fontId="22" fillId="0" borderId="12" xfId="1" applyNumberFormat="1" applyFont="1" applyBorder="1" applyAlignment="1">
      <alignment horizontal="center" vertical="center" wrapText="1" shrinkToFit="1"/>
    </xf>
    <xf numFmtId="177" fontId="22" fillId="0" borderId="4" xfId="1" applyNumberFormat="1" applyFont="1" applyBorder="1" applyAlignment="1">
      <alignment horizontal="center" vertical="center" wrapText="1" shrinkToFit="1"/>
    </xf>
    <xf numFmtId="0" fontId="15" fillId="0" borderId="12" xfId="1" applyFont="1" applyBorder="1" applyAlignment="1">
      <alignment horizontal="center" vertical="center" wrapText="1" shrinkToFit="1"/>
    </xf>
    <xf numFmtId="0" fontId="30" fillId="0" borderId="34" xfId="1" applyFont="1" applyBorder="1" applyAlignment="1">
      <alignment horizontal="center" vertical="center"/>
    </xf>
    <xf numFmtId="0" fontId="30" fillId="0" borderId="2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 wrapText="1" shrinkToFit="1"/>
    </xf>
    <xf numFmtId="0" fontId="21" fillId="0" borderId="8" xfId="1" applyFont="1" applyBorder="1" applyAlignment="1">
      <alignment horizontal="center" vertical="center" wrapText="1" shrinkToFit="1"/>
    </xf>
    <xf numFmtId="3" fontId="6" fillId="0" borderId="7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top" wrapText="1"/>
    </xf>
    <xf numFmtId="49" fontId="18" fillId="0" borderId="13" xfId="1" applyNumberFormat="1" applyFont="1" applyBorder="1" applyAlignment="1">
      <alignment horizontal="center" vertical="center" wrapText="1" shrinkToFit="1"/>
    </xf>
    <xf numFmtId="0" fontId="21" fillId="0" borderId="12" xfId="1" applyFont="1" applyBorder="1" applyAlignment="1">
      <alignment horizontal="center" vertical="center" wrapText="1" shrinkToFit="1"/>
    </xf>
    <xf numFmtId="177" fontId="17" fillId="0" borderId="7" xfId="1" applyNumberFormat="1" applyFont="1" applyBorder="1" applyAlignment="1">
      <alignment horizontal="center" vertical="center" wrapText="1" shrinkToFit="1"/>
    </xf>
    <xf numFmtId="0" fontId="17" fillId="0" borderId="8" xfId="1" applyFont="1" applyBorder="1" applyAlignment="1">
      <alignment horizontal="center" vertical="center" wrapText="1" shrinkToFit="1"/>
    </xf>
    <xf numFmtId="0" fontId="21" fillId="0" borderId="7" xfId="1" applyFont="1" applyBorder="1" applyAlignment="1">
      <alignment horizontal="center" vertical="top" wrapText="1" shrinkToFit="1"/>
    </xf>
    <xf numFmtId="0" fontId="21" fillId="0" borderId="12" xfId="1" applyFont="1" applyBorder="1" applyAlignment="1">
      <alignment horizontal="center" vertical="top" wrapText="1" shrinkToFit="1"/>
    </xf>
    <xf numFmtId="49" fontId="32" fillId="0" borderId="30" xfId="2" applyNumberFormat="1" applyFont="1" applyBorder="1" applyAlignment="1">
      <alignment horizontal="center" vertical="center" shrinkToFit="1"/>
    </xf>
    <xf numFmtId="49" fontId="32" fillId="0" borderId="31" xfId="2" applyNumberFormat="1" applyFont="1" applyBorder="1" applyAlignment="1">
      <alignment horizontal="center" vertical="center" shrinkToFit="1"/>
    </xf>
    <xf numFmtId="49" fontId="19" fillId="0" borderId="15" xfId="2" applyNumberFormat="1" applyFont="1" applyBorder="1" applyAlignment="1">
      <alignment horizontal="center" vertical="center" wrapText="1" shrinkToFit="1"/>
    </xf>
    <xf numFmtId="0" fontId="19" fillId="0" borderId="13" xfId="2" applyFont="1" applyBorder="1" applyAlignment="1">
      <alignment vertical="top" wrapText="1" shrinkToFit="1"/>
    </xf>
    <xf numFmtId="177" fontId="22" fillId="0" borderId="7" xfId="2" applyNumberFormat="1" applyFont="1" applyBorder="1" applyAlignment="1">
      <alignment horizontal="center" vertical="center" wrapText="1" shrinkToFit="1"/>
    </xf>
    <xf numFmtId="177" fontId="22" fillId="0" borderId="8" xfId="2" applyNumberFormat="1" applyFont="1" applyBorder="1" applyAlignment="1">
      <alignment horizontal="center" vertical="center" wrapText="1" shrinkToFit="1"/>
    </xf>
    <xf numFmtId="177" fontId="19" fillId="0" borderId="7" xfId="2" applyNumberFormat="1" applyFont="1" applyBorder="1" applyAlignment="1">
      <alignment horizontal="center" vertical="center" wrapText="1" shrinkToFit="1"/>
    </xf>
    <xf numFmtId="177" fontId="19" fillId="0" borderId="8" xfId="2" applyNumberFormat="1" applyFont="1" applyBorder="1" applyAlignment="1">
      <alignment horizontal="center" vertical="center" wrapText="1" shrinkToFit="1"/>
    </xf>
    <xf numFmtId="0" fontId="21" fillId="0" borderId="7" xfId="2" applyFont="1" applyBorder="1" applyAlignment="1">
      <alignment horizontal="center" vertical="center" wrapText="1" shrinkToFit="1"/>
    </xf>
    <xf numFmtId="0" fontId="21" fillId="0" borderId="8" xfId="2" applyFont="1" applyBorder="1" applyAlignment="1">
      <alignment horizontal="center" vertical="center" wrapText="1" shrinkToFit="1"/>
    </xf>
    <xf numFmtId="0" fontId="15" fillId="0" borderId="16" xfId="2" applyFont="1" applyBorder="1" applyAlignment="1">
      <alignment horizontal="center" vertical="center" shrinkToFit="1"/>
    </xf>
    <xf numFmtId="0" fontId="15" fillId="0" borderId="17" xfId="2" applyFont="1" applyBorder="1" applyAlignment="1">
      <alignment horizontal="center" vertical="center" shrinkToFit="1"/>
    </xf>
    <xf numFmtId="49" fontId="34" fillId="0" borderId="15" xfId="2" applyNumberFormat="1" applyFont="1" applyBorder="1" applyAlignment="1">
      <alignment horizontal="center" vertical="center" shrinkToFit="1"/>
    </xf>
    <xf numFmtId="49" fontId="34" fillId="0" borderId="13" xfId="2" applyNumberFormat="1" applyFont="1" applyBorder="1" applyAlignment="1">
      <alignment horizontal="center" vertical="center" shrinkToFit="1"/>
    </xf>
    <xf numFmtId="177" fontId="19" fillId="0" borderId="4" xfId="2" applyNumberFormat="1" applyFont="1" applyBorder="1" applyAlignment="1">
      <alignment horizontal="center" vertical="center" wrapText="1" shrinkToFit="1"/>
    </xf>
    <xf numFmtId="0" fontId="31" fillId="0" borderId="34" xfId="2" applyFont="1" applyBorder="1" applyAlignment="1">
      <alignment horizontal="center" vertical="center"/>
    </xf>
    <xf numFmtId="0" fontId="31" fillId="0" borderId="2" xfId="2" applyFont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0" fontId="21" fillId="0" borderId="7" xfId="2" applyFont="1" applyBorder="1" applyAlignment="1">
      <alignment horizontal="center" vertical="top" wrapText="1" shrinkToFit="1"/>
    </xf>
    <xf numFmtId="0" fontId="21" fillId="0" borderId="8" xfId="2" applyFont="1" applyBorder="1" applyAlignment="1">
      <alignment horizontal="center" vertical="top" wrapText="1" shrinkToFit="1"/>
    </xf>
    <xf numFmtId="0" fontId="15" fillId="0" borderId="7" xfId="2" applyFont="1" applyBorder="1" applyAlignment="1">
      <alignment horizontal="center" vertical="center" wrapText="1" shrinkToFit="1"/>
    </xf>
    <xf numFmtId="0" fontId="15" fillId="0" borderId="8" xfId="2" applyFont="1" applyBorder="1" applyAlignment="1">
      <alignment horizontal="center" vertical="center" wrapText="1" shrinkToFit="1"/>
    </xf>
    <xf numFmtId="0" fontId="18" fillId="0" borderId="16" xfId="2" applyFont="1" applyBorder="1" applyAlignment="1">
      <alignment horizontal="center" vertical="center" shrinkToFit="1"/>
    </xf>
    <xf numFmtId="0" fontId="18" fillId="0" borderId="17" xfId="2" applyFont="1" applyBorder="1" applyAlignment="1">
      <alignment horizontal="center" vertical="center" shrinkToFit="1"/>
    </xf>
    <xf numFmtId="49" fontId="32" fillId="0" borderId="15" xfId="2" applyNumberFormat="1" applyFont="1" applyBorder="1" applyAlignment="1">
      <alignment horizontal="center" vertical="center" shrinkToFit="1"/>
    </xf>
    <xf numFmtId="49" fontId="32" fillId="0" borderId="13" xfId="2" applyNumberFormat="1" applyFont="1" applyBorder="1" applyAlignment="1">
      <alignment horizontal="center" vertical="center" shrinkToFit="1"/>
    </xf>
    <xf numFmtId="49" fontId="18" fillId="0" borderId="15" xfId="2" applyNumberFormat="1" applyFont="1" applyBorder="1" applyAlignment="1">
      <alignment horizontal="center" vertical="center" shrinkToFit="1"/>
    </xf>
    <xf numFmtId="49" fontId="18" fillId="0" borderId="13" xfId="2" applyNumberFormat="1" applyFont="1" applyBorder="1" applyAlignment="1">
      <alignment horizontal="center" vertical="center" shrinkToFit="1"/>
    </xf>
    <xf numFmtId="177" fontId="32" fillId="0" borderId="7" xfId="2" applyNumberFormat="1" applyFont="1" applyBorder="1" applyAlignment="1">
      <alignment horizontal="center" vertical="center" wrapText="1" shrinkToFit="1"/>
    </xf>
    <xf numFmtId="177" fontId="32" fillId="0" borderId="8" xfId="2" applyNumberFormat="1" applyFont="1" applyBorder="1" applyAlignment="1">
      <alignment horizontal="center" vertical="center" wrapText="1" shrinkToFit="1"/>
    </xf>
    <xf numFmtId="0" fontId="30" fillId="0" borderId="34" xfId="1" applyFont="1" applyBorder="1" applyAlignment="1">
      <alignment horizontal="center" vertical="center" wrapText="1"/>
    </xf>
    <xf numFmtId="0" fontId="30" fillId="0" borderId="2" xfId="1" applyFont="1" applyBorder="1" applyAlignment="1">
      <alignment horizontal="center" vertical="center" wrapText="1"/>
    </xf>
    <xf numFmtId="0" fontId="30" fillId="0" borderId="0" xfId="1" applyFont="1" applyBorder="1" applyAlignment="1">
      <alignment horizontal="center" vertical="center"/>
    </xf>
  </cellXfs>
  <cellStyles count="3">
    <cellStyle name="一般" xfId="0" builtinId="0"/>
    <cellStyle name="一般 2" xfId="1" xr:uid="{EF164545-C6C0-4348-95D1-D7F653057BF5}"/>
    <cellStyle name="一般 3" xfId="2" xr:uid="{3CCBEE8E-0670-4450-A5E2-86D3CA133AAD}"/>
  </cellStyles>
  <dxfs count="50"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zoomScale="76" zoomScaleNormal="76" workbookViewId="0">
      <selection activeCell="B7" sqref="B7:C7"/>
    </sheetView>
  </sheetViews>
  <sheetFormatPr defaultRowHeight="15"/>
  <cols>
    <col min="1" max="1" width="16.640625" customWidth="1"/>
    <col min="2" max="2" width="16.140625" customWidth="1"/>
    <col min="3" max="3" width="15.5" customWidth="1"/>
    <col min="4" max="4" width="23" customWidth="1"/>
    <col min="5" max="5" width="17.2109375" customWidth="1"/>
    <col min="6" max="6" width="19.140625" customWidth="1"/>
    <col min="7" max="7" width="22.5" customWidth="1"/>
    <col min="8" max="8" width="33.7109375" customWidth="1"/>
  </cols>
  <sheetData>
    <row r="1" spans="1:9" ht="57" customHeight="1" thickBot="1">
      <c r="A1" s="181" t="s">
        <v>41</v>
      </c>
      <c r="B1" s="181"/>
      <c r="C1" s="181"/>
      <c r="D1" s="181"/>
      <c r="E1" s="181"/>
      <c r="F1" s="181"/>
      <c r="G1" s="181"/>
      <c r="H1" s="182"/>
    </row>
    <row r="2" spans="1:9" ht="49.25" customHeight="1">
      <c r="A2" s="24" t="s">
        <v>0</v>
      </c>
      <c r="B2" s="15" t="s">
        <v>14</v>
      </c>
      <c r="C2" s="25" t="s">
        <v>1</v>
      </c>
      <c r="D2" s="26" t="s">
        <v>2</v>
      </c>
      <c r="E2" s="16" t="s">
        <v>3</v>
      </c>
      <c r="F2" s="27" t="s">
        <v>4</v>
      </c>
      <c r="G2" s="27" t="s">
        <v>5</v>
      </c>
      <c r="H2" s="28" t="s">
        <v>6</v>
      </c>
    </row>
    <row r="3" spans="1:9" ht="57.6" customHeight="1">
      <c r="A3" s="183" t="s">
        <v>7</v>
      </c>
      <c r="B3" s="188" t="s">
        <v>38</v>
      </c>
      <c r="C3" s="189"/>
      <c r="D3" s="6">
        <v>28645</v>
      </c>
      <c r="E3" s="159"/>
      <c r="F3" s="159">
        <f>SUM(D3+D4+E3+D5+D6)</f>
        <v>52245</v>
      </c>
      <c r="G3" s="196"/>
      <c r="H3" s="166" t="s">
        <v>8</v>
      </c>
    </row>
    <row r="4" spans="1:9" ht="27.6" customHeight="1">
      <c r="A4" s="184"/>
      <c r="B4" s="186" t="s">
        <v>9</v>
      </c>
      <c r="C4" s="187"/>
      <c r="D4" s="5">
        <v>2000</v>
      </c>
      <c r="E4" s="194"/>
      <c r="F4" s="194"/>
      <c r="G4" s="197"/>
      <c r="H4" s="199"/>
    </row>
    <row r="5" spans="1:9" ht="29.45" customHeight="1">
      <c r="A5" s="184"/>
      <c r="B5" s="2">
        <v>24</v>
      </c>
      <c r="C5" s="4">
        <v>300</v>
      </c>
      <c r="D5" s="21">
        <f>B5*C5</f>
        <v>7200</v>
      </c>
      <c r="E5" s="194"/>
      <c r="F5" s="194"/>
      <c r="G5" s="197"/>
      <c r="H5" s="199"/>
    </row>
    <row r="6" spans="1:9" ht="31.25" customHeight="1">
      <c r="A6" s="184"/>
      <c r="B6" s="17">
        <v>36</v>
      </c>
      <c r="C6" s="7">
        <v>400</v>
      </c>
      <c r="D6" s="5">
        <f>B6*C6</f>
        <v>14400</v>
      </c>
      <c r="E6" s="194"/>
      <c r="F6" s="160"/>
      <c r="G6" s="197"/>
      <c r="H6" s="167"/>
    </row>
    <row r="7" spans="1:9" ht="48" customHeight="1">
      <c r="A7" s="185" t="s">
        <v>10</v>
      </c>
      <c r="B7" s="188" t="s">
        <v>39</v>
      </c>
      <c r="C7" s="189"/>
      <c r="D7" s="10">
        <v>24774</v>
      </c>
      <c r="E7" s="195"/>
      <c r="F7" s="159">
        <f>SUM(D7+D8+E7+D9+D10)</f>
        <v>48724</v>
      </c>
      <c r="G7" s="198"/>
      <c r="H7" s="166" t="s">
        <v>11</v>
      </c>
    </row>
    <row r="8" spans="1:9" ht="25.15">
      <c r="A8" s="185"/>
      <c r="B8" s="190" t="s">
        <v>9</v>
      </c>
      <c r="C8" s="191"/>
      <c r="D8" s="21">
        <v>2000</v>
      </c>
      <c r="E8" s="195"/>
      <c r="F8" s="194"/>
      <c r="G8" s="198"/>
      <c r="H8" s="199"/>
    </row>
    <row r="9" spans="1:9" ht="27.6" customHeight="1">
      <c r="A9" s="185"/>
      <c r="B9" s="17">
        <v>23</v>
      </c>
      <c r="C9" s="17">
        <v>300</v>
      </c>
      <c r="D9" s="22">
        <f>B9*C9</f>
        <v>6900</v>
      </c>
      <c r="E9" s="195"/>
      <c r="F9" s="194"/>
      <c r="G9" s="198"/>
      <c r="H9" s="199"/>
    </row>
    <row r="10" spans="1:9" ht="32.450000000000003" customHeight="1">
      <c r="A10" s="185"/>
      <c r="B10" s="17">
        <v>43</v>
      </c>
      <c r="C10" s="17">
        <v>350</v>
      </c>
      <c r="D10" s="5">
        <f>B10*C10</f>
        <v>15050</v>
      </c>
      <c r="E10" s="195"/>
      <c r="F10" s="160"/>
      <c r="G10" s="198"/>
      <c r="H10" s="167"/>
    </row>
    <row r="11" spans="1:9" ht="57.6" customHeight="1">
      <c r="A11" s="185" t="s">
        <v>12</v>
      </c>
      <c r="B11" s="192" t="s">
        <v>40</v>
      </c>
      <c r="C11" s="193"/>
      <c r="D11" s="10">
        <v>24000</v>
      </c>
      <c r="E11" s="203"/>
      <c r="F11" s="159">
        <f>SUM(D11+D12+E11+D13+D14)</f>
        <v>36500</v>
      </c>
      <c r="G11" s="200"/>
      <c r="H11" s="166" t="s">
        <v>13</v>
      </c>
      <c r="I11" s="12"/>
    </row>
    <row r="12" spans="1:9" ht="30" customHeight="1">
      <c r="A12" s="185"/>
      <c r="B12" s="186" t="s">
        <v>16</v>
      </c>
      <c r="C12" s="187"/>
      <c r="D12" s="6">
        <v>2000</v>
      </c>
      <c r="E12" s="204"/>
      <c r="F12" s="194"/>
      <c r="G12" s="201"/>
      <c r="H12" s="199"/>
      <c r="I12" s="12"/>
    </row>
    <row r="13" spans="1:9" ht="25.15">
      <c r="A13" s="185"/>
      <c r="B13" s="3"/>
      <c r="C13" s="18">
        <v>300</v>
      </c>
      <c r="D13" s="3">
        <f>B13*C13</f>
        <v>0</v>
      </c>
      <c r="E13" s="204"/>
      <c r="F13" s="194"/>
      <c r="G13" s="201"/>
      <c r="H13" s="199"/>
      <c r="I13" s="12"/>
    </row>
    <row r="14" spans="1:9" ht="23.45" customHeight="1">
      <c r="A14" s="185"/>
      <c r="B14" s="3">
        <v>30</v>
      </c>
      <c r="C14" s="3">
        <v>350</v>
      </c>
      <c r="D14" s="9">
        <f>B14*C14</f>
        <v>10500</v>
      </c>
      <c r="E14" s="205"/>
      <c r="F14" s="160"/>
      <c r="G14" s="202"/>
      <c r="H14" s="167"/>
      <c r="I14" s="12"/>
    </row>
    <row r="15" spans="1:9" ht="32.450000000000003" customHeight="1">
      <c r="A15" s="178" t="s">
        <v>15</v>
      </c>
      <c r="B15" s="190" t="s">
        <v>16</v>
      </c>
      <c r="C15" s="191"/>
      <c r="D15" s="6">
        <v>2000</v>
      </c>
      <c r="E15" s="161"/>
      <c r="F15" s="159">
        <f>SUM(D15+D16+D17)</f>
        <v>22100</v>
      </c>
      <c r="G15" s="168"/>
      <c r="H15" s="166" t="s">
        <v>24</v>
      </c>
      <c r="I15" s="12"/>
    </row>
    <row r="16" spans="1:9" ht="33" customHeight="1">
      <c r="A16" s="207"/>
      <c r="B16" s="30">
        <v>42</v>
      </c>
      <c r="C16" s="30">
        <v>300</v>
      </c>
      <c r="D16" s="31">
        <f t="shared" ref="D16:D27" si="0">B16*C16</f>
        <v>12600</v>
      </c>
      <c r="E16" s="162"/>
      <c r="F16" s="164"/>
      <c r="G16" s="206"/>
      <c r="H16" s="199"/>
    </row>
    <row r="17" spans="1:9" ht="28.8" customHeight="1">
      <c r="A17" s="179"/>
      <c r="B17" s="20">
        <v>30</v>
      </c>
      <c r="C17" s="1">
        <v>250</v>
      </c>
      <c r="D17" s="6">
        <f t="shared" si="0"/>
        <v>7500</v>
      </c>
      <c r="E17" s="163"/>
      <c r="F17" s="165"/>
      <c r="G17" s="169"/>
      <c r="H17" s="167"/>
    </row>
    <row r="18" spans="1:9" ht="33" customHeight="1">
      <c r="A18" s="207" t="s">
        <v>17</v>
      </c>
      <c r="B18" s="19">
        <v>18</v>
      </c>
      <c r="C18" s="19">
        <v>300</v>
      </c>
      <c r="D18" s="8">
        <f t="shared" si="0"/>
        <v>5400</v>
      </c>
      <c r="E18" s="159"/>
      <c r="F18" s="159">
        <f>SUM(D18+D19)</f>
        <v>14400</v>
      </c>
      <c r="G18" s="172"/>
      <c r="H18" s="166" t="s">
        <v>25</v>
      </c>
    </row>
    <row r="19" spans="1:9" ht="31.25" customHeight="1">
      <c r="A19" s="207"/>
      <c r="B19" s="3">
        <v>36</v>
      </c>
      <c r="C19" s="3">
        <v>250</v>
      </c>
      <c r="D19" s="6">
        <f t="shared" si="0"/>
        <v>9000</v>
      </c>
      <c r="E19" s="160"/>
      <c r="F19" s="160"/>
      <c r="G19" s="173"/>
      <c r="H19" s="167"/>
    </row>
    <row r="20" spans="1:9" ht="34.25" customHeight="1">
      <c r="A20" s="178" t="s">
        <v>18</v>
      </c>
      <c r="B20" s="20">
        <v>17</v>
      </c>
      <c r="C20" s="3">
        <v>300</v>
      </c>
      <c r="D20" s="23">
        <f t="shared" si="0"/>
        <v>5100</v>
      </c>
      <c r="E20" s="208"/>
      <c r="F20" s="159">
        <f>SUM(D20+D21)</f>
        <v>5850</v>
      </c>
      <c r="G20" s="174"/>
      <c r="H20" s="166" t="s">
        <v>26</v>
      </c>
    </row>
    <row r="21" spans="1:9" ht="32.450000000000003" customHeight="1">
      <c r="A21" s="179"/>
      <c r="B21" s="11">
        <v>3</v>
      </c>
      <c r="C21" s="3">
        <v>250</v>
      </c>
      <c r="D21" s="6">
        <f t="shared" si="0"/>
        <v>750</v>
      </c>
      <c r="E21" s="165"/>
      <c r="F21" s="160"/>
      <c r="G21" s="175"/>
      <c r="H21" s="167"/>
    </row>
    <row r="22" spans="1:9" ht="31.25" customHeight="1">
      <c r="A22" s="176" t="s">
        <v>19</v>
      </c>
      <c r="B22" s="17">
        <v>10</v>
      </c>
      <c r="C22" s="2">
        <v>300</v>
      </c>
      <c r="D22" s="6">
        <f t="shared" si="0"/>
        <v>3000</v>
      </c>
      <c r="E22" s="157"/>
      <c r="F22" s="159">
        <f>SUM(D22+D23)</f>
        <v>9750</v>
      </c>
      <c r="G22" s="174"/>
      <c r="H22" s="166" t="s">
        <v>27</v>
      </c>
      <c r="I22" s="12"/>
    </row>
    <row r="23" spans="1:9" ht="29.45" customHeight="1">
      <c r="A23" s="177"/>
      <c r="B23" s="39">
        <v>27</v>
      </c>
      <c r="C23" s="2">
        <v>250</v>
      </c>
      <c r="D23" s="2">
        <f t="shared" si="0"/>
        <v>6750</v>
      </c>
      <c r="E23" s="158"/>
      <c r="F23" s="160"/>
      <c r="G23" s="175"/>
      <c r="H23" s="167"/>
      <c r="I23" s="12"/>
    </row>
    <row r="24" spans="1:9" ht="32.450000000000003" customHeight="1">
      <c r="A24" s="178" t="s">
        <v>20</v>
      </c>
      <c r="B24" s="17">
        <v>32</v>
      </c>
      <c r="C24" s="2">
        <v>300</v>
      </c>
      <c r="D24" s="2">
        <f t="shared" si="0"/>
        <v>9600</v>
      </c>
      <c r="E24" s="168"/>
      <c r="F24" s="170">
        <f>SUM(D24+D25)</f>
        <v>17850</v>
      </c>
      <c r="G24" s="168"/>
      <c r="H24" s="166" t="s">
        <v>23</v>
      </c>
      <c r="I24" s="12"/>
    </row>
    <row r="25" spans="1:9" ht="31.8" customHeight="1">
      <c r="A25" s="179"/>
      <c r="B25" s="2">
        <v>33</v>
      </c>
      <c r="C25" s="2">
        <v>250</v>
      </c>
      <c r="D25" s="29">
        <f t="shared" si="0"/>
        <v>8250</v>
      </c>
      <c r="E25" s="169"/>
      <c r="F25" s="171"/>
      <c r="G25" s="169"/>
      <c r="H25" s="167"/>
      <c r="I25" s="12"/>
    </row>
    <row r="26" spans="1:9" ht="37.25" customHeight="1">
      <c r="A26" s="180" t="s">
        <v>21</v>
      </c>
      <c r="B26" s="2">
        <v>32</v>
      </c>
      <c r="C26" s="2">
        <v>300</v>
      </c>
      <c r="D26" s="2">
        <f t="shared" si="0"/>
        <v>9600</v>
      </c>
      <c r="E26" s="168"/>
      <c r="F26" s="170">
        <f>SUM(D26+D27)</f>
        <v>17850</v>
      </c>
      <c r="G26" s="168"/>
      <c r="H26" s="166" t="s">
        <v>28</v>
      </c>
    </row>
    <row r="27" spans="1:9" ht="36" customHeight="1">
      <c r="A27" s="180"/>
      <c r="B27" s="29">
        <v>33</v>
      </c>
      <c r="C27" s="29">
        <v>250</v>
      </c>
      <c r="D27" s="38">
        <f t="shared" si="0"/>
        <v>8250</v>
      </c>
      <c r="E27" s="169"/>
      <c r="F27" s="171"/>
      <c r="G27" s="169"/>
      <c r="H27" s="167"/>
      <c r="I27" s="12"/>
    </row>
    <row r="28" spans="1:9" ht="65.45" customHeight="1" thickBot="1">
      <c r="A28" s="37" t="s">
        <v>22</v>
      </c>
      <c r="B28" s="13"/>
      <c r="C28" s="34"/>
      <c r="D28" s="40">
        <f>SUM(D3:D27)</f>
        <v>225269</v>
      </c>
      <c r="E28" s="8">
        <f>SUM(E3:E27)</f>
        <v>0</v>
      </c>
      <c r="F28" s="23">
        <f>SUM(F3:F27)</f>
        <v>225269</v>
      </c>
      <c r="G28" s="35"/>
      <c r="H28" s="36"/>
    </row>
    <row r="29" spans="1:9">
      <c r="C29" s="14"/>
      <c r="E29" s="14"/>
      <c r="F29" s="14"/>
      <c r="G29" s="14"/>
      <c r="H29" s="33"/>
    </row>
    <row r="30" spans="1:9">
      <c r="H30" s="32"/>
    </row>
    <row r="31" spans="1:9">
      <c r="H31" s="32"/>
    </row>
    <row r="32" spans="1:9">
      <c r="H32" s="32"/>
    </row>
    <row r="33" spans="8:9">
      <c r="H33" s="32"/>
    </row>
    <row r="34" spans="8:9">
      <c r="H34" s="32"/>
    </row>
    <row r="35" spans="8:9">
      <c r="H35" s="32"/>
    </row>
    <row r="36" spans="8:9">
      <c r="H36" s="32"/>
    </row>
    <row r="37" spans="8:9">
      <c r="H37" s="32"/>
    </row>
    <row r="38" spans="8:9">
      <c r="H38" s="32"/>
    </row>
    <row r="39" spans="8:9">
      <c r="H39" s="32"/>
    </row>
    <row r="40" spans="8:9">
      <c r="H40" s="32"/>
    </row>
    <row r="41" spans="8:9">
      <c r="H41" s="32"/>
    </row>
    <row r="42" spans="8:9">
      <c r="H42" s="32"/>
    </row>
    <row r="43" spans="8:9">
      <c r="H43" s="32"/>
    </row>
    <row r="44" spans="8:9">
      <c r="H44" s="32"/>
    </row>
    <row r="45" spans="8:9" ht="15.4" thickBot="1">
      <c r="H45" s="32"/>
    </row>
    <row r="46" spans="8:9">
      <c r="H46" s="33"/>
    </row>
    <row r="47" spans="8:9">
      <c r="H47" s="32"/>
      <c r="I47" s="12"/>
    </row>
    <row r="48" spans="8:9">
      <c r="H48" s="32"/>
    </row>
    <row r="49" spans="8:8">
      <c r="H49" s="32"/>
    </row>
    <row r="50" spans="8:8">
      <c r="H50" s="32"/>
    </row>
    <row r="51" spans="8:8">
      <c r="H51" s="32"/>
    </row>
    <row r="52" spans="8:8">
      <c r="H52" s="32"/>
    </row>
    <row r="53" spans="8:8">
      <c r="H53" s="32"/>
    </row>
    <row r="54" spans="8:8">
      <c r="H54" s="32"/>
    </row>
    <row r="55" spans="8:8">
      <c r="H55" s="32"/>
    </row>
    <row r="56" spans="8:8">
      <c r="H56" s="32"/>
    </row>
  </sheetData>
  <mergeCells count="53">
    <mergeCell ref="B15:C15"/>
    <mergeCell ref="A15:A17"/>
    <mergeCell ref="A18:A19"/>
    <mergeCell ref="A20:A21"/>
    <mergeCell ref="F20:F21"/>
    <mergeCell ref="E20:E21"/>
    <mergeCell ref="H11:H14"/>
    <mergeCell ref="H15:H17"/>
    <mergeCell ref="G11:G14"/>
    <mergeCell ref="E11:E14"/>
    <mergeCell ref="F11:F14"/>
    <mergeCell ref="G15:G17"/>
    <mergeCell ref="G3:G6"/>
    <mergeCell ref="G7:G10"/>
    <mergeCell ref="H3:H6"/>
    <mergeCell ref="H7:H10"/>
    <mergeCell ref="F7:F10"/>
    <mergeCell ref="A22:A23"/>
    <mergeCell ref="A24:A25"/>
    <mergeCell ref="A26:A27"/>
    <mergeCell ref="A1:H1"/>
    <mergeCell ref="A3:A6"/>
    <mergeCell ref="A7:A10"/>
    <mergeCell ref="A11:A14"/>
    <mergeCell ref="B4:C4"/>
    <mergeCell ref="B3:C3"/>
    <mergeCell ref="B7:C7"/>
    <mergeCell ref="B8:C8"/>
    <mergeCell ref="B11:C11"/>
    <mergeCell ref="B12:C12"/>
    <mergeCell ref="E3:E6"/>
    <mergeCell ref="E7:E10"/>
    <mergeCell ref="F3:F6"/>
    <mergeCell ref="H18:H19"/>
    <mergeCell ref="G18:G19"/>
    <mergeCell ref="H20:H21"/>
    <mergeCell ref="H22:H23"/>
    <mergeCell ref="G22:G23"/>
    <mergeCell ref="G20:G21"/>
    <mergeCell ref="H24:H25"/>
    <mergeCell ref="H26:H27"/>
    <mergeCell ref="G24:G25"/>
    <mergeCell ref="G26:G27"/>
    <mergeCell ref="E26:E27"/>
    <mergeCell ref="F26:F27"/>
    <mergeCell ref="E24:E25"/>
    <mergeCell ref="F24:F25"/>
    <mergeCell ref="E22:E23"/>
    <mergeCell ref="F22:F23"/>
    <mergeCell ref="F18:F19"/>
    <mergeCell ref="E18:E19"/>
    <mergeCell ref="E15:E17"/>
    <mergeCell ref="F15:F1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0CD1-4AFE-4BFB-B49B-8316323E3812}">
  <dimension ref="A1:H28"/>
  <sheetViews>
    <sheetView topLeftCell="A12" workbookViewId="0">
      <selection activeCell="H15" sqref="H15:H17"/>
    </sheetView>
  </sheetViews>
  <sheetFormatPr defaultRowHeight="15"/>
  <cols>
    <col min="1" max="1" width="17" customWidth="1"/>
    <col min="2" max="2" width="10.140625" customWidth="1"/>
    <col min="3" max="3" width="11" customWidth="1"/>
    <col min="4" max="4" width="17.85546875" customWidth="1"/>
    <col min="5" max="5" width="16.140625" customWidth="1"/>
    <col min="6" max="6" width="16.7109375" customWidth="1"/>
    <col min="7" max="7" width="23.640625" customWidth="1"/>
    <col min="8" max="8" width="61.640625" customWidth="1"/>
  </cols>
  <sheetData>
    <row r="1" spans="1:8" ht="45" customHeight="1" thickBot="1">
      <c r="A1" s="219" t="s">
        <v>34</v>
      </c>
      <c r="B1" s="219"/>
      <c r="C1" s="219"/>
      <c r="D1" s="219"/>
      <c r="E1" s="219"/>
      <c r="F1" s="219"/>
      <c r="G1" s="219"/>
      <c r="H1" s="220"/>
    </row>
    <row r="2" spans="1:8" ht="45.75">
      <c r="A2" s="24" t="s">
        <v>0</v>
      </c>
      <c r="B2" s="15" t="s">
        <v>14</v>
      </c>
      <c r="C2" s="25" t="s">
        <v>1</v>
      </c>
      <c r="D2" s="26" t="s">
        <v>2</v>
      </c>
      <c r="E2" s="16" t="s">
        <v>3</v>
      </c>
      <c r="F2" s="27" t="s">
        <v>4</v>
      </c>
      <c r="G2" s="27" t="s">
        <v>5</v>
      </c>
      <c r="H2" s="28" t="s">
        <v>6</v>
      </c>
    </row>
    <row r="3" spans="1:8" ht="47.45" customHeight="1">
      <c r="A3" s="183" t="s">
        <v>7</v>
      </c>
      <c r="B3" s="222" t="s">
        <v>35</v>
      </c>
      <c r="C3" s="223"/>
      <c r="D3" s="6">
        <v>31714</v>
      </c>
      <c r="E3" s="159"/>
      <c r="F3" s="159">
        <f>SUM(D3+D4+E3+D5+D6)</f>
        <v>61914</v>
      </c>
      <c r="G3" s="216" t="s">
        <v>42</v>
      </c>
      <c r="H3" s="166" t="s">
        <v>8</v>
      </c>
    </row>
    <row r="4" spans="1:8" ht="24.6" customHeight="1">
      <c r="A4" s="184"/>
      <c r="B4" s="186" t="s">
        <v>9</v>
      </c>
      <c r="C4" s="187"/>
      <c r="D4" s="5">
        <v>2000</v>
      </c>
      <c r="E4" s="194"/>
      <c r="F4" s="194"/>
      <c r="G4" s="217"/>
      <c r="H4" s="199"/>
    </row>
    <row r="5" spans="1:8" ht="24.6" customHeight="1">
      <c r="A5" s="184"/>
      <c r="B5" s="2">
        <v>6</v>
      </c>
      <c r="C5" s="4">
        <v>300</v>
      </c>
      <c r="D5" s="21">
        <f>B5*C5</f>
        <v>1800</v>
      </c>
      <c r="E5" s="194"/>
      <c r="F5" s="194"/>
      <c r="G5" s="217"/>
      <c r="H5" s="199"/>
    </row>
    <row r="6" spans="1:8" ht="24.6" customHeight="1">
      <c r="A6" s="221"/>
      <c r="B6" s="17">
        <v>66</v>
      </c>
      <c r="C6" s="7">
        <v>400</v>
      </c>
      <c r="D6" s="5">
        <f>B6*C6</f>
        <v>26400</v>
      </c>
      <c r="E6" s="160"/>
      <c r="F6" s="160"/>
      <c r="G6" s="218"/>
      <c r="H6" s="167"/>
    </row>
    <row r="7" spans="1:8" ht="48.6" customHeight="1">
      <c r="A7" s="213" t="s">
        <v>10</v>
      </c>
      <c r="B7" s="222" t="s">
        <v>36</v>
      </c>
      <c r="C7" s="223"/>
      <c r="D7" s="10">
        <v>27429</v>
      </c>
      <c r="E7" s="159"/>
      <c r="F7" s="159">
        <f>SUM(D7+D8+E7+D9+D10)</f>
        <v>57729</v>
      </c>
      <c r="G7" s="216" t="s">
        <v>43</v>
      </c>
      <c r="H7" s="166" t="s">
        <v>11</v>
      </c>
    </row>
    <row r="8" spans="1:8" ht="35.450000000000003" customHeight="1">
      <c r="A8" s="214"/>
      <c r="B8" s="190" t="s">
        <v>9</v>
      </c>
      <c r="C8" s="191"/>
      <c r="D8" s="21">
        <v>2000</v>
      </c>
      <c r="E8" s="194"/>
      <c r="F8" s="194"/>
      <c r="G8" s="217"/>
      <c r="H8" s="199"/>
    </row>
    <row r="9" spans="1:8" ht="24.6" customHeight="1">
      <c r="A9" s="214"/>
      <c r="B9" s="17">
        <v>8</v>
      </c>
      <c r="C9" s="17">
        <v>300</v>
      </c>
      <c r="D9" s="22">
        <f>B9*C9</f>
        <v>2400</v>
      </c>
      <c r="E9" s="194"/>
      <c r="F9" s="194"/>
      <c r="G9" s="217"/>
      <c r="H9" s="199"/>
    </row>
    <row r="10" spans="1:8" ht="24.6" customHeight="1">
      <c r="A10" s="215"/>
      <c r="B10" s="17">
        <v>74</v>
      </c>
      <c r="C10" s="17">
        <v>350</v>
      </c>
      <c r="D10" s="5">
        <f>B10*C10</f>
        <v>25900</v>
      </c>
      <c r="E10" s="160"/>
      <c r="F10" s="160"/>
      <c r="G10" s="218"/>
      <c r="H10" s="167"/>
    </row>
    <row r="11" spans="1:8" ht="46.25" customHeight="1">
      <c r="A11" s="213" t="s">
        <v>12</v>
      </c>
      <c r="B11" s="192" t="s">
        <v>37</v>
      </c>
      <c r="C11" s="193"/>
      <c r="D11" s="10">
        <v>26571</v>
      </c>
      <c r="E11" s="203"/>
      <c r="F11" s="159">
        <f>SUM(D11+D12+E11+D13+D14)</f>
        <v>51321</v>
      </c>
      <c r="G11" s="216" t="s">
        <v>44</v>
      </c>
      <c r="H11" s="166" t="s">
        <v>13</v>
      </c>
    </row>
    <row r="12" spans="1:8" ht="24.6" customHeight="1">
      <c r="A12" s="214"/>
      <c r="B12" s="186" t="s">
        <v>16</v>
      </c>
      <c r="C12" s="187"/>
      <c r="D12" s="6">
        <v>2000</v>
      </c>
      <c r="E12" s="204"/>
      <c r="F12" s="194"/>
      <c r="G12" s="217"/>
      <c r="H12" s="199"/>
    </row>
    <row r="13" spans="1:8" ht="24.6" customHeight="1">
      <c r="A13" s="214"/>
      <c r="B13" s="3"/>
      <c r="C13" s="18">
        <v>300</v>
      </c>
      <c r="D13" s="3">
        <f>B13*C13</f>
        <v>0</v>
      </c>
      <c r="E13" s="204"/>
      <c r="F13" s="194"/>
      <c r="G13" s="217"/>
      <c r="H13" s="199"/>
    </row>
    <row r="14" spans="1:8" ht="24.6" customHeight="1">
      <c r="A14" s="215"/>
      <c r="B14" s="3">
        <v>65</v>
      </c>
      <c r="C14" s="3">
        <v>350</v>
      </c>
      <c r="D14" s="9">
        <f>B14*C14</f>
        <v>22750</v>
      </c>
      <c r="E14" s="205"/>
      <c r="F14" s="160"/>
      <c r="G14" s="218"/>
      <c r="H14" s="167"/>
    </row>
    <row r="15" spans="1:8" ht="25.15">
      <c r="A15" s="178" t="s">
        <v>15</v>
      </c>
      <c r="B15" s="190" t="s">
        <v>16</v>
      </c>
      <c r="C15" s="191"/>
      <c r="D15" s="6">
        <v>2000</v>
      </c>
      <c r="E15" s="161"/>
      <c r="F15" s="159">
        <f>SUM(D15+D16+D17)</f>
        <v>12500</v>
      </c>
      <c r="G15" s="168"/>
      <c r="H15" s="166" t="s">
        <v>24</v>
      </c>
    </row>
    <row r="16" spans="1:8" ht="25.15">
      <c r="A16" s="207"/>
      <c r="B16" s="30">
        <v>10</v>
      </c>
      <c r="C16" s="30">
        <v>300</v>
      </c>
      <c r="D16" s="31">
        <f t="shared" ref="D16:D27" si="0">B16*C16</f>
        <v>3000</v>
      </c>
      <c r="E16" s="162"/>
      <c r="F16" s="194"/>
      <c r="G16" s="206"/>
      <c r="H16" s="199"/>
    </row>
    <row r="17" spans="1:8" ht="25.15">
      <c r="A17" s="179"/>
      <c r="B17" s="20">
        <v>30</v>
      </c>
      <c r="C17" s="1">
        <v>250</v>
      </c>
      <c r="D17" s="6">
        <f t="shared" si="0"/>
        <v>7500</v>
      </c>
      <c r="E17" s="163"/>
      <c r="F17" s="160"/>
      <c r="G17" s="169"/>
      <c r="H17" s="167"/>
    </row>
    <row r="18" spans="1:8" ht="25.15">
      <c r="A18" s="178" t="s">
        <v>17</v>
      </c>
      <c r="B18" s="19">
        <v>4</v>
      </c>
      <c r="C18" s="19">
        <v>300</v>
      </c>
      <c r="D18" s="8">
        <f t="shared" si="0"/>
        <v>1200</v>
      </c>
      <c r="E18" s="159"/>
      <c r="F18" s="159">
        <f>SUM(D18+D19)</f>
        <v>16950</v>
      </c>
      <c r="G18" s="172"/>
      <c r="H18" s="166" t="s">
        <v>25</v>
      </c>
    </row>
    <row r="19" spans="1:8" ht="25.15">
      <c r="A19" s="179"/>
      <c r="B19" s="3">
        <v>63</v>
      </c>
      <c r="C19" s="3">
        <v>250</v>
      </c>
      <c r="D19" s="6">
        <f t="shared" si="0"/>
        <v>15750</v>
      </c>
      <c r="E19" s="160"/>
      <c r="F19" s="160"/>
      <c r="G19" s="173"/>
      <c r="H19" s="167"/>
    </row>
    <row r="20" spans="1:8" ht="25.15">
      <c r="A20" s="178" t="s">
        <v>18</v>
      </c>
      <c r="B20" s="20">
        <v>8</v>
      </c>
      <c r="C20" s="3">
        <v>300</v>
      </c>
      <c r="D20" s="23">
        <f t="shared" si="0"/>
        <v>2400</v>
      </c>
      <c r="E20" s="208"/>
      <c r="F20" s="159">
        <f>SUM(D20+D21)</f>
        <v>16650</v>
      </c>
      <c r="G20" s="174"/>
      <c r="H20" s="166" t="s">
        <v>26</v>
      </c>
    </row>
    <row r="21" spans="1:8" ht="25.15">
      <c r="A21" s="179"/>
      <c r="B21" s="11">
        <v>57</v>
      </c>
      <c r="C21" s="3">
        <v>250</v>
      </c>
      <c r="D21" s="6">
        <f t="shared" si="0"/>
        <v>14250</v>
      </c>
      <c r="E21" s="165"/>
      <c r="F21" s="160"/>
      <c r="G21" s="175"/>
      <c r="H21" s="167"/>
    </row>
    <row r="22" spans="1:8" ht="25.15">
      <c r="A22" s="178" t="s">
        <v>19</v>
      </c>
      <c r="B22" s="17"/>
      <c r="C22" s="2">
        <v>300</v>
      </c>
      <c r="D22" s="6">
        <f t="shared" si="0"/>
        <v>0</v>
      </c>
      <c r="E22" s="157"/>
      <c r="F22" s="159">
        <f>SUM(D22+D23)</f>
        <v>9000</v>
      </c>
      <c r="G22" s="174"/>
      <c r="H22" s="166" t="s">
        <v>27</v>
      </c>
    </row>
    <row r="23" spans="1:8" ht="25.15">
      <c r="A23" s="179"/>
      <c r="B23" s="39">
        <v>36</v>
      </c>
      <c r="C23" s="2">
        <v>250</v>
      </c>
      <c r="D23" s="2">
        <f t="shared" si="0"/>
        <v>9000</v>
      </c>
      <c r="E23" s="158"/>
      <c r="F23" s="160"/>
      <c r="G23" s="175"/>
      <c r="H23" s="167"/>
    </row>
    <row r="24" spans="1:8" ht="24.6" customHeight="1">
      <c r="A24" s="178" t="s">
        <v>29</v>
      </c>
      <c r="B24" s="17"/>
      <c r="C24" s="2">
        <v>300</v>
      </c>
      <c r="D24" s="2">
        <f t="shared" si="0"/>
        <v>0</v>
      </c>
      <c r="E24" s="209">
        <v>3000</v>
      </c>
      <c r="F24" s="170">
        <f>SUM(D24+D25)</f>
        <v>0</v>
      </c>
      <c r="G24" s="211" t="s">
        <v>31</v>
      </c>
      <c r="H24" s="166" t="s">
        <v>33</v>
      </c>
    </row>
    <row r="25" spans="1:8" ht="25.15">
      <c r="A25" s="179"/>
      <c r="B25" s="2"/>
      <c r="C25" s="2">
        <v>250</v>
      </c>
      <c r="D25" s="29">
        <f t="shared" si="0"/>
        <v>0</v>
      </c>
      <c r="E25" s="210"/>
      <c r="F25" s="171"/>
      <c r="G25" s="212"/>
      <c r="H25" s="167"/>
    </row>
    <row r="26" spans="1:8" ht="24.6" customHeight="1">
      <c r="A26" s="178" t="s">
        <v>30</v>
      </c>
      <c r="B26" s="2"/>
      <c r="C26" s="2">
        <v>300</v>
      </c>
      <c r="D26" s="2">
        <f t="shared" si="0"/>
        <v>0</v>
      </c>
      <c r="E26" s="209">
        <v>3000</v>
      </c>
      <c r="F26" s="170">
        <f>SUM(D26+D27)</f>
        <v>0</v>
      </c>
      <c r="G26" s="211" t="s">
        <v>31</v>
      </c>
      <c r="H26" s="166" t="s">
        <v>32</v>
      </c>
    </row>
    <row r="27" spans="1:8" ht="26.45" customHeight="1">
      <c r="A27" s="179"/>
      <c r="B27" s="29"/>
      <c r="C27" s="29">
        <v>250</v>
      </c>
      <c r="D27" s="38">
        <f t="shared" si="0"/>
        <v>0</v>
      </c>
      <c r="E27" s="210"/>
      <c r="F27" s="171"/>
      <c r="G27" s="212"/>
      <c r="H27" s="167"/>
    </row>
    <row r="28" spans="1:8" ht="48.6" customHeight="1" thickBot="1">
      <c r="A28" s="37" t="s">
        <v>22</v>
      </c>
      <c r="B28" s="13"/>
      <c r="C28" s="34"/>
      <c r="D28" s="40">
        <f>SUM(D3:D27)</f>
        <v>226064</v>
      </c>
      <c r="E28" s="40">
        <f>SUM(E3:E27)</f>
        <v>6000</v>
      </c>
      <c r="F28" s="40">
        <f>SUM(E3:F27)</f>
        <v>232064</v>
      </c>
      <c r="G28" s="35"/>
      <c r="H28" s="36"/>
    </row>
  </sheetData>
  <mergeCells count="53">
    <mergeCell ref="H7:H10"/>
    <mergeCell ref="B8:C8"/>
    <mergeCell ref="A1:H1"/>
    <mergeCell ref="A3:A6"/>
    <mergeCell ref="B3:C3"/>
    <mergeCell ref="E3:E6"/>
    <mergeCell ref="F3:F6"/>
    <mergeCell ref="G3:G6"/>
    <mergeCell ref="H3:H6"/>
    <mergeCell ref="B4:C4"/>
    <mergeCell ref="A7:A10"/>
    <mergeCell ref="B7:C7"/>
    <mergeCell ref="E7:E10"/>
    <mergeCell ref="F7:F10"/>
    <mergeCell ref="G7:G10"/>
    <mergeCell ref="H15:H17"/>
    <mergeCell ref="A11:A14"/>
    <mergeCell ref="B11:C11"/>
    <mergeCell ref="E11:E14"/>
    <mergeCell ref="F11:F14"/>
    <mergeCell ref="G11:G14"/>
    <mergeCell ref="H11:H14"/>
    <mergeCell ref="B12:C12"/>
    <mergeCell ref="A15:A17"/>
    <mergeCell ref="B15:C15"/>
    <mergeCell ref="E15:E17"/>
    <mergeCell ref="F15:F17"/>
    <mergeCell ref="G15:G17"/>
    <mergeCell ref="A20:A21"/>
    <mergeCell ref="E20:E21"/>
    <mergeCell ref="F20:F21"/>
    <mergeCell ref="G20:G21"/>
    <mergeCell ref="H20:H21"/>
    <mergeCell ref="A18:A19"/>
    <mergeCell ref="E18:E19"/>
    <mergeCell ref="F18:F19"/>
    <mergeCell ref="G18:G19"/>
    <mergeCell ref="H18:H19"/>
    <mergeCell ref="A24:A25"/>
    <mergeCell ref="E24:E25"/>
    <mergeCell ref="F24:F25"/>
    <mergeCell ref="G24:G25"/>
    <mergeCell ref="H24:H25"/>
    <mergeCell ref="A22:A23"/>
    <mergeCell ref="E22:E23"/>
    <mergeCell ref="F22:F23"/>
    <mergeCell ref="G22:G23"/>
    <mergeCell ref="H22:H23"/>
    <mergeCell ref="A26:A27"/>
    <mergeCell ref="E26:E27"/>
    <mergeCell ref="F26:F27"/>
    <mergeCell ref="G26:G27"/>
    <mergeCell ref="H26:H2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724F-6BD9-4D0E-9C23-C23AD7872F73}">
  <sheetPr>
    <pageSetUpPr fitToPage="1"/>
  </sheetPr>
  <dimension ref="A1:H18"/>
  <sheetViews>
    <sheetView topLeftCell="A10" workbookViewId="0">
      <selection activeCell="H17" sqref="H17"/>
    </sheetView>
  </sheetViews>
  <sheetFormatPr defaultColWidth="9" defaultRowHeight="16.149999999999999"/>
  <cols>
    <col min="1" max="1" width="19.5" style="41" customWidth="1"/>
    <col min="2" max="2" width="9" style="41"/>
    <col min="3" max="3" width="15.7109375" style="41" customWidth="1"/>
    <col min="4" max="4" width="14.640625" style="41" customWidth="1"/>
    <col min="5" max="5" width="18.2109375" style="41" customWidth="1"/>
    <col min="6" max="6" width="17.7109375" style="41" customWidth="1"/>
    <col min="7" max="7" width="22.85546875" style="41" customWidth="1"/>
    <col min="8" max="8" width="37.35546875" style="41" customWidth="1"/>
    <col min="9" max="9" width="34" style="41" customWidth="1"/>
    <col min="10" max="16384" width="9" style="41"/>
  </cols>
  <sheetData>
    <row r="1" spans="1:8" ht="33.6" customHeight="1" thickBot="1">
      <c r="A1" s="153" t="s">
        <v>69</v>
      </c>
      <c r="B1" s="154"/>
      <c r="C1" s="154"/>
      <c r="D1" s="154"/>
      <c r="E1" s="154"/>
      <c r="F1" s="154"/>
      <c r="G1" s="154"/>
      <c r="H1" s="154"/>
    </row>
    <row r="2" spans="1:8" ht="56.45" customHeight="1">
      <c r="A2" s="63" t="s">
        <v>68</v>
      </c>
      <c r="B2" s="62" t="s">
        <v>67</v>
      </c>
      <c r="C2" s="60" t="s">
        <v>1</v>
      </c>
      <c r="D2" s="60" t="s">
        <v>2</v>
      </c>
      <c r="E2" s="61" t="s">
        <v>66</v>
      </c>
      <c r="F2" s="60" t="s">
        <v>4</v>
      </c>
      <c r="G2" s="60" t="s">
        <v>65</v>
      </c>
      <c r="H2" s="59" t="s">
        <v>64</v>
      </c>
    </row>
    <row r="3" spans="1:8" ht="24.6" customHeight="1">
      <c r="A3" s="138" t="s">
        <v>63</v>
      </c>
      <c r="B3" s="140" t="s">
        <v>54</v>
      </c>
      <c r="C3" s="224"/>
      <c r="D3" s="58">
        <v>37000</v>
      </c>
      <c r="E3" s="142"/>
      <c r="F3" s="142">
        <f>SUM(D3+D4+D5+E3)</f>
        <v>49800</v>
      </c>
      <c r="G3" s="155"/>
      <c r="H3" s="136" t="s">
        <v>62</v>
      </c>
    </row>
    <row r="4" spans="1:8" ht="24.6" customHeight="1">
      <c r="A4" s="139"/>
      <c r="B4" s="147" t="s">
        <v>52</v>
      </c>
      <c r="C4" s="148"/>
      <c r="D4" s="58">
        <v>2000</v>
      </c>
      <c r="E4" s="143"/>
      <c r="F4" s="143"/>
      <c r="G4" s="156"/>
      <c r="H4" s="146"/>
    </row>
    <row r="5" spans="1:8" ht="24.6" customHeight="1">
      <c r="A5" s="149"/>
      <c r="B5" s="57" t="s">
        <v>108</v>
      </c>
      <c r="C5" s="56" t="s">
        <v>60</v>
      </c>
      <c r="D5" s="50">
        <f>B5*C5</f>
        <v>10800</v>
      </c>
      <c r="E5" s="150"/>
      <c r="F5" s="150"/>
      <c r="G5" s="225"/>
      <c r="H5" s="137"/>
    </row>
    <row r="6" spans="1:8" ht="36" customHeight="1">
      <c r="A6" s="138" t="s">
        <v>59</v>
      </c>
      <c r="B6" s="140" t="s">
        <v>54</v>
      </c>
      <c r="C6" s="224"/>
      <c r="D6" s="58">
        <v>32000</v>
      </c>
      <c r="E6" s="142"/>
      <c r="F6" s="142">
        <f>SUM(D6+D7+D8+E6)</f>
        <v>45400</v>
      </c>
      <c r="G6" s="155"/>
      <c r="H6" s="136" t="s">
        <v>58</v>
      </c>
    </row>
    <row r="7" spans="1:8" ht="24.6" customHeight="1">
      <c r="A7" s="139"/>
      <c r="B7" s="147" t="str">
        <f>B4</f>
        <v>勞健保補貼</v>
      </c>
      <c r="C7" s="148"/>
      <c r="D7" s="58">
        <v>2000</v>
      </c>
      <c r="E7" s="143"/>
      <c r="F7" s="143"/>
      <c r="G7" s="156"/>
      <c r="H7" s="146"/>
    </row>
    <row r="8" spans="1:8" ht="24.6" customHeight="1">
      <c r="A8" s="149"/>
      <c r="B8" s="57" t="s">
        <v>109</v>
      </c>
      <c r="C8" s="56" t="s">
        <v>56</v>
      </c>
      <c r="D8" s="50">
        <f>B8*C8</f>
        <v>11400</v>
      </c>
      <c r="E8" s="150"/>
      <c r="F8" s="150"/>
      <c r="G8" s="225"/>
      <c r="H8" s="137"/>
    </row>
    <row r="9" spans="1:8" ht="28.8" customHeight="1">
      <c r="A9" s="138" t="s">
        <v>55</v>
      </c>
      <c r="B9" s="140" t="s">
        <v>54</v>
      </c>
      <c r="C9" s="224"/>
      <c r="D9" s="50">
        <v>31000</v>
      </c>
      <c r="E9" s="142"/>
      <c r="F9" s="142">
        <f>SUM(D9+D10+D11+E9)</f>
        <v>33000</v>
      </c>
      <c r="G9" s="144"/>
      <c r="H9" s="136" t="s">
        <v>53</v>
      </c>
    </row>
    <row r="10" spans="1:8" ht="28.25" customHeight="1">
      <c r="A10" s="139"/>
      <c r="B10" s="147" t="s">
        <v>52</v>
      </c>
      <c r="C10" s="148"/>
      <c r="D10" s="50">
        <v>2000</v>
      </c>
      <c r="E10" s="143"/>
      <c r="F10" s="143"/>
      <c r="G10" s="145"/>
      <c r="H10" s="146"/>
    </row>
    <row r="11" spans="1:8" ht="28.25" customHeight="1">
      <c r="A11" s="149"/>
      <c r="B11" s="55"/>
      <c r="C11" s="51">
        <v>300</v>
      </c>
      <c r="D11" s="50">
        <f>B11*C11</f>
        <v>0</v>
      </c>
      <c r="E11" s="150"/>
      <c r="F11" s="150"/>
      <c r="G11" s="152"/>
      <c r="H11" s="137"/>
    </row>
    <row r="12" spans="1:8" ht="29.45" customHeight="1">
      <c r="A12" s="138" t="s">
        <v>101</v>
      </c>
      <c r="B12" s="147" t="s">
        <v>52</v>
      </c>
      <c r="C12" s="148"/>
      <c r="D12" s="50">
        <v>2000</v>
      </c>
      <c r="E12" s="142"/>
      <c r="F12" s="142">
        <f>SUM(D12+D13+E12)</f>
        <v>23000</v>
      </c>
      <c r="G12" s="144"/>
      <c r="H12" s="136" t="s">
        <v>24</v>
      </c>
    </row>
    <row r="13" spans="1:8" ht="29.45" customHeight="1">
      <c r="A13" s="149"/>
      <c r="B13" s="55">
        <v>70</v>
      </c>
      <c r="C13" s="51">
        <v>300</v>
      </c>
      <c r="D13" s="50">
        <f>B13*C13</f>
        <v>21000</v>
      </c>
      <c r="E13" s="150"/>
      <c r="F13" s="150"/>
      <c r="G13" s="152"/>
      <c r="H13" s="137"/>
    </row>
    <row r="14" spans="1:8" ht="28.25" customHeight="1">
      <c r="A14" s="53" t="s">
        <v>51</v>
      </c>
      <c r="B14" s="55">
        <v>66</v>
      </c>
      <c r="C14" s="51">
        <v>300</v>
      </c>
      <c r="D14" s="50">
        <f>B14*C14</f>
        <v>19800</v>
      </c>
      <c r="E14" s="49"/>
      <c r="F14" s="49">
        <f>SUM(D14+E14)</f>
        <v>19800</v>
      </c>
      <c r="G14" s="48"/>
      <c r="H14" s="110" t="s">
        <v>112</v>
      </c>
    </row>
    <row r="15" spans="1:8" ht="30" customHeight="1">
      <c r="A15" s="53" t="s">
        <v>47</v>
      </c>
      <c r="B15" s="52">
        <v>30</v>
      </c>
      <c r="C15" s="51">
        <v>300</v>
      </c>
      <c r="D15" s="50">
        <f>B15*C15</f>
        <v>9000</v>
      </c>
      <c r="E15" s="49"/>
      <c r="F15" s="49">
        <f>SUM(D15+E15)</f>
        <v>9000</v>
      </c>
      <c r="G15" s="48"/>
      <c r="H15" s="111" t="s">
        <v>25</v>
      </c>
    </row>
    <row r="16" spans="1:8" ht="30" customHeight="1">
      <c r="A16" s="53" t="s">
        <v>110</v>
      </c>
      <c r="B16" s="52">
        <v>51</v>
      </c>
      <c r="C16" s="51">
        <v>300</v>
      </c>
      <c r="D16" s="50">
        <f>B16*C16</f>
        <v>15300</v>
      </c>
      <c r="E16" s="49"/>
      <c r="F16" s="49">
        <f>SUM(D16+E16)</f>
        <v>15300</v>
      </c>
      <c r="G16" s="48"/>
      <c r="H16" s="112" t="s">
        <v>26</v>
      </c>
    </row>
    <row r="17" spans="1:8" ht="28.25" customHeight="1">
      <c r="A17" s="53" t="s">
        <v>111</v>
      </c>
      <c r="B17" s="52">
        <v>6</v>
      </c>
      <c r="C17" s="51">
        <v>300</v>
      </c>
      <c r="D17" s="50">
        <f>B17*C17</f>
        <v>1800</v>
      </c>
      <c r="E17" s="49"/>
      <c r="F17" s="49">
        <f>SUM(D17+E17)</f>
        <v>1800</v>
      </c>
      <c r="G17" s="48"/>
      <c r="H17" s="112" t="s">
        <v>27</v>
      </c>
    </row>
    <row r="18" spans="1:8" ht="46.25" customHeight="1" thickBot="1">
      <c r="A18" s="46" t="s">
        <v>45</v>
      </c>
      <c r="B18" s="45"/>
      <c r="C18" s="45"/>
      <c r="D18" s="44">
        <f>SUM(D3:D17)</f>
        <v>197100</v>
      </c>
      <c r="E18" s="113">
        <f>SUM(E3:E17)</f>
        <v>0</v>
      </c>
      <c r="F18" s="113">
        <f>SUM(F3:F17)</f>
        <v>197100</v>
      </c>
      <c r="G18" s="43"/>
      <c r="H18" s="109"/>
    </row>
  </sheetData>
  <mergeCells count="28">
    <mergeCell ref="H6:H8"/>
    <mergeCell ref="B7:C7"/>
    <mergeCell ref="B6:C6"/>
    <mergeCell ref="A6:A8"/>
    <mergeCell ref="E6:E8"/>
    <mergeCell ref="F6:F8"/>
    <mergeCell ref="G6:G8"/>
    <mergeCell ref="A1:H1"/>
    <mergeCell ref="A3:A5"/>
    <mergeCell ref="E3:E5"/>
    <mergeCell ref="F3:F5"/>
    <mergeCell ref="G3:G5"/>
    <mergeCell ref="B3:C3"/>
    <mergeCell ref="B4:C4"/>
    <mergeCell ref="H3:H5"/>
    <mergeCell ref="H9:H11"/>
    <mergeCell ref="B10:C10"/>
    <mergeCell ref="A12:A13"/>
    <mergeCell ref="B12:C12"/>
    <mergeCell ref="E12:E13"/>
    <mergeCell ref="F12:F13"/>
    <mergeCell ref="G12:G13"/>
    <mergeCell ref="H12:H13"/>
    <mergeCell ref="A9:A11"/>
    <mergeCell ref="B9:C9"/>
    <mergeCell ref="E9:E11"/>
    <mergeCell ref="F9:F11"/>
    <mergeCell ref="G9:G11"/>
  </mergeCells>
  <phoneticPr fontId="3" type="noConversion"/>
  <conditionalFormatting sqref="C14:F17">
    <cfRule type="cellIs" dxfId="49" priority="1" stopIfTrue="1" operator="lessThan">
      <formula>0</formula>
    </cfRule>
  </conditionalFormatting>
  <conditionalFormatting sqref="D10 C11:D11 C13:D13">
    <cfRule type="cellIs" dxfId="48" priority="4" stopIfTrue="1" operator="lessThan">
      <formula>0</formula>
    </cfRule>
  </conditionalFormatting>
  <conditionalFormatting sqref="D3:F3 D4:D5 D6:F6 D7:D8">
    <cfRule type="cellIs" dxfId="47" priority="5" stopIfTrue="1" operator="lessThan">
      <formula>0</formula>
    </cfRule>
  </conditionalFormatting>
  <conditionalFormatting sqref="D9:F9">
    <cfRule type="cellIs" dxfId="46" priority="3" stopIfTrue="1" operator="lessThan">
      <formula>0</formula>
    </cfRule>
  </conditionalFormatting>
  <conditionalFormatting sqref="D12:F12">
    <cfRule type="cellIs" dxfId="45" priority="2" stopIfTrue="1" operator="lessThan">
      <formula>0</formula>
    </cfRule>
  </conditionalFormatting>
  <pageMargins left="0.7" right="0.7" top="0.75" bottom="0.75" header="0.3" footer="0.3"/>
  <pageSetup paperSize="9" scale="6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5B8D-3FCB-4C5B-8865-D11CFDCB0B23}">
  <dimension ref="A1:H17"/>
  <sheetViews>
    <sheetView topLeftCell="A9" workbookViewId="0">
      <selection activeCell="H16" sqref="H16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1" spans="1:8" ht="28.5" thickBot="1">
      <c r="A1" s="153" t="s">
        <v>70</v>
      </c>
      <c r="B1" s="154"/>
      <c r="C1" s="154"/>
      <c r="D1" s="154"/>
      <c r="E1" s="154"/>
      <c r="F1" s="154"/>
      <c r="G1" s="154"/>
      <c r="H1" s="154"/>
    </row>
    <row r="2" spans="1:8" ht="45.75">
      <c r="A2" s="63" t="s">
        <v>68</v>
      </c>
      <c r="B2" s="62" t="s">
        <v>67</v>
      </c>
      <c r="C2" s="60" t="s">
        <v>1</v>
      </c>
      <c r="D2" s="60" t="s">
        <v>2</v>
      </c>
      <c r="E2" s="61" t="s">
        <v>66</v>
      </c>
      <c r="F2" s="60" t="s">
        <v>4</v>
      </c>
      <c r="G2" s="60" t="s">
        <v>65</v>
      </c>
      <c r="H2" s="59" t="s">
        <v>64</v>
      </c>
    </row>
    <row r="3" spans="1:8" ht="25.15">
      <c r="A3" s="138" t="s">
        <v>63</v>
      </c>
      <c r="B3" s="140" t="s">
        <v>54</v>
      </c>
      <c r="C3" s="141"/>
      <c r="D3" s="58">
        <v>37000</v>
      </c>
      <c r="E3" s="142">
        <v>3900</v>
      </c>
      <c r="F3" s="142">
        <f>SUM(D3+D4+D5+E3)</f>
        <v>49500</v>
      </c>
      <c r="G3" s="155" t="s">
        <v>116</v>
      </c>
      <c r="H3" s="136" t="s">
        <v>62</v>
      </c>
    </row>
    <row r="4" spans="1:8" ht="25.15">
      <c r="A4" s="139"/>
      <c r="B4" s="147" t="s">
        <v>52</v>
      </c>
      <c r="C4" s="148"/>
      <c r="D4" s="58">
        <v>2000</v>
      </c>
      <c r="E4" s="143"/>
      <c r="F4" s="143"/>
      <c r="G4" s="156"/>
      <c r="H4" s="146"/>
    </row>
    <row r="5" spans="1:8" ht="25.15">
      <c r="A5" s="139"/>
      <c r="B5" s="57" t="s">
        <v>113</v>
      </c>
      <c r="C5" s="56" t="s">
        <v>60</v>
      </c>
      <c r="D5" s="50">
        <f>B5*C5</f>
        <v>6600</v>
      </c>
      <c r="E5" s="143"/>
      <c r="F5" s="143"/>
      <c r="G5" s="156"/>
      <c r="H5" s="146"/>
    </row>
    <row r="6" spans="1:8" ht="24.6" customHeight="1">
      <c r="A6" s="138" t="s">
        <v>59</v>
      </c>
      <c r="B6" s="140" t="s">
        <v>54</v>
      </c>
      <c r="C6" s="141"/>
      <c r="D6" s="58">
        <v>32000</v>
      </c>
      <c r="E6" s="142">
        <v>5700</v>
      </c>
      <c r="F6" s="142">
        <f>SUM(D6+D7+D8+E6)</f>
        <v>43600</v>
      </c>
      <c r="G6" s="155" t="s">
        <v>120</v>
      </c>
      <c r="H6" s="136" t="s">
        <v>58</v>
      </c>
    </row>
    <row r="7" spans="1:8" ht="24.6" customHeight="1">
      <c r="A7" s="139"/>
      <c r="B7" s="147" t="str">
        <f>B4</f>
        <v>勞健保補貼</v>
      </c>
      <c r="C7" s="148"/>
      <c r="D7" s="58">
        <v>2000</v>
      </c>
      <c r="E7" s="143"/>
      <c r="F7" s="143"/>
      <c r="G7" s="156"/>
      <c r="H7" s="146"/>
    </row>
    <row r="8" spans="1:8" ht="44.45" customHeight="1">
      <c r="A8" s="139"/>
      <c r="B8" s="57" t="s">
        <v>114</v>
      </c>
      <c r="C8" s="56" t="s">
        <v>56</v>
      </c>
      <c r="D8" s="50">
        <f>B8*C8</f>
        <v>3900</v>
      </c>
      <c r="E8" s="143"/>
      <c r="F8" s="143"/>
      <c r="G8" s="156"/>
      <c r="H8" s="146"/>
    </row>
    <row r="9" spans="1:8" ht="25.15">
      <c r="A9" s="138" t="s">
        <v>55</v>
      </c>
      <c r="B9" s="140" t="s">
        <v>54</v>
      </c>
      <c r="C9" s="141"/>
      <c r="D9" s="50">
        <v>31000</v>
      </c>
      <c r="E9" s="142">
        <v>2400</v>
      </c>
      <c r="F9" s="226">
        <f>SUM(D9+D10+D11+E9)</f>
        <v>41400</v>
      </c>
      <c r="G9" s="155" t="s">
        <v>121</v>
      </c>
      <c r="H9" s="136" t="s">
        <v>53</v>
      </c>
    </row>
    <row r="10" spans="1:8" ht="25.15">
      <c r="A10" s="139"/>
      <c r="B10" s="147" t="s">
        <v>52</v>
      </c>
      <c r="C10" s="148"/>
      <c r="D10" s="50">
        <v>2000</v>
      </c>
      <c r="E10" s="143"/>
      <c r="F10" s="227"/>
      <c r="G10" s="156"/>
      <c r="H10" s="146"/>
    </row>
    <row r="11" spans="1:8" ht="25.15">
      <c r="A11" s="139"/>
      <c r="B11" s="55">
        <v>20</v>
      </c>
      <c r="C11" s="51">
        <v>300</v>
      </c>
      <c r="D11" s="50">
        <f>B11*C11</f>
        <v>6000</v>
      </c>
      <c r="E11" s="143"/>
      <c r="F11" s="227"/>
      <c r="G11" s="156"/>
      <c r="H11" s="146"/>
    </row>
    <row r="12" spans="1:8" ht="24.6" customHeight="1">
      <c r="A12" s="138" t="s">
        <v>101</v>
      </c>
      <c r="B12" s="147" t="s">
        <v>52</v>
      </c>
      <c r="C12" s="148"/>
      <c r="D12" s="50">
        <v>2000</v>
      </c>
      <c r="E12" s="142">
        <v>1200</v>
      </c>
      <c r="F12" s="151">
        <f>SUM(D12+D13+E12)</f>
        <v>22400</v>
      </c>
      <c r="G12" s="228" t="s">
        <v>115</v>
      </c>
      <c r="H12" s="136" t="s">
        <v>24</v>
      </c>
    </row>
    <row r="13" spans="1:8" ht="30" customHeight="1">
      <c r="A13" s="139"/>
      <c r="B13" s="55">
        <v>48</v>
      </c>
      <c r="C13" s="51">
        <v>400</v>
      </c>
      <c r="D13" s="50">
        <f>B13*C13</f>
        <v>19200</v>
      </c>
      <c r="E13" s="143"/>
      <c r="F13" s="151"/>
      <c r="G13" s="229"/>
      <c r="H13" s="137"/>
    </row>
    <row r="14" spans="1:8" ht="33" customHeight="1">
      <c r="A14" s="53" t="s">
        <v>17</v>
      </c>
      <c r="B14" s="55">
        <v>18</v>
      </c>
      <c r="C14" s="51">
        <v>300</v>
      </c>
      <c r="D14" s="50">
        <f>B14*C14</f>
        <v>5400</v>
      </c>
      <c r="E14" s="49">
        <v>900</v>
      </c>
      <c r="F14" s="49">
        <f>SUM(D14+E14)</f>
        <v>6300</v>
      </c>
      <c r="G14" s="115" t="s">
        <v>118</v>
      </c>
      <c r="H14" s="114" t="s">
        <v>46</v>
      </c>
    </row>
    <row r="15" spans="1:8" ht="35.450000000000003" customHeight="1">
      <c r="A15" s="53" t="s">
        <v>117</v>
      </c>
      <c r="B15" s="52">
        <v>61</v>
      </c>
      <c r="C15" s="51">
        <v>300</v>
      </c>
      <c r="D15" s="50">
        <f>B15*C15</f>
        <v>18300</v>
      </c>
      <c r="E15" s="49">
        <v>900</v>
      </c>
      <c r="F15" s="49">
        <f>SUM(D15+E15)</f>
        <v>19200</v>
      </c>
      <c r="G15" s="115" t="s">
        <v>118</v>
      </c>
      <c r="H15" s="110" t="s">
        <v>119</v>
      </c>
    </row>
    <row r="16" spans="1:8" ht="34.799999999999997" customHeight="1">
      <c r="A16" s="53" t="s">
        <v>18</v>
      </c>
      <c r="B16" s="52">
        <v>38</v>
      </c>
      <c r="C16" s="51">
        <v>300</v>
      </c>
      <c r="D16" s="50">
        <f>B16*C16</f>
        <v>11400</v>
      </c>
      <c r="E16" s="49"/>
      <c r="F16" s="49">
        <f>SUM(D16+E16)</f>
        <v>11400</v>
      </c>
      <c r="G16" s="48"/>
      <c r="H16" s="112" t="s">
        <v>26</v>
      </c>
    </row>
    <row r="17" spans="1:8" ht="40.799999999999997" customHeight="1" thickBot="1">
      <c r="A17" s="46" t="s">
        <v>45</v>
      </c>
      <c r="B17" s="45"/>
      <c r="C17" s="45"/>
      <c r="D17" s="113">
        <f>SUM(D3:D16)</f>
        <v>178800</v>
      </c>
      <c r="E17" s="113">
        <f>SUM(E3:E16)</f>
        <v>15000</v>
      </c>
      <c r="F17" s="113">
        <f>SUM(F3:F16)</f>
        <v>193800</v>
      </c>
      <c r="G17" s="43"/>
      <c r="H17" s="42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16">
    <cfRule type="cellIs" dxfId="44" priority="1" stopIfTrue="1" operator="lessThan">
      <formula>0</formula>
    </cfRule>
  </conditionalFormatting>
  <conditionalFormatting sqref="D10 C11:D11 C13:D13">
    <cfRule type="cellIs" dxfId="43" priority="4" stopIfTrue="1" operator="lessThan">
      <formula>0</formula>
    </cfRule>
  </conditionalFormatting>
  <conditionalFormatting sqref="D9:E9">
    <cfRule type="cellIs" dxfId="42" priority="3" stopIfTrue="1" operator="lessThan">
      <formula>0</formula>
    </cfRule>
  </conditionalFormatting>
  <conditionalFormatting sqref="D3:F3 D4:D5 D6:F6 D7:D8">
    <cfRule type="cellIs" dxfId="41" priority="5" stopIfTrue="1" operator="lessThan">
      <formula>0</formula>
    </cfRule>
  </conditionalFormatting>
  <conditionalFormatting sqref="D12:F12">
    <cfRule type="cellIs" dxfId="40" priority="2" stopIfTrue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CAAD-DE31-4AB2-9EEE-39C26931B2EE}">
  <dimension ref="A1:H18"/>
  <sheetViews>
    <sheetView topLeftCell="A7" zoomScaleNormal="100" workbookViewId="0">
      <selection activeCell="H16" sqref="H16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1" spans="1:8" ht="28.5" thickBot="1">
      <c r="A1" s="153" t="s">
        <v>71</v>
      </c>
      <c r="B1" s="154"/>
      <c r="C1" s="154"/>
      <c r="D1" s="154"/>
      <c r="E1" s="154"/>
      <c r="F1" s="154"/>
      <c r="G1" s="154"/>
      <c r="H1" s="154"/>
    </row>
    <row r="2" spans="1:8" ht="45.75">
      <c r="A2" s="63" t="s">
        <v>68</v>
      </c>
      <c r="B2" s="62" t="s">
        <v>67</v>
      </c>
      <c r="C2" s="60" t="s">
        <v>1</v>
      </c>
      <c r="D2" s="60" t="s">
        <v>2</v>
      </c>
      <c r="E2" s="61" t="s">
        <v>66</v>
      </c>
      <c r="F2" s="60" t="s">
        <v>4</v>
      </c>
      <c r="G2" s="116" t="s">
        <v>65</v>
      </c>
      <c r="H2" s="59" t="s">
        <v>64</v>
      </c>
    </row>
    <row r="3" spans="1:8" ht="25.15">
      <c r="A3" s="138" t="s">
        <v>63</v>
      </c>
      <c r="B3" s="140" t="s">
        <v>54</v>
      </c>
      <c r="C3" s="141"/>
      <c r="D3" s="117">
        <v>37000</v>
      </c>
      <c r="E3" s="142">
        <v>4500</v>
      </c>
      <c r="F3" s="142">
        <f>SUM(D3+D4+D5+E3)</f>
        <v>53700</v>
      </c>
      <c r="G3" s="155" t="s">
        <v>124</v>
      </c>
      <c r="H3" s="136" t="s">
        <v>62</v>
      </c>
    </row>
    <row r="4" spans="1:8" ht="25.15">
      <c r="A4" s="139"/>
      <c r="B4" s="147" t="s">
        <v>52</v>
      </c>
      <c r="C4" s="148"/>
      <c r="D4" s="117">
        <v>2000</v>
      </c>
      <c r="E4" s="143"/>
      <c r="F4" s="143"/>
      <c r="G4" s="156"/>
      <c r="H4" s="146"/>
    </row>
    <row r="5" spans="1:8" ht="25.15">
      <c r="A5" s="139"/>
      <c r="B5" s="57" t="s">
        <v>57</v>
      </c>
      <c r="C5" s="56" t="s">
        <v>60</v>
      </c>
      <c r="D5" s="118">
        <f>B5*C5</f>
        <v>10200</v>
      </c>
      <c r="E5" s="143"/>
      <c r="F5" s="143"/>
      <c r="G5" s="156"/>
      <c r="H5" s="146"/>
    </row>
    <row r="6" spans="1:8" ht="24.6" customHeight="1">
      <c r="A6" s="138" t="s">
        <v>59</v>
      </c>
      <c r="B6" s="140" t="s">
        <v>54</v>
      </c>
      <c r="C6" s="141"/>
      <c r="D6" s="117">
        <v>32000</v>
      </c>
      <c r="E6" s="142">
        <v>5250</v>
      </c>
      <c r="F6" s="142">
        <f>SUM(D6+D7+D8+E6)</f>
        <v>48850</v>
      </c>
      <c r="G6" s="155" t="s">
        <v>127</v>
      </c>
      <c r="H6" s="136" t="s">
        <v>58</v>
      </c>
    </row>
    <row r="7" spans="1:8" ht="25.15">
      <c r="A7" s="139"/>
      <c r="B7" s="147" t="str">
        <f>B4</f>
        <v>勞健保補貼</v>
      </c>
      <c r="C7" s="148"/>
      <c r="D7" s="117">
        <v>2000</v>
      </c>
      <c r="E7" s="143"/>
      <c r="F7" s="143"/>
      <c r="G7" s="156"/>
      <c r="H7" s="146"/>
    </row>
    <row r="8" spans="1:8" ht="25.8" customHeight="1">
      <c r="A8" s="139"/>
      <c r="B8" s="57" t="s">
        <v>123</v>
      </c>
      <c r="C8" s="56" t="s">
        <v>56</v>
      </c>
      <c r="D8" s="118">
        <f>B8*C8</f>
        <v>9600</v>
      </c>
      <c r="E8" s="143"/>
      <c r="F8" s="143"/>
      <c r="G8" s="156"/>
      <c r="H8" s="146"/>
    </row>
    <row r="9" spans="1:8" ht="24.6" customHeight="1">
      <c r="A9" s="138" t="s">
        <v>55</v>
      </c>
      <c r="B9" s="140" t="s">
        <v>54</v>
      </c>
      <c r="C9" s="141"/>
      <c r="D9" s="118">
        <v>31000</v>
      </c>
      <c r="E9" s="142">
        <v>4500</v>
      </c>
      <c r="F9" s="142">
        <f>SUM(D9+D10+D11+E9)</f>
        <v>38700</v>
      </c>
      <c r="G9" s="155" t="s">
        <v>122</v>
      </c>
      <c r="H9" s="136" t="s">
        <v>53</v>
      </c>
    </row>
    <row r="10" spans="1:8" ht="25.15">
      <c r="A10" s="139"/>
      <c r="B10" s="147" t="s">
        <v>52</v>
      </c>
      <c r="C10" s="148"/>
      <c r="D10" s="118">
        <v>2000</v>
      </c>
      <c r="E10" s="143"/>
      <c r="F10" s="143"/>
      <c r="G10" s="156"/>
      <c r="H10" s="146"/>
    </row>
    <row r="11" spans="1:8" ht="26.45" customHeight="1">
      <c r="A11" s="139"/>
      <c r="B11" s="55">
        <v>4</v>
      </c>
      <c r="C11" s="51">
        <v>300</v>
      </c>
      <c r="D11" s="118">
        <f>B11*C11</f>
        <v>1200</v>
      </c>
      <c r="E11" s="143"/>
      <c r="F11" s="143"/>
      <c r="G11" s="156"/>
      <c r="H11" s="146"/>
    </row>
    <row r="12" spans="1:8" ht="25.15">
      <c r="A12" s="138" t="s">
        <v>101</v>
      </c>
      <c r="B12" s="147" t="s">
        <v>52</v>
      </c>
      <c r="C12" s="148"/>
      <c r="D12" s="118">
        <v>2000</v>
      </c>
      <c r="E12" s="142">
        <v>4000</v>
      </c>
      <c r="F12" s="151">
        <f>SUM(D12+D13+E12)</f>
        <v>29600</v>
      </c>
      <c r="G12" s="155" t="s">
        <v>125</v>
      </c>
      <c r="H12" s="136" t="s">
        <v>24</v>
      </c>
    </row>
    <row r="13" spans="1:8" ht="51" customHeight="1">
      <c r="A13" s="139"/>
      <c r="B13" s="55">
        <v>59</v>
      </c>
      <c r="C13" s="51">
        <v>400</v>
      </c>
      <c r="D13" s="118">
        <f>B13*C13</f>
        <v>23600</v>
      </c>
      <c r="E13" s="143"/>
      <c r="F13" s="151"/>
      <c r="G13" s="156"/>
      <c r="H13" s="137"/>
    </row>
    <row r="14" spans="1:8" ht="36.6" customHeight="1">
      <c r="A14" s="53" t="s">
        <v>51</v>
      </c>
      <c r="B14" s="55">
        <v>62</v>
      </c>
      <c r="C14" s="51">
        <v>300</v>
      </c>
      <c r="D14" s="118">
        <f>B14*C14</f>
        <v>18600</v>
      </c>
      <c r="E14" s="49"/>
      <c r="F14" s="49">
        <f>SUM(D14+E14)</f>
        <v>18600</v>
      </c>
      <c r="G14" s="48"/>
      <c r="H14" s="110" t="s">
        <v>126</v>
      </c>
    </row>
    <row r="15" spans="1:8" ht="39.6" customHeight="1">
      <c r="A15" s="53" t="s">
        <v>47</v>
      </c>
      <c r="B15" s="52">
        <v>28</v>
      </c>
      <c r="C15" s="51">
        <v>300</v>
      </c>
      <c r="D15" s="118">
        <f>B15*C15</f>
        <v>8400</v>
      </c>
      <c r="E15" s="49"/>
      <c r="F15" s="49">
        <f>SUM(D15+E15)</f>
        <v>8400</v>
      </c>
      <c r="G15" s="48"/>
      <c r="H15" s="114" t="s">
        <v>46</v>
      </c>
    </row>
    <row r="16" spans="1:8" ht="39.6" customHeight="1">
      <c r="A16" s="53" t="s">
        <v>110</v>
      </c>
      <c r="B16" s="52">
        <v>54</v>
      </c>
      <c r="C16" s="51">
        <v>300</v>
      </c>
      <c r="D16" s="118">
        <f>B16*C16</f>
        <v>16200</v>
      </c>
      <c r="E16" s="49"/>
      <c r="F16" s="49">
        <f>SUM(D16+E16)</f>
        <v>16200</v>
      </c>
      <c r="G16" s="48"/>
      <c r="H16" s="112" t="s">
        <v>26</v>
      </c>
    </row>
    <row r="17" spans="1:8" ht="39" customHeight="1">
      <c r="A17" s="53" t="s">
        <v>111</v>
      </c>
      <c r="B17" s="52">
        <v>9</v>
      </c>
      <c r="C17" s="51">
        <v>300</v>
      </c>
      <c r="D17" s="118">
        <f>B17*C17</f>
        <v>2700</v>
      </c>
      <c r="E17" s="49"/>
      <c r="F17" s="49">
        <f>SUM(D17+E17)</f>
        <v>2700</v>
      </c>
      <c r="G17" s="48"/>
      <c r="H17" s="112" t="s">
        <v>27</v>
      </c>
    </row>
    <row r="18" spans="1:8" ht="46.25" customHeight="1" thickBot="1">
      <c r="A18" s="46" t="s">
        <v>45</v>
      </c>
      <c r="B18" s="45"/>
      <c r="C18" s="45"/>
      <c r="D18" s="113">
        <f>SUM(D3:D17)</f>
        <v>198500</v>
      </c>
      <c r="E18" s="113">
        <f>SUM(E3:E17)</f>
        <v>18250</v>
      </c>
      <c r="F18" s="113">
        <f>SUM(F3:F17)</f>
        <v>216750</v>
      </c>
      <c r="G18" s="43"/>
      <c r="H18" s="42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17">
    <cfRule type="cellIs" dxfId="39" priority="1" stopIfTrue="1" operator="lessThan">
      <formula>0</formula>
    </cfRule>
  </conditionalFormatting>
  <conditionalFormatting sqref="D10 C11:D11 C13:D13">
    <cfRule type="cellIs" dxfId="38" priority="4" stopIfTrue="1" operator="lessThan">
      <formula>0</formula>
    </cfRule>
  </conditionalFormatting>
  <conditionalFormatting sqref="D3:F3 D4:D5 D6:F6 D7:D8">
    <cfRule type="cellIs" dxfId="37" priority="5" stopIfTrue="1" operator="lessThan">
      <formula>0</formula>
    </cfRule>
  </conditionalFormatting>
  <conditionalFormatting sqref="D9:F9">
    <cfRule type="cellIs" dxfId="36" priority="3" stopIfTrue="1" operator="lessThan">
      <formula>0</formula>
    </cfRule>
  </conditionalFormatting>
  <conditionalFormatting sqref="D12:F12">
    <cfRule type="cellIs" dxfId="3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B632-420B-48F9-982D-23083092C455}">
  <dimension ref="A1:H18"/>
  <sheetViews>
    <sheetView tabSelected="1" zoomScale="80" zoomScaleNormal="80" workbookViewId="0">
      <selection activeCell="A2" sqref="A2:H18"/>
    </sheetView>
  </sheetViews>
  <sheetFormatPr defaultRowHeight="15"/>
  <cols>
    <col min="1" max="1" width="19.5" style="124" customWidth="1"/>
    <col min="2" max="2" width="9.140625" style="124"/>
    <col min="3" max="3" width="15.7109375" style="124" customWidth="1"/>
    <col min="4" max="4" width="14.640625" style="124" customWidth="1"/>
    <col min="5" max="5" width="18.2109375" style="124" customWidth="1"/>
    <col min="6" max="6" width="17.7109375" style="135" customWidth="1"/>
    <col min="7" max="7" width="22.85546875" style="124" customWidth="1"/>
    <col min="8" max="8" width="37.35546875" style="124" customWidth="1"/>
    <col min="9" max="16384" width="9.140625" style="124"/>
  </cols>
  <sheetData>
    <row r="1" spans="1:8" ht="28.5" thickBot="1">
      <c r="A1" s="262" t="s">
        <v>72</v>
      </c>
      <c r="B1" s="262"/>
      <c r="C1" s="262"/>
      <c r="D1" s="262"/>
      <c r="E1" s="262"/>
      <c r="F1" s="262"/>
      <c r="G1" s="262"/>
      <c r="H1" s="262"/>
    </row>
    <row r="2" spans="1:8" ht="45.75">
      <c r="A2" s="129" t="s">
        <v>68</v>
      </c>
      <c r="B2" s="130" t="s">
        <v>67</v>
      </c>
      <c r="C2" s="116" t="s">
        <v>1</v>
      </c>
      <c r="D2" s="116" t="s">
        <v>2</v>
      </c>
      <c r="E2" s="131" t="s">
        <v>66</v>
      </c>
      <c r="F2" s="116" t="s">
        <v>4</v>
      </c>
      <c r="G2" s="116" t="s">
        <v>65</v>
      </c>
      <c r="H2" s="132" t="s">
        <v>64</v>
      </c>
    </row>
    <row r="3" spans="1:8" ht="25.15">
      <c r="A3" s="138" t="s">
        <v>63</v>
      </c>
      <c r="B3" s="140" t="s">
        <v>54</v>
      </c>
      <c r="C3" s="141"/>
      <c r="D3" s="58">
        <v>37000</v>
      </c>
      <c r="E3" s="142"/>
      <c r="F3" s="142">
        <f>SUM(D3+D4+D5+E3)</f>
        <v>47400</v>
      </c>
      <c r="G3" s="155"/>
      <c r="H3" s="136" t="s">
        <v>130</v>
      </c>
    </row>
    <row r="4" spans="1:8" ht="25.15">
      <c r="A4" s="139"/>
      <c r="B4" s="147" t="s">
        <v>52</v>
      </c>
      <c r="C4" s="148"/>
      <c r="D4" s="58">
        <v>2000</v>
      </c>
      <c r="E4" s="143"/>
      <c r="F4" s="143"/>
      <c r="G4" s="156"/>
      <c r="H4" s="146"/>
    </row>
    <row r="5" spans="1:8" ht="25.15">
      <c r="A5" s="139"/>
      <c r="B5" s="57" t="s">
        <v>128</v>
      </c>
      <c r="C5" s="56" t="s">
        <v>60</v>
      </c>
      <c r="D5" s="50">
        <f>B5*C5</f>
        <v>8400</v>
      </c>
      <c r="E5" s="143"/>
      <c r="F5" s="143"/>
      <c r="G5" s="156"/>
      <c r="H5" s="146"/>
    </row>
    <row r="6" spans="1:8" ht="25.15">
      <c r="A6" s="138" t="s">
        <v>59</v>
      </c>
      <c r="B6" s="140" t="s">
        <v>54</v>
      </c>
      <c r="C6" s="141"/>
      <c r="D6" s="58">
        <v>32000</v>
      </c>
      <c r="E6" s="142"/>
      <c r="F6" s="142">
        <f>SUM(D6+D7+D8+E6)</f>
        <v>44500</v>
      </c>
      <c r="G6" s="155"/>
      <c r="H6" s="136" t="s">
        <v>131</v>
      </c>
    </row>
    <row r="7" spans="1:8" ht="25.15">
      <c r="A7" s="139"/>
      <c r="B7" s="147" t="str">
        <f>B4</f>
        <v>勞健保補貼</v>
      </c>
      <c r="C7" s="148"/>
      <c r="D7" s="58">
        <v>2000</v>
      </c>
      <c r="E7" s="143"/>
      <c r="F7" s="143"/>
      <c r="G7" s="156"/>
      <c r="H7" s="146"/>
    </row>
    <row r="8" spans="1:8" ht="25.15">
      <c r="A8" s="139"/>
      <c r="B8" s="57" t="s">
        <v>129</v>
      </c>
      <c r="C8" s="56" t="s">
        <v>56</v>
      </c>
      <c r="D8" s="50">
        <f>B8*C8</f>
        <v>10500</v>
      </c>
      <c r="E8" s="143"/>
      <c r="F8" s="143"/>
      <c r="G8" s="156"/>
      <c r="H8" s="146"/>
    </row>
    <row r="9" spans="1:8" ht="25.15">
      <c r="A9" s="138" t="s">
        <v>55</v>
      </c>
      <c r="B9" s="140" t="s">
        <v>54</v>
      </c>
      <c r="C9" s="141"/>
      <c r="D9" s="50">
        <v>31000</v>
      </c>
      <c r="E9" s="142"/>
      <c r="F9" s="142">
        <f>SUM(D9+D10+D11+E9)</f>
        <v>33000</v>
      </c>
      <c r="G9" s="144"/>
      <c r="H9" s="136" t="s">
        <v>132</v>
      </c>
    </row>
    <row r="10" spans="1:8" ht="25.15">
      <c r="A10" s="139"/>
      <c r="B10" s="147" t="s">
        <v>52</v>
      </c>
      <c r="C10" s="148"/>
      <c r="D10" s="50">
        <v>2000</v>
      </c>
      <c r="E10" s="143"/>
      <c r="F10" s="143"/>
      <c r="G10" s="145"/>
      <c r="H10" s="146"/>
    </row>
    <row r="11" spans="1:8" ht="25.15">
      <c r="A11" s="139"/>
      <c r="B11" s="55">
        <v>0</v>
      </c>
      <c r="C11" s="51">
        <v>300</v>
      </c>
      <c r="D11" s="50">
        <f>B11*C11</f>
        <v>0</v>
      </c>
      <c r="E11" s="143"/>
      <c r="F11" s="143"/>
      <c r="G11" s="145"/>
      <c r="H11" s="146"/>
    </row>
    <row r="12" spans="1:8" ht="25.15">
      <c r="A12" s="138" t="s">
        <v>101</v>
      </c>
      <c r="B12" s="147" t="s">
        <v>52</v>
      </c>
      <c r="C12" s="148"/>
      <c r="D12" s="50">
        <v>2000</v>
      </c>
      <c r="E12" s="142"/>
      <c r="F12" s="151">
        <f>SUM(D12+D13+E12)</f>
        <v>24800</v>
      </c>
      <c r="G12" s="144"/>
      <c r="H12" s="136" t="s">
        <v>133</v>
      </c>
    </row>
    <row r="13" spans="1:8" ht="25.15">
      <c r="A13" s="149"/>
      <c r="B13" s="55">
        <v>57</v>
      </c>
      <c r="C13" s="51">
        <v>400</v>
      </c>
      <c r="D13" s="50">
        <f>B13*C13</f>
        <v>22800</v>
      </c>
      <c r="E13" s="150"/>
      <c r="F13" s="151"/>
      <c r="G13" s="152"/>
      <c r="H13" s="137"/>
    </row>
    <row r="14" spans="1:8" ht="28.15">
      <c r="A14" s="133" t="s">
        <v>19</v>
      </c>
      <c r="B14" s="55">
        <v>6</v>
      </c>
      <c r="C14" s="51">
        <v>300</v>
      </c>
      <c r="D14" s="50">
        <f>B14*C14</f>
        <v>1800</v>
      </c>
      <c r="E14" s="123"/>
      <c r="F14" s="123">
        <f>SUM(D14+E14)</f>
        <v>1800</v>
      </c>
      <c r="G14" s="128"/>
      <c r="H14" s="134" t="s">
        <v>134</v>
      </c>
    </row>
    <row r="15" spans="1:8" ht="28.15">
      <c r="A15" s="120" t="s">
        <v>18</v>
      </c>
      <c r="B15" s="125">
        <v>45</v>
      </c>
      <c r="C15" s="126">
        <v>300</v>
      </c>
      <c r="D15" s="127">
        <f>B15*C15</f>
        <v>13500</v>
      </c>
      <c r="E15" s="121"/>
      <c r="F15" s="121">
        <f>SUM(D15+E15)</f>
        <v>13500</v>
      </c>
      <c r="G15" s="122"/>
      <c r="H15" s="119" t="s">
        <v>135</v>
      </c>
    </row>
    <row r="16" spans="1:8" ht="28.15">
      <c r="A16" s="53" t="s">
        <v>47</v>
      </c>
      <c r="B16" s="52">
        <v>25</v>
      </c>
      <c r="C16" s="51">
        <v>300</v>
      </c>
      <c r="D16" s="50">
        <f>B16*C16</f>
        <v>7500</v>
      </c>
      <c r="E16" s="49"/>
      <c r="F16" s="49">
        <f>SUM(D16+E16)</f>
        <v>7500</v>
      </c>
      <c r="G16" s="48"/>
      <c r="H16" s="114" t="s">
        <v>136</v>
      </c>
    </row>
    <row r="17" spans="1:8" ht="28.15">
      <c r="A17" s="53" t="s">
        <v>51</v>
      </c>
      <c r="B17" s="55">
        <v>55</v>
      </c>
      <c r="C17" s="51">
        <v>300</v>
      </c>
      <c r="D17" s="50">
        <f>B17*C17</f>
        <v>16500</v>
      </c>
      <c r="E17" s="49"/>
      <c r="F17" s="49">
        <f>SUM(D17+E17)</f>
        <v>16500</v>
      </c>
      <c r="G17" s="48"/>
      <c r="H17" s="110" t="s">
        <v>137</v>
      </c>
    </row>
    <row r="18" spans="1:8" ht="28.5" thickBot="1">
      <c r="A18" s="46" t="s">
        <v>45</v>
      </c>
      <c r="B18" s="45"/>
      <c r="C18" s="45"/>
      <c r="D18" s="44">
        <f>SUM(D3:D17)</f>
        <v>189000</v>
      </c>
      <c r="E18" s="44">
        <f>SUM(E3:E17)</f>
        <v>0</v>
      </c>
      <c r="F18" s="113">
        <f>SUM(F3:F17)</f>
        <v>189000</v>
      </c>
      <c r="G18" s="43"/>
      <c r="H18" s="42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6:F17">
    <cfRule type="cellIs" dxfId="34" priority="1" stopIfTrue="1" operator="lessThan">
      <formula>0</formula>
    </cfRule>
  </conditionalFormatting>
  <conditionalFormatting sqref="D10 C11:D11 C13:D16">
    <cfRule type="cellIs" dxfId="33" priority="4" stopIfTrue="1" operator="lessThan">
      <formula>0</formula>
    </cfRule>
  </conditionalFormatting>
  <conditionalFormatting sqref="D3:F3 D4:D5 D6:F6 D7:D8">
    <cfRule type="cellIs" dxfId="32" priority="5" stopIfTrue="1" operator="lessThan">
      <formula>0</formula>
    </cfRule>
  </conditionalFormatting>
  <conditionalFormatting sqref="D9:F9">
    <cfRule type="cellIs" dxfId="31" priority="3" stopIfTrue="1" operator="lessThan">
      <formula>0</formula>
    </cfRule>
  </conditionalFormatting>
  <conditionalFormatting sqref="D12:F12">
    <cfRule type="cellIs" dxfId="30" priority="2" stopIfTrue="1" operator="less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2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D17E-1F91-43E8-8F0E-B3D985089561}">
  <dimension ref="A1:H21"/>
  <sheetViews>
    <sheetView topLeftCell="A15" workbookViewId="0">
      <selection activeCell="A20" sqref="A20"/>
    </sheetView>
  </sheetViews>
  <sheetFormatPr defaultColWidth="9" defaultRowHeight="16.149999999999999"/>
  <cols>
    <col min="1" max="1" width="14.640625" style="65" customWidth="1"/>
    <col min="2" max="2" width="16.640625" style="65" customWidth="1"/>
    <col min="3" max="3" width="12.35546875" style="65" customWidth="1"/>
    <col min="4" max="4" width="23.2109375" style="65" customWidth="1"/>
    <col min="5" max="5" width="15.35546875" style="65" customWidth="1"/>
    <col min="6" max="6" width="19.2109375" style="65" customWidth="1"/>
    <col min="7" max="7" width="25.640625" style="65" customWidth="1"/>
    <col min="8" max="8" width="69.640625" style="65" customWidth="1"/>
    <col min="9" max="16384" width="9" style="65"/>
  </cols>
  <sheetData>
    <row r="1" spans="1:8" ht="36.4" thickBot="1">
      <c r="A1" s="245" t="s">
        <v>77</v>
      </c>
      <c r="B1" s="246"/>
      <c r="C1" s="246"/>
      <c r="D1" s="246"/>
      <c r="E1" s="246"/>
      <c r="F1" s="246"/>
      <c r="G1" s="246"/>
      <c r="H1" s="247"/>
    </row>
    <row r="2" spans="1:8" ht="49.25" customHeight="1">
      <c r="A2" s="66" t="s">
        <v>68</v>
      </c>
      <c r="B2" s="67" t="s">
        <v>67</v>
      </c>
      <c r="C2" s="68" t="s">
        <v>1</v>
      </c>
      <c r="D2" s="68" t="s">
        <v>2</v>
      </c>
      <c r="E2" s="69" t="s">
        <v>66</v>
      </c>
      <c r="F2" s="68" t="s">
        <v>4</v>
      </c>
      <c r="G2" s="68" t="s">
        <v>65</v>
      </c>
      <c r="H2" s="70" t="s">
        <v>64</v>
      </c>
    </row>
    <row r="3" spans="1:8" ht="30" customHeight="1">
      <c r="A3" s="230" t="s">
        <v>63</v>
      </c>
      <c r="B3" s="232" t="s">
        <v>54</v>
      </c>
      <c r="C3" s="233"/>
      <c r="D3" s="72" t="s">
        <v>106</v>
      </c>
      <c r="E3" s="234">
        <v>5800</v>
      </c>
      <c r="F3" s="236">
        <f>SUM(D4+E3+D5)</f>
        <v>53400</v>
      </c>
      <c r="G3" s="248" t="s">
        <v>78</v>
      </c>
      <c r="H3" s="240" t="s">
        <v>62</v>
      </c>
    </row>
    <row r="4" spans="1:8" ht="34.25" customHeight="1">
      <c r="A4" s="231"/>
      <c r="B4" s="242" t="s">
        <v>52</v>
      </c>
      <c r="C4" s="243"/>
      <c r="D4" s="75">
        <v>2000</v>
      </c>
      <c r="E4" s="235"/>
      <c r="F4" s="237"/>
      <c r="G4" s="249"/>
      <c r="H4" s="241"/>
    </row>
    <row r="5" spans="1:8" ht="29.45" customHeight="1">
      <c r="A5" s="231"/>
      <c r="B5" s="76" t="s">
        <v>79</v>
      </c>
      <c r="C5" s="77" t="s">
        <v>80</v>
      </c>
      <c r="D5" s="78">
        <f>B5*C5</f>
        <v>45600</v>
      </c>
      <c r="E5" s="235"/>
      <c r="F5" s="237"/>
      <c r="G5" s="249"/>
      <c r="H5" s="241"/>
    </row>
    <row r="6" spans="1:8" ht="34.25" customHeight="1">
      <c r="A6" s="230" t="s">
        <v>59</v>
      </c>
      <c r="B6" s="232" t="s">
        <v>54</v>
      </c>
      <c r="C6" s="233"/>
      <c r="D6" s="75" t="s">
        <v>107</v>
      </c>
      <c r="E6" s="234">
        <v>5200</v>
      </c>
      <c r="F6" s="236">
        <f>SUM(D7+E6+D8)</f>
        <v>53400</v>
      </c>
      <c r="G6" s="238" t="s">
        <v>81</v>
      </c>
      <c r="H6" s="240" t="s">
        <v>58</v>
      </c>
    </row>
    <row r="7" spans="1:8" ht="28.15">
      <c r="A7" s="231"/>
      <c r="B7" s="242" t="str">
        <f>B4</f>
        <v>勞健保補貼</v>
      </c>
      <c r="C7" s="243"/>
      <c r="D7" s="75">
        <v>2000</v>
      </c>
      <c r="E7" s="235"/>
      <c r="F7" s="237"/>
      <c r="G7" s="239"/>
      <c r="H7" s="241"/>
    </row>
    <row r="8" spans="1:8" ht="25.8" customHeight="1">
      <c r="A8" s="231"/>
      <c r="B8" s="76" t="s">
        <v>82</v>
      </c>
      <c r="C8" s="77" t="s">
        <v>83</v>
      </c>
      <c r="D8" s="78">
        <f t="shared" ref="D8:D16" si="0">B8*C8</f>
        <v>46200</v>
      </c>
      <c r="E8" s="235"/>
      <c r="F8" s="237"/>
      <c r="G8" s="239"/>
      <c r="H8" s="241"/>
    </row>
    <row r="9" spans="1:8" ht="32.450000000000003" customHeight="1">
      <c r="A9" s="230" t="s">
        <v>55</v>
      </c>
      <c r="B9" s="232" t="s">
        <v>54</v>
      </c>
      <c r="C9" s="233"/>
      <c r="D9" s="78" t="s">
        <v>107</v>
      </c>
      <c r="E9" s="234">
        <v>4200</v>
      </c>
      <c r="F9" s="236">
        <f>SUM(D10+E9+D11)</f>
        <v>46100</v>
      </c>
      <c r="G9" s="238" t="s">
        <v>84</v>
      </c>
      <c r="H9" s="240" t="s">
        <v>53</v>
      </c>
    </row>
    <row r="10" spans="1:8" ht="28.15">
      <c r="A10" s="231"/>
      <c r="B10" s="242" t="s">
        <v>52</v>
      </c>
      <c r="C10" s="243"/>
      <c r="D10" s="78">
        <v>2000</v>
      </c>
      <c r="E10" s="235"/>
      <c r="F10" s="237"/>
      <c r="G10" s="239"/>
      <c r="H10" s="241"/>
    </row>
    <row r="11" spans="1:8" ht="27.6" customHeight="1">
      <c r="A11" s="231"/>
      <c r="B11" s="80">
        <v>114</v>
      </c>
      <c r="C11" s="81">
        <v>350</v>
      </c>
      <c r="D11" s="78">
        <f>B11*C11</f>
        <v>39900</v>
      </c>
      <c r="E11" s="235"/>
      <c r="F11" s="237"/>
      <c r="G11" s="239"/>
      <c r="H11" s="241"/>
    </row>
    <row r="12" spans="1:8" ht="28.15">
      <c r="A12" s="230" t="s">
        <v>101</v>
      </c>
      <c r="B12" s="242" t="s">
        <v>52</v>
      </c>
      <c r="C12" s="243"/>
      <c r="D12" s="78">
        <v>2000</v>
      </c>
      <c r="E12" s="234">
        <v>500</v>
      </c>
      <c r="F12" s="244">
        <f>SUM(D12+E12+D13)</f>
        <v>30500</v>
      </c>
      <c r="G12" s="238" t="s">
        <v>85</v>
      </c>
      <c r="H12" s="136" t="s">
        <v>24</v>
      </c>
    </row>
    <row r="13" spans="1:8" ht="33.6" customHeight="1">
      <c r="A13" s="231"/>
      <c r="B13" s="80">
        <v>112</v>
      </c>
      <c r="C13" s="81">
        <v>250</v>
      </c>
      <c r="D13" s="78">
        <f>B13*C13</f>
        <v>28000</v>
      </c>
      <c r="E13" s="235"/>
      <c r="F13" s="244"/>
      <c r="G13" s="239"/>
      <c r="H13" s="137"/>
    </row>
    <row r="14" spans="1:8" ht="70.8" customHeight="1">
      <c r="A14" s="71" t="s">
        <v>51</v>
      </c>
      <c r="B14" s="80">
        <v>108</v>
      </c>
      <c r="C14" s="81">
        <v>250</v>
      </c>
      <c r="D14" s="78">
        <f t="shared" si="0"/>
        <v>27000</v>
      </c>
      <c r="E14" s="73">
        <v>3500</v>
      </c>
      <c r="F14" s="74">
        <f t="shared" ref="F14:F20" si="1">SUM(D14+E14)</f>
        <v>30500</v>
      </c>
      <c r="G14" s="83" t="s">
        <v>86</v>
      </c>
      <c r="H14" s="84" t="s">
        <v>50</v>
      </c>
    </row>
    <row r="15" spans="1:8" ht="45" customHeight="1">
      <c r="A15" s="71" t="s">
        <v>49</v>
      </c>
      <c r="B15" s="85">
        <v>83</v>
      </c>
      <c r="C15" s="81">
        <v>250</v>
      </c>
      <c r="D15" s="78">
        <f>B15*C15</f>
        <v>20750</v>
      </c>
      <c r="E15" s="73"/>
      <c r="F15" s="74">
        <f t="shared" si="1"/>
        <v>20750</v>
      </c>
      <c r="G15" s="86"/>
      <c r="H15" s="87" t="s">
        <v>48</v>
      </c>
    </row>
    <row r="16" spans="1:8" ht="69.599999999999994" customHeight="1">
      <c r="A16" s="71" t="s">
        <v>47</v>
      </c>
      <c r="B16" s="85">
        <v>111</v>
      </c>
      <c r="C16" s="81">
        <v>250</v>
      </c>
      <c r="D16" s="78">
        <f t="shared" si="0"/>
        <v>27750</v>
      </c>
      <c r="E16" s="73">
        <v>3500</v>
      </c>
      <c r="F16" s="74">
        <f t="shared" si="1"/>
        <v>31250</v>
      </c>
      <c r="G16" s="88" t="s">
        <v>86</v>
      </c>
      <c r="H16" s="82" t="s">
        <v>104</v>
      </c>
    </row>
    <row r="17" spans="1:8" ht="49.8" customHeight="1">
      <c r="A17" s="71" t="s">
        <v>87</v>
      </c>
      <c r="B17" s="85">
        <v>42</v>
      </c>
      <c r="C17" s="89">
        <v>250</v>
      </c>
      <c r="D17" s="90">
        <f>B17*C17</f>
        <v>10500</v>
      </c>
      <c r="E17" s="73"/>
      <c r="F17" s="74">
        <f t="shared" si="1"/>
        <v>10500</v>
      </c>
      <c r="G17" s="91"/>
      <c r="H17" s="82" t="s">
        <v>88</v>
      </c>
    </row>
    <row r="18" spans="1:8" ht="34.25" customHeight="1">
      <c r="A18" s="71" t="s">
        <v>89</v>
      </c>
      <c r="B18" s="85">
        <v>96</v>
      </c>
      <c r="C18" s="89">
        <v>200</v>
      </c>
      <c r="D18" s="90">
        <f>B18*C18</f>
        <v>19200</v>
      </c>
      <c r="E18" s="73"/>
      <c r="F18" s="74">
        <f t="shared" si="1"/>
        <v>19200</v>
      </c>
      <c r="G18" s="92"/>
      <c r="H18" s="82" t="s">
        <v>90</v>
      </c>
    </row>
    <row r="19" spans="1:8" ht="28.15">
      <c r="A19" s="71" t="s">
        <v>91</v>
      </c>
      <c r="B19" s="85">
        <v>108</v>
      </c>
      <c r="C19" s="89">
        <v>200</v>
      </c>
      <c r="D19" s="90">
        <f>B19*C19</f>
        <v>21600</v>
      </c>
      <c r="E19" s="73"/>
      <c r="F19" s="74">
        <f t="shared" si="1"/>
        <v>21600</v>
      </c>
      <c r="G19" s="79"/>
      <c r="H19" s="82" t="s">
        <v>92</v>
      </c>
    </row>
    <row r="20" spans="1:8" ht="28.15">
      <c r="A20" s="71" t="s">
        <v>93</v>
      </c>
      <c r="B20" s="85">
        <v>102</v>
      </c>
      <c r="C20" s="89">
        <v>250</v>
      </c>
      <c r="D20" s="90">
        <f>B20*C20</f>
        <v>25500</v>
      </c>
      <c r="E20" s="73"/>
      <c r="F20" s="74">
        <f t="shared" si="1"/>
        <v>25500</v>
      </c>
      <c r="G20" s="79"/>
      <c r="H20" s="82" t="s">
        <v>103</v>
      </c>
    </row>
    <row r="21" spans="1:8" ht="51.6" customHeight="1" thickBot="1">
      <c r="A21" s="93" t="s">
        <v>45</v>
      </c>
      <c r="B21" s="94"/>
      <c r="C21" s="94"/>
      <c r="D21" s="95">
        <f>SUM(D3:D20)</f>
        <v>320000</v>
      </c>
      <c r="E21" s="96">
        <f>SUM(E3:E20)</f>
        <v>22700</v>
      </c>
      <c r="F21" s="97">
        <f>SUM(F3:F20)</f>
        <v>342700</v>
      </c>
      <c r="G21" s="98"/>
      <c r="H21" s="99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20">
    <cfRule type="cellIs" dxfId="29" priority="1" stopIfTrue="1" operator="lessThan">
      <formula>0</formula>
    </cfRule>
  </conditionalFormatting>
  <conditionalFormatting sqref="D10 C11:D11 C13:D13">
    <cfRule type="cellIs" dxfId="28" priority="4" stopIfTrue="1" operator="lessThan">
      <formula>0</formula>
    </cfRule>
  </conditionalFormatting>
  <conditionalFormatting sqref="D3:F3 D4:D5 D6:F6 D7:D8">
    <cfRule type="cellIs" dxfId="27" priority="5" stopIfTrue="1" operator="lessThan">
      <formula>0</formula>
    </cfRule>
  </conditionalFormatting>
  <conditionalFormatting sqref="D9:F9">
    <cfRule type="cellIs" dxfId="26" priority="3" stopIfTrue="1" operator="lessThan">
      <formula>0</formula>
    </cfRule>
  </conditionalFormatting>
  <conditionalFormatting sqref="D12:F12">
    <cfRule type="cellIs" dxfId="25" priority="2" stopIfTrue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B52A-1B18-4B17-B658-C613FB2753A1}">
  <sheetPr>
    <pageSetUpPr fitToPage="1"/>
  </sheetPr>
  <dimension ref="A1:I21"/>
  <sheetViews>
    <sheetView topLeftCell="A14" zoomScale="75" zoomScaleNormal="75" workbookViewId="0">
      <selection activeCell="A3" sqref="A3:A5"/>
    </sheetView>
  </sheetViews>
  <sheetFormatPr defaultColWidth="9" defaultRowHeight="16.149999999999999"/>
  <cols>
    <col min="1" max="1" width="20.640625" style="65" customWidth="1"/>
    <col min="2" max="2" width="16" style="65" customWidth="1"/>
    <col min="3" max="3" width="18.7109375" style="65" customWidth="1"/>
    <col min="4" max="4" width="19.35546875" style="65" customWidth="1"/>
    <col min="5" max="5" width="17.2109375" style="65" customWidth="1"/>
    <col min="6" max="6" width="22.2109375" style="65" customWidth="1"/>
    <col min="7" max="7" width="38" style="65" customWidth="1"/>
    <col min="8" max="8" width="53.7109375" style="65" customWidth="1"/>
    <col min="9" max="9" width="34" style="65" customWidth="1"/>
    <col min="10" max="16384" width="9" style="65"/>
  </cols>
  <sheetData>
    <row r="1" spans="1:8" ht="52.8" customHeight="1" thickBot="1">
      <c r="A1" s="245" t="s">
        <v>94</v>
      </c>
      <c r="B1" s="246"/>
      <c r="C1" s="246"/>
      <c r="D1" s="246"/>
      <c r="E1" s="246"/>
      <c r="F1" s="246"/>
      <c r="G1" s="246"/>
      <c r="H1" s="247"/>
    </row>
    <row r="2" spans="1:8" ht="52.25" customHeight="1">
      <c r="A2" s="66" t="s">
        <v>68</v>
      </c>
      <c r="B2" s="67" t="s">
        <v>67</v>
      </c>
      <c r="C2" s="68" t="s">
        <v>1</v>
      </c>
      <c r="D2" s="68" t="s">
        <v>2</v>
      </c>
      <c r="E2" s="69" t="s">
        <v>66</v>
      </c>
      <c r="F2" s="68" t="s">
        <v>4</v>
      </c>
      <c r="G2" s="68" t="s">
        <v>65</v>
      </c>
      <c r="H2" s="70" t="s">
        <v>64</v>
      </c>
    </row>
    <row r="3" spans="1:8" ht="40.25" customHeight="1">
      <c r="A3" s="230" t="s">
        <v>63</v>
      </c>
      <c r="B3" s="254" t="s">
        <v>105</v>
      </c>
      <c r="C3" s="255"/>
      <c r="D3" s="72"/>
      <c r="E3" s="234"/>
      <c r="F3" s="236">
        <f>SUM(D3+D4+D5+E3)</f>
        <v>40000</v>
      </c>
      <c r="G3" s="250"/>
      <c r="H3" s="252" t="s">
        <v>62</v>
      </c>
    </row>
    <row r="4" spans="1:8" ht="41.45" customHeight="1">
      <c r="A4" s="231"/>
      <c r="B4" s="256" t="s">
        <v>52</v>
      </c>
      <c r="C4" s="257"/>
      <c r="D4" s="75">
        <v>2000</v>
      </c>
      <c r="E4" s="235"/>
      <c r="F4" s="237"/>
      <c r="G4" s="251"/>
      <c r="H4" s="253"/>
    </row>
    <row r="5" spans="1:8" ht="41.45" customHeight="1">
      <c r="A5" s="231"/>
      <c r="B5" s="76" t="s">
        <v>95</v>
      </c>
      <c r="C5" s="77" t="s">
        <v>80</v>
      </c>
      <c r="D5" s="78">
        <f>B5*C5</f>
        <v>38000</v>
      </c>
      <c r="E5" s="235"/>
      <c r="F5" s="237"/>
      <c r="G5" s="251"/>
      <c r="H5" s="253"/>
    </row>
    <row r="6" spans="1:8" ht="45.6" customHeight="1">
      <c r="A6" s="230" t="s">
        <v>59</v>
      </c>
      <c r="B6" s="232" t="s">
        <v>54</v>
      </c>
      <c r="C6" s="233"/>
      <c r="D6" s="101"/>
      <c r="E6" s="234">
        <v>2000</v>
      </c>
      <c r="F6" s="258">
        <f>SUM(D6+D7+E6+D8)</f>
        <v>62450</v>
      </c>
      <c r="G6" s="250"/>
      <c r="H6" s="252" t="s">
        <v>58</v>
      </c>
    </row>
    <row r="7" spans="1:8" ht="36.6" customHeight="1">
      <c r="A7" s="231"/>
      <c r="B7" s="242" t="str">
        <f>B4</f>
        <v>勞健保補貼</v>
      </c>
      <c r="C7" s="243"/>
      <c r="D7" s="75">
        <v>2000</v>
      </c>
      <c r="E7" s="235"/>
      <c r="F7" s="259"/>
      <c r="G7" s="251"/>
      <c r="H7" s="253"/>
    </row>
    <row r="8" spans="1:8" ht="40.799999999999997" customHeight="1">
      <c r="A8" s="231"/>
      <c r="B8" s="76" t="s">
        <v>96</v>
      </c>
      <c r="C8" s="77" t="s">
        <v>83</v>
      </c>
      <c r="D8" s="78">
        <f t="shared" ref="D8:D15" si="0">B8*C8</f>
        <v>58450</v>
      </c>
      <c r="E8" s="235"/>
      <c r="F8" s="259"/>
      <c r="G8" s="251"/>
      <c r="H8" s="253"/>
    </row>
    <row r="9" spans="1:8" ht="35.450000000000003" customHeight="1">
      <c r="A9" s="230" t="s">
        <v>55</v>
      </c>
      <c r="B9" s="232" t="s">
        <v>54</v>
      </c>
      <c r="C9" s="233"/>
      <c r="D9" s="78">
        <v>31000</v>
      </c>
      <c r="E9" s="234"/>
      <c r="F9" s="236">
        <f>SUM(D9+D10+E9+D11)</f>
        <v>42450</v>
      </c>
      <c r="G9" s="250"/>
      <c r="H9" s="252" t="s">
        <v>53</v>
      </c>
    </row>
    <row r="10" spans="1:8" ht="37.25" customHeight="1">
      <c r="A10" s="231"/>
      <c r="B10" s="242" t="s">
        <v>52</v>
      </c>
      <c r="C10" s="243"/>
      <c r="D10" s="78">
        <v>2000</v>
      </c>
      <c r="E10" s="235"/>
      <c r="F10" s="237"/>
      <c r="G10" s="251"/>
      <c r="H10" s="253"/>
    </row>
    <row r="11" spans="1:8" ht="36" customHeight="1">
      <c r="A11" s="231"/>
      <c r="B11" s="80">
        <v>27</v>
      </c>
      <c r="C11" s="81">
        <v>350</v>
      </c>
      <c r="D11" s="78">
        <f>B11*C11</f>
        <v>9450</v>
      </c>
      <c r="E11" s="235"/>
      <c r="F11" s="237"/>
      <c r="G11" s="251"/>
      <c r="H11" s="253"/>
    </row>
    <row r="12" spans="1:8" ht="51" customHeight="1">
      <c r="A12" s="230" t="s">
        <v>101</v>
      </c>
      <c r="B12" s="242" t="s">
        <v>52</v>
      </c>
      <c r="C12" s="243"/>
      <c r="D12" s="78">
        <v>2000</v>
      </c>
      <c r="E12" s="234">
        <v>9500</v>
      </c>
      <c r="F12" s="244">
        <f>SUM(D12+E12+D13)</f>
        <v>45800</v>
      </c>
      <c r="G12" s="250"/>
      <c r="H12" s="136" t="s">
        <v>24</v>
      </c>
    </row>
    <row r="13" spans="1:8" ht="52.25" customHeight="1">
      <c r="A13" s="231"/>
      <c r="B13" s="80">
        <v>98</v>
      </c>
      <c r="C13" s="81">
        <v>350</v>
      </c>
      <c r="D13" s="78">
        <f>B13*C13</f>
        <v>34300</v>
      </c>
      <c r="E13" s="235"/>
      <c r="F13" s="244"/>
      <c r="G13" s="251"/>
      <c r="H13" s="137"/>
    </row>
    <row r="14" spans="1:8" ht="63.6" customHeight="1">
      <c r="A14" s="71" t="s">
        <v>51</v>
      </c>
      <c r="B14" s="105">
        <v>123</v>
      </c>
      <c r="C14" s="81">
        <v>250</v>
      </c>
      <c r="D14" s="78">
        <f t="shared" si="0"/>
        <v>30750</v>
      </c>
      <c r="E14" s="73">
        <v>3000</v>
      </c>
      <c r="F14" s="74">
        <f t="shared" ref="F14:F20" si="1">SUM(D14+E14)</f>
        <v>33750</v>
      </c>
      <c r="G14" s="100"/>
      <c r="H14" s="103" t="s">
        <v>102</v>
      </c>
    </row>
    <row r="15" spans="1:8" ht="64.8" customHeight="1">
      <c r="A15" s="71" t="s">
        <v>47</v>
      </c>
      <c r="B15" s="106">
        <v>127</v>
      </c>
      <c r="C15" s="81">
        <v>250</v>
      </c>
      <c r="D15" s="78">
        <f t="shared" si="0"/>
        <v>31750</v>
      </c>
      <c r="E15" s="73">
        <v>1500</v>
      </c>
      <c r="F15" s="74">
        <f t="shared" si="1"/>
        <v>33250</v>
      </c>
      <c r="G15" s="100"/>
      <c r="H15" s="102" t="s">
        <v>46</v>
      </c>
    </row>
    <row r="16" spans="1:8" ht="48.6" customHeight="1">
      <c r="A16" s="71" t="s">
        <v>51</v>
      </c>
      <c r="B16" s="106">
        <v>60</v>
      </c>
      <c r="C16" s="89">
        <v>250</v>
      </c>
      <c r="D16" s="90">
        <f>B16*C16</f>
        <v>15000</v>
      </c>
      <c r="E16" s="73"/>
      <c r="F16" s="74">
        <f t="shared" si="1"/>
        <v>15000</v>
      </c>
      <c r="G16" s="79"/>
      <c r="H16" s="102" t="s">
        <v>88</v>
      </c>
    </row>
    <row r="17" spans="1:9" ht="54" customHeight="1">
      <c r="A17" s="71" t="s">
        <v>97</v>
      </c>
      <c r="B17" s="106">
        <v>69</v>
      </c>
      <c r="C17" s="89">
        <v>250</v>
      </c>
      <c r="D17" s="90">
        <f>B17*C17</f>
        <v>17250</v>
      </c>
      <c r="E17" s="73"/>
      <c r="F17" s="74">
        <f>SUM(D17+E17)</f>
        <v>17250</v>
      </c>
      <c r="G17" s="79"/>
      <c r="H17" s="107" t="s">
        <v>48</v>
      </c>
      <c r="I17" s="108"/>
    </row>
    <row r="18" spans="1:9" ht="53.45" customHeight="1">
      <c r="A18" s="71" t="s">
        <v>98</v>
      </c>
      <c r="B18" s="106">
        <v>9</v>
      </c>
      <c r="C18" s="89">
        <v>200</v>
      </c>
      <c r="D18" s="90">
        <f>B18*C18</f>
        <v>1800</v>
      </c>
      <c r="E18" s="73"/>
      <c r="F18" s="74">
        <f t="shared" si="1"/>
        <v>1800</v>
      </c>
      <c r="G18" s="79"/>
      <c r="H18" s="102" t="s">
        <v>90</v>
      </c>
    </row>
    <row r="19" spans="1:9" ht="52.8" customHeight="1">
      <c r="A19" s="71" t="s">
        <v>99</v>
      </c>
      <c r="B19" s="106">
        <v>15</v>
      </c>
      <c r="C19" s="89">
        <v>250</v>
      </c>
      <c r="D19" s="90">
        <f>B19*C19</f>
        <v>3750</v>
      </c>
      <c r="E19" s="73"/>
      <c r="F19" s="74">
        <f t="shared" si="1"/>
        <v>3750</v>
      </c>
      <c r="G19" s="79"/>
      <c r="H19" s="102" t="s">
        <v>103</v>
      </c>
    </row>
    <row r="20" spans="1:9" ht="51.6" customHeight="1">
      <c r="A20" s="71" t="s">
        <v>100</v>
      </c>
      <c r="B20" s="106">
        <v>15</v>
      </c>
      <c r="C20" s="89">
        <v>200</v>
      </c>
      <c r="D20" s="90">
        <f>B20*C20</f>
        <v>3000</v>
      </c>
      <c r="E20" s="73"/>
      <c r="F20" s="74">
        <f t="shared" si="1"/>
        <v>3000</v>
      </c>
      <c r="G20" s="79"/>
      <c r="H20" s="102" t="s">
        <v>92</v>
      </c>
    </row>
    <row r="21" spans="1:9" ht="79.8" customHeight="1" thickBot="1">
      <c r="A21" s="93" t="s">
        <v>45</v>
      </c>
      <c r="B21" s="94"/>
      <c r="C21" s="94"/>
      <c r="D21" s="95">
        <f>SUM(D3:D20)</f>
        <v>282500</v>
      </c>
      <c r="E21" s="97">
        <f>SUM(E3:E15)</f>
        <v>16000</v>
      </c>
      <c r="F21" s="95">
        <f>SUM(F3:F20)</f>
        <v>298500</v>
      </c>
      <c r="G21" s="98"/>
      <c r="H21" s="104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20">
    <cfRule type="cellIs" dxfId="24" priority="1" stopIfTrue="1" operator="lessThan">
      <formula>0</formula>
    </cfRule>
  </conditionalFormatting>
  <conditionalFormatting sqref="D10 C11:D11 C13:D13">
    <cfRule type="cellIs" dxfId="23" priority="4" stopIfTrue="1" operator="lessThan">
      <formula>0</formula>
    </cfRule>
  </conditionalFormatting>
  <conditionalFormatting sqref="D3:F3 D4:D5 D6:F6 D7:D8">
    <cfRule type="cellIs" dxfId="22" priority="5" stopIfTrue="1" operator="lessThan">
      <formula>0</formula>
    </cfRule>
  </conditionalFormatting>
  <conditionalFormatting sqref="D9:F9">
    <cfRule type="cellIs" dxfId="21" priority="3" stopIfTrue="1" operator="lessThan">
      <formula>0</formula>
    </cfRule>
  </conditionalFormatting>
  <conditionalFormatting sqref="D12:F12">
    <cfRule type="cellIs" dxfId="20" priority="2" stopIfTrue="1" operator="lessThan">
      <formula>0</formula>
    </cfRule>
  </conditionalFormatting>
  <pageMargins left="0.7" right="0.7" top="0.75" bottom="0.75" header="0.3" footer="0.3"/>
  <pageSetup paperSize="9" scale="8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07B3-9B99-45A9-9774-779B178480C8}">
  <dimension ref="A1:H17"/>
  <sheetViews>
    <sheetView topLeftCell="A5" workbookViewId="0">
      <selection activeCell="H12" sqref="H12:H13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1" spans="1:8" ht="28.5" thickBot="1">
      <c r="A1" s="153" t="s">
        <v>73</v>
      </c>
      <c r="B1" s="154"/>
      <c r="C1" s="154"/>
      <c r="D1" s="154"/>
      <c r="E1" s="154"/>
      <c r="F1" s="154"/>
      <c r="G1" s="154"/>
      <c r="H1" s="154"/>
    </row>
    <row r="2" spans="1:8" ht="45.75">
      <c r="A2" s="63" t="s">
        <v>68</v>
      </c>
      <c r="B2" s="62" t="s">
        <v>67</v>
      </c>
      <c r="C2" s="60" t="s">
        <v>1</v>
      </c>
      <c r="D2" s="60" t="s">
        <v>2</v>
      </c>
      <c r="E2" s="61" t="s">
        <v>66</v>
      </c>
      <c r="F2" s="60" t="s">
        <v>4</v>
      </c>
      <c r="G2" s="60" t="s">
        <v>65</v>
      </c>
      <c r="H2" s="59" t="s">
        <v>64</v>
      </c>
    </row>
    <row r="3" spans="1:8" ht="25.15">
      <c r="A3" s="138" t="s">
        <v>63</v>
      </c>
      <c r="B3" s="140" t="s">
        <v>54</v>
      </c>
      <c r="C3" s="141"/>
      <c r="D3" s="58">
        <v>37000</v>
      </c>
      <c r="E3" s="142"/>
      <c r="F3" s="142">
        <f>SUM(D3+D4+D5+E3)</f>
        <v>49800</v>
      </c>
      <c r="G3" s="155"/>
      <c r="H3" s="136" t="s">
        <v>62</v>
      </c>
    </row>
    <row r="4" spans="1:8" ht="25.15">
      <c r="A4" s="139"/>
      <c r="B4" s="147" t="s">
        <v>52</v>
      </c>
      <c r="C4" s="148"/>
      <c r="D4" s="58">
        <v>2000</v>
      </c>
      <c r="E4" s="143"/>
      <c r="F4" s="143"/>
      <c r="G4" s="156"/>
      <c r="H4" s="146"/>
    </row>
    <row r="5" spans="1:8" ht="25.15">
      <c r="A5" s="139"/>
      <c r="B5" s="57" t="s">
        <v>61</v>
      </c>
      <c r="C5" s="56" t="s">
        <v>60</v>
      </c>
      <c r="D5" s="50">
        <f>B5*C5</f>
        <v>10800</v>
      </c>
      <c r="E5" s="143"/>
      <c r="F5" s="143"/>
      <c r="G5" s="156"/>
      <c r="H5" s="146"/>
    </row>
    <row r="6" spans="1:8" ht="25.15">
      <c r="A6" s="138" t="s">
        <v>59</v>
      </c>
      <c r="B6" s="140" t="s">
        <v>54</v>
      </c>
      <c r="C6" s="141"/>
      <c r="D6" s="58">
        <v>32000</v>
      </c>
      <c r="E6" s="142"/>
      <c r="F6" s="142">
        <f>SUM(D6+D7+D8+E6)</f>
        <v>44200</v>
      </c>
      <c r="G6" s="155"/>
      <c r="H6" s="136" t="s">
        <v>58</v>
      </c>
    </row>
    <row r="7" spans="1:8" ht="25.15">
      <c r="A7" s="139"/>
      <c r="B7" s="147" t="str">
        <f>B4</f>
        <v>勞健保補貼</v>
      </c>
      <c r="C7" s="148"/>
      <c r="D7" s="58">
        <v>2000</v>
      </c>
      <c r="E7" s="143"/>
      <c r="F7" s="143"/>
      <c r="G7" s="156"/>
      <c r="H7" s="146"/>
    </row>
    <row r="8" spans="1:8" ht="25.15">
      <c r="A8" s="139"/>
      <c r="B8" s="57" t="s">
        <v>57</v>
      </c>
      <c r="C8" s="56" t="s">
        <v>56</v>
      </c>
      <c r="D8" s="50">
        <f>B8*C8</f>
        <v>10200</v>
      </c>
      <c r="E8" s="143"/>
      <c r="F8" s="143"/>
      <c r="G8" s="156"/>
      <c r="H8" s="146"/>
    </row>
    <row r="9" spans="1:8" ht="25.15">
      <c r="A9" s="138" t="s">
        <v>55</v>
      </c>
      <c r="B9" s="140" t="s">
        <v>54</v>
      </c>
      <c r="C9" s="141"/>
      <c r="D9" s="50">
        <v>31000</v>
      </c>
      <c r="E9" s="142"/>
      <c r="F9" s="142">
        <f>SUM(D9+D10+D11+E9)</f>
        <v>33600</v>
      </c>
      <c r="G9" s="144"/>
      <c r="H9" s="136" t="s">
        <v>53</v>
      </c>
    </row>
    <row r="10" spans="1:8" ht="25.15">
      <c r="A10" s="139"/>
      <c r="B10" s="147" t="s">
        <v>52</v>
      </c>
      <c r="C10" s="148"/>
      <c r="D10" s="50">
        <v>2000</v>
      </c>
      <c r="E10" s="143"/>
      <c r="F10" s="143"/>
      <c r="G10" s="145"/>
      <c r="H10" s="146"/>
    </row>
    <row r="11" spans="1:8" ht="25.15">
      <c r="A11" s="139"/>
      <c r="B11" s="55">
        <v>2</v>
      </c>
      <c r="C11" s="51">
        <v>300</v>
      </c>
      <c r="D11" s="50">
        <f>B11*C11</f>
        <v>600</v>
      </c>
      <c r="E11" s="143"/>
      <c r="F11" s="143"/>
      <c r="G11" s="145"/>
      <c r="H11" s="146"/>
    </row>
    <row r="12" spans="1:8" ht="25.15">
      <c r="A12" s="138" t="s">
        <v>101</v>
      </c>
      <c r="B12" s="147" t="s">
        <v>52</v>
      </c>
      <c r="C12" s="148"/>
      <c r="D12" s="50">
        <v>2000</v>
      </c>
      <c r="E12" s="142"/>
      <c r="F12" s="151">
        <f>SUM(D12+D13+E12)</f>
        <v>18800</v>
      </c>
      <c r="G12" s="144"/>
      <c r="H12" s="136" t="s">
        <v>24</v>
      </c>
    </row>
    <row r="13" spans="1:8" ht="25.15">
      <c r="A13" s="139"/>
      <c r="B13" s="55">
        <v>56</v>
      </c>
      <c r="C13" s="51">
        <v>300</v>
      </c>
      <c r="D13" s="50">
        <f>B13*C13</f>
        <v>16800</v>
      </c>
      <c r="E13" s="143"/>
      <c r="F13" s="151"/>
      <c r="G13" s="145"/>
      <c r="H13" s="137"/>
    </row>
    <row r="14" spans="1:8" ht="28.15">
      <c r="A14" s="53" t="s">
        <v>51</v>
      </c>
      <c r="B14" s="55">
        <v>53</v>
      </c>
      <c r="C14" s="51">
        <v>300</v>
      </c>
      <c r="D14" s="50">
        <f>B14*C14</f>
        <v>15900</v>
      </c>
      <c r="E14" s="49"/>
      <c r="F14" s="49">
        <f>SUM(D14+E14)</f>
        <v>15900</v>
      </c>
      <c r="G14" s="48"/>
      <c r="H14" s="54" t="s">
        <v>50</v>
      </c>
    </row>
    <row r="15" spans="1:8" ht="28.15">
      <c r="A15" s="53" t="s">
        <v>49</v>
      </c>
      <c r="B15" s="52">
        <v>47</v>
      </c>
      <c r="C15" s="51">
        <v>300</v>
      </c>
      <c r="D15" s="50">
        <f>B15*C15</f>
        <v>14100</v>
      </c>
      <c r="E15" s="49"/>
      <c r="F15" s="49">
        <f>SUM(D15+E15)</f>
        <v>14100</v>
      </c>
      <c r="G15" s="48"/>
      <c r="H15" s="54" t="s">
        <v>48</v>
      </c>
    </row>
    <row r="16" spans="1:8" ht="28.15">
      <c r="A16" s="53" t="s">
        <v>47</v>
      </c>
      <c r="B16" s="52">
        <v>41</v>
      </c>
      <c r="C16" s="51">
        <v>300</v>
      </c>
      <c r="D16" s="50">
        <f>B16*C16</f>
        <v>12300</v>
      </c>
      <c r="E16" s="49"/>
      <c r="F16" s="49">
        <f>SUM(D16+E16)</f>
        <v>12300</v>
      </c>
      <c r="G16" s="48"/>
      <c r="H16" s="47" t="s">
        <v>46</v>
      </c>
    </row>
    <row r="17" spans="1:8" ht="28.5" thickBot="1">
      <c r="A17" s="46" t="s">
        <v>45</v>
      </c>
      <c r="B17" s="45"/>
      <c r="C17" s="45"/>
      <c r="D17" s="44">
        <f>SUM(D3:D16)</f>
        <v>188700</v>
      </c>
      <c r="E17" s="44">
        <f>SUM(E3:E16)</f>
        <v>0</v>
      </c>
      <c r="F17" s="44">
        <f>SUM(F3:F16)</f>
        <v>188700</v>
      </c>
      <c r="G17" s="43"/>
      <c r="H17" s="42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16">
    <cfRule type="cellIs" dxfId="19" priority="1" stopIfTrue="1" operator="lessThan">
      <formula>0</formula>
    </cfRule>
  </conditionalFormatting>
  <conditionalFormatting sqref="D10 C11:D11 C13:D13">
    <cfRule type="cellIs" dxfId="18" priority="4" stopIfTrue="1" operator="lessThan">
      <formula>0</formula>
    </cfRule>
  </conditionalFormatting>
  <conditionalFormatting sqref="D3:F3 D4:D5 D6:F6 D7:D8">
    <cfRule type="cellIs" dxfId="17" priority="5" stopIfTrue="1" operator="lessThan">
      <formula>0</formula>
    </cfRule>
  </conditionalFormatting>
  <conditionalFormatting sqref="D9:F9">
    <cfRule type="cellIs" dxfId="16" priority="3" stopIfTrue="1" operator="lessThan">
      <formula>0</formula>
    </cfRule>
  </conditionalFormatting>
  <conditionalFormatting sqref="D12:F12">
    <cfRule type="cellIs" dxfId="15" priority="2" stopIfTrue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8026-DD22-4A3F-90E6-DB15A011DD83}">
  <dimension ref="A2:H18"/>
  <sheetViews>
    <sheetView topLeftCell="A5" workbookViewId="0">
      <selection activeCell="H13" sqref="H13:H14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2" spans="1:8" ht="28.5" thickBot="1">
      <c r="A2" s="153" t="s">
        <v>74</v>
      </c>
      <c r="B2" s="154"/>
      <c r="C2" s="154"/>
      <c r="D2" s="154"/>
      <c r="E2" s="154"/>
      <c r="F2" s="154"/>
      <c r="G2" s="154"/>
      <c r="H2" s="154"/>
    </row>
    <row r="3" spans="1:8" ht="45.75">
      <c r="A3" s="63" t="s">
        <v>68</v>
      </c>
      <c r="B3" s="62" t="s">
        <v>67</v>
      </c>
      <c r="C3" s="60" t="s">
        <v>1</v>
      </c>
      <c r="D3" s="60" t="s">
        <v>2</v>
      </c>
      <c r="E3" s="61" t="s">
        <v>66</v>
      </c>
      <c r="F3" s="60" t="s">
        <v>4</v>
      </c>
      <c r="G3" s="60" t="s">
        <v>65</v>
      </c>
      <c r="H3" s="59" t="s">
        <v>64</v>
      </c>
    </row>
    <row r="4" spans="1:8" ht="25.15">
      <c r="A4" s="138" t="s">
        <v>63</v>
      </c>
      <c r="B4" s="140" t="s">
        <v>54</v>
      </c>
      <c r="C4" s="141"/>
      <c r="D4" s="58">
        <v>37000</v>
      </c>
      <c r="E4" s="142"/>
      <c r="F4" s="142">
        <f>SUM(D4+D5+D6+E4)</f>
        <v>49800</v>
      </c>
      <c r="G4" s="155"/>
      <c r="H4" s="136" t="s">
        <v>62</v>
      </c>
    </row>
    <row r="5" spans="1:8" ht="25.15">
      <c r="A5" s="139"/>
      <c r="B5" s="147" t="s">
        <v>52</v>
      </c>
      <c r="C5" s="148"/>
      <c r="D5" s="58">
        <v>2000</v>
      </c>
      <c r="E5" s="143"/>
      <c r="F5" s="143"/>
      <c r="G5" s="156"/>
      <c r="H5" s="146"/>
    </row>
    <row r="6" spans="1:8" ht="25.15">
      <c r="A6" s="139"/>
      <c r="B6" s="57" t="s">
        <v>61</v>
      </c>
      <c r="C6" s="56" t="s">
        <v>60</v>
      </c>
      <c r="D6" s="50">
        <f>B6*C6</f>
        <v>10800</v>
      </c>
      <c r="E6" s="143"/>
      <c r="F6" s="143"/>
      <c r="G6" s="156"/>
      <c r="H6" s="146"/>
    </row>
    <row r="7" spans="1:8" ht="25.15">
      <c r="A7" s="138" t="s">
        <v>59</v>
      </c>
      <c r="B7" s="140" t="s">
        <v>54</v>
      </c>
      <c r="C7" s="141"/>
      <c r="D7" s="58">
        <v>32000</v>
      </c>
      <c r="E7" s="142"/>
      <c r="F7" s="142">
        <f>SUM(D7+D8+D9+E7)</f>
        <v>44200</v>
      </c>
      <c r="G7" s="155"/>
      <c r="H7" s="136" t="s">
        <v>58</v>
      </c>
    </row>
    <row r="8" spans="1:8" ht="25.15">
      <c r="A8" s="139"/>
      <c r="B8" s="147" t="str">
        <f>B5</f>
        <v>勞健保補貼</v>
      </c>
      <c r="C8" s="148"/>
      <c r="D8" s="58">
        <v>2000</v>
      </c>
      <c r="E8" s="143"/>
      <c r="F8" s="143"/>
      <c r="G8" s="156"/>
      <c r="H8" s="146"/>
    </row>
    <row r="9" spans="1:8" ht="25.15">
      <c r="A9" s="139"/>
      <c r="B9" s="57" t="s">
        <v>57</v>
      </c>
      <c r="C9" s="56" t="s">
        <v>56</v>
      </c>
      <c r="D9" s="50">
        <f>B9*C9</f>
        <v>10200</v>
      </c>
      <c r="E9" s="143"/>
      <c r="F9" s="143"/>
      <c r="G9" s="156"/>
      <c r="H9" s="146"/>
    </row>
    <row r="10" spans="1:8" ht="25.15">
      <c r="A10" s="138" t="s">
        <v>55</v>
      </c>
      <c r="B10" s="140" t="s">
        <v>54</v>
      </c>
      <c r="C10" s="141"/>
      <c r="D10" s="50">
        <v>31000</v>
      </c>
      <c r="E10" s="142"/>
      <c r="F10" s="142">
        <f>SUM(D10+D11+D12+E10)</f>
        <v>33600</v>
      </c>
      <c r="G10" s="144"/>
      <c r="H10" s="136" t="s">
        <v>53</v>
      </c>
    </row>
    <row r="11" spans="1:8" ht="25.15">
      <c r="A11" s="139"/>
      <c r="B11" s="147" t="s">
        <v>52</v>
      </c>
      <c r="C11" s="148"/>
      <c r="D11" s="50">
        <v>2000</v>
      </c>
      <c r="E11" s="143"/>
      <c r="F11" s="143"/>
      <c r="G11" s="145"/>
      <c r="H11" s="146"/>
    </row>
    <row r="12" spans="1:8" ht="25.15">
      <c r="A12" s="139"/>
      <c r="B12" s="55">
        <v>2</v>
      </c>
      <c r="C12" s="51">
        <v>300</v>
      </c>
      <c r="D12" s="50">
        <f>B12*C12</f>
        <v>600</v>
      </c>
      <c r="E12" s="143"/>
      <c r="F12" s="143"/>
      <c r="G12" s="145"/>
      <c r="H12" s="146"/>
    </row>
    <row r="13" spans="1:8" ht="25.15">
      <c r="A13" s="138" t="s">
        <v>101</v>
      </c>
      <c r="B13" s="147" t="s">
        <v>52</v>
      </c>
      <c r="C13" s="148"/>
      <c r="D13" s="50">
        <v>2000</v>
      </c>
      <c r="E13" s="142"/>
      <c r="F13" s="151">
        <f>SUM(D13+D14+E13)</f>
        <v>18800</v>
      </c>
      <c r="G13" s="144"/>
      <c r="H13" s="136" t="s">
        <v>24</v>
      </c>
    </row>
    <row r="14" spans="1:8" ht="25.15">
      <c r="A14" s="139"/>
      <c r="B14" s="55">
        <v>56</v>
      </c>
      <c r="C14" s="51">
        <v>300</v>
      </c>
      <c r="D14" s="50">
        <f>B14*C14</f>
        <v>16800</v>
      </c>
      <c r="E14" s="143"/>
      <c r="F14" s="151"/>
      <c r="G14" s="145"/>
      <c r="H14" s="137"/>
    </row>
    <row r="15" spans="1:8" ht="28.15">
      <c r="A15" s="53" t="s">
        <v>51</v>
      </c>
      <c r="B15" s="55">
        <v>53</v>
      </c>
      <c r="C15" s="51">
        <v>300</v>
      </c>
      <c r="D15" s="50">
        <f>B15*C15</f>
        <v>15900</v>
      </c>
      <c r="E15" s="49"/>
      <c r="F15" s="49">
        <f>SUM(D15+E15)</f>
        <v>15900</v>
      </c>
      <c r="G15" s="48"/>
      <c r="H15" s="54" t="s">
        <v>50</v>
      </c>
    </row>
    <row r="16" spans="1:8" ht="28.15">
      <c r="A16" s="53" t="s">
        <v>49</v>
      </c>
      <c r="B16" s="52">
        <v>47</v>
      </c>
      <c r="C16" s="51">
        <v>300</v>
      </c>
      <c r="D16" s="50">
        <f>B16*C16</f>
        <v>14100</v>
      </c>
      <c r="E16" s="49"/>
      <c r="F16" s="49">
        <f>SUM(D16+E16)</f>
        <v>14100</v>
      </c>
      <c r="G16" s="48"/>
      <c r="H16" s="54" t="s">
        <v>48</v>
      </c>
    </row>
    <row r="17" spans="1:8" ht="28.15">
      <c r="A17" s="53" t="s">
        <v>47</v>
      </c>
      <c r="B17" s="52">
        <v>41</v>
      </c>
      <c r="C17" s="51">
        <v>300</v>
      </c>
      <c r="D17" s="50">
        <f>B17*C17</f>
        <v>12300</v>
      </c>
      <c r="E17" s="49"/>
      <c r="F17" s="49">
        <f>SUM(D17+E17)</f>
        <v>12300</v>
      </c>
      <c r="G17" s="48"/>
      <c r="H17" s="47" t="s">
        <v>46</v>
      </c>
    </row>
    <row r="18" spans="1:8" ht="28.5" thickBot="1">
      <c r="A18" s="46" t="s">
        <v>45</v>
      </c>
      <c r="B18" s="45"/>
      <c r="C18" s="45"/>
      <c r="D18" s="44">
        <f>SUM(D4:D17)</f>
        <v>188700</v>
      </c>
      <c r="E18" s="44">
        <f>SUM(E4:E17)</f>
        <v>0</v>
      </c>
      <c r="F18" s="44">
        <f>SUM(F4:F17)</f>
        <v>188700</v>
      </c>
      <c r="G18" s="43"/>
      <c r="H18" s="42"/>
    </row>
  </sheetData>
  <mergeCells count="28">
    <mergeCell ref="H7:H9"/>
    <mergeCell ref="B8:C8"/>
    <mergeCell ref="A2:H2"/>
    <mergeCell ref="A4:A6"/>
    <mergeCell ref="B4:C4"/>
    <mergeCell ref="E4:E6"/>
    <mergeCell ref="F4:F6"/>
    <mergeCell ref="G4:G6"/>
    <mergeCell ref="H4:H6"/>
    <mergeCell ref="B5:C5"/>
    <mergeCell ref="A7:A9"/>
    <mergeCell ref="B7:C7"/>
    <mergeCell ref="E7:E9"/>
    <mergeCell ref="F7:F9"/>
    <mergeCell ref="G7:G9"/>
    <mergeCell ref="H13:H14"/>
    <mergeCell ref="A10:A12"/>
    <mergeCell ref="B10:C10"/>
    <mergeCell ref="E10:E12"/>
    <mergeCell ref="F10:F12"/>
    <mergeCell ref="G10:G12"/>
    <mergeCell ref="H10:H12"/>
    <mergeCell ref="B11:C11"/>
    <mergeCell ref="A13:A14"/>
    <mergeCell ref="B13:C13"/>
    <mergeCell ref="E13:E14"/>
    <mergeCell ref="F13:F14"/>
    <mergeCell ref="G13:G14"/>
  </mergeCells>
  <phoneticPr fontId="3" type="noConversion"/>
  <conditionalFormatting sqref="C15:F17">
    <cfRule type="cellIs" dxfId="14" priority="1" stopIfTrue="1" operator="lessThan">
      <formula>0</formula>
    </cfRule>
  </conditionalFormatting>
  <conditionalFormatting sqref="D11 C12:D12 C14:D14">
    <cfRule type="cellIs" dxfId="13" priority="4" stopIfTrue="1" operator="lessThan">
      <formula>0</formula>
    </cfRule>
  </conditionalFormatting>
  <conditionalFormatting sqref="D4:F4 D5:D6 D7:F7 D8:D9">
    <cfRule type="cellIs" dxfId="12" priority="5" stopIfTrue="1" operator="lessThan">
      <formula>0</formula>
    </cfRule>
  </conditionalFormatting>
  <conditionalFormatting sqref="D10:F10">
    <cfRule type="cellIs" dxfId="11" priority="3" stopIfTrue="1" operator="lessThan">
      <formula>0</formula>
    </cfRule>
  </conditionalFormatting>
  <conditionalFormatting sqref="D13:F13">
    <cfRule type="cellIs" dxfId="10" priority="2" stopIfTrue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727B-BB26-4990-B041-81ED948232A2}">
  <dimension ref="A2:H18"/>
  <sheetViews>
    <sheetView topLeftCell="A5" workbookViewId="0">
      <selection activeCell="H13" sqref="H13:H14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2" spans="1:8" ht="28.5" thickBot="1">
      <c r="A2" s="153" t="s">
        <v>75</v>
      </c>
      <c r="B2" s="154"/>
      <c r="C2" s="154"/>
      <c r="D2" s="154"/>
      <c r="E2" s="154"/>
      <c r="F2" s="154"/>
      <c r="G2" s="154"/>
      <c r="H2" s="154"/>
    </row>
    <row r="3" spans="1:8" ht="45.75">
      <c r="A3" s="63" t="s">
        <v>68</v>
      </c>
      <c r="B3" s="62" t="s">
        <v>67</v>
      </c>
      <c r="C3" s="60" t="s">
        <v>1</v>
      </c>
      <c r="D3" s="60" t="s">
        <v>2</v>
      </c>
      <c r="E3" s="61" t="s">
        <v>66</v>
      </c>
      <c r="F3" s="60" t="s">
        <v>4</v>
      </c>
      <c r="G3" s="60" t="s">
        <v>65</v>
      </c>
      <c r="H3" s="59" t="s">
        <v>64</v>
      </c>
    </row>
    <row r="4" spans="1:8" ht="25.15">
      <c r="A4" s="138" t="s">
        <v>63</v>
      </c>
      <c r="B4" s="140" t="s">
        <v>54</v>
      </c>
      <c r="C4" s="141"/>
      <c r="D4" s="58">
        <v>37000</v>
      </c>
      <c r="E4" s="142"/>
      <c r="F4" s="142">
        <f>SUM(D4+D5+D6+E4)</f>
        <v>49800</v>
      </c>
      <c r="G4" s="155"/>
      <c r="H4" s="136" t="s">
        <v>62</v>
      </c>
    </row>
    <row r="5" spans="1:8" ht="25.15">
      <c r="A5" s="139"/>
      <c r="B5" s="147" t="s">
        <v>52</v>
      </c>
      <c r="C5" s="148"/>
      <c r="D5" s="58">
        <v>2000</v>
      </c>
      <c r="E5" s="143"/>
      <c r="F5" s="143"/>
      <c r="G5" s="156"/>
      <c r="H5" s="146"/>
    </row>
    <row r="6" spans="1:8" ht="25.15">
      <c r="A6" s="139"/>
      <c r="B6" s="57" t="s">
        <v>61</v>
      </c>
      <c r="C6" s="56" t="s">
        <v>60</v>
      </c>
      <c r="D6" s="50">
        <f>B6*C6</f>
        <v>10800</v>
      </c>
      <c r="E6" s="143"/>
      <c r="F6" s="143"/>
      <c r="G6" s="156"/>
      <c r="H6" s="146"/>
    </row>
    <row r="7" spans="1:8" ht="25.15">
      <c r="A7" s="138" t="s">
        <v>59</v>
      </c>
      <c r="B7" s="140" t="s">
        <v>54</v>
      </c>
      <c r="C7" s="141"/>
      <c r="D7" s="58">
        <v>32000</v>
      </c>
      <c r="E7" s="142"/>
      <c r="F7" s="142">
        <f>SUM(D7+D8+D9+E7)</f>
        <v>44200</v>
      </c>
      <c r="G7" s="155"/>
      <c r="H7" s="136" t="s">
        <v>58</v>
      </c>
    </row>
    <row r="8" spans="1:8" ht="25.15">
      <c r="A8" s="139"/>
      <c r="B8" s="147" t="str">
        <f>B5</f>
        <v>勞健保補貼</v>
      </c>
      <c r="C8" s="148"/>
      <c r="D8" s="58">
        <v>2000</v>
      </c>
      <c r="E8" s="143"/>
      <c r="F8" s="143"/>
      <c r="G8" s="156"/>
      <c r="H8" s="146"/>
    </row>
    <row r="9" spans="1:8" ht="25.15">
      <c r="A9" s="139"/>
      <c r="B9" s="57" t="s">
        <v>57</v>
      </c>
      <c r="C9" s="56" t="s">
        <v>56</v>
      </c>
      <c r="D9" s="50">
        <f>B9*C9</f>
        <v>10200</v>
      </c>
      <c r="E9" s="143"/>
      <c r="F9" s="143"/>
      <c r="G9" s="156"/>
      <c r="H9" s="146"/>
    </row>
    <row r="10" spans="1:8" ht="25.15">
      <c r="A10" s="138" t="s">
        <v>55</v>
      </c>
      <c r="B10" s="140" t="s">
        <v>54</v>
      </c>
      <c r="C10" s="141"/>
      <c r="D10" s="50">
        <v>31000</v>
      </c>
      <c r="E10" s="142"/>
      <c r="F10" s="142">
        <f>SUM(D10+D11+D12+E10)</f>
        <v>33600</v>
      </c>
      <c r="G10" s="144"/>
      <c r="H10" s="136" t="s">
        <v>53</v>
      </c>
    </row>
    <row r="11" spans="1:8" ht="25.15">
      <c r="A11" s="139"/>
      <c r="B11" s="147" t="s">
        <v>52</v>
      </c>
      <c r="C11" s="148"/>
      <c r="D11" s="50">
        <v>2000</v>
      </c>
      <c r="E11" s="143"/>
      <c r="F11" s="143"/>
      <c r="G11" s="145"/>
      <c r="H11" s="146"/>
    </row>
    <row r="12" spans="1:8" ht="25.15">
      <c r="A12" s="139"/>
      <c r="B12" s="55">
        <v>2</v>
      </c>
      <c r="C12" s="51">
        <v>300</v>
      </c>
      <c r="D12" s="50">
        <f>B12*C12</f>
        <v>600</v>
      </c>
      <c r="E12" s="143"/>
      <c r="F12" s="143"/>
      <c r="G12" s="145"/>
      <c r="H12" s="146"/>
    </row>
    <row r="13" spans="1:8" ht="25.15">
      <c r="A13" s="138" t="s">
        <v>15</v>
      </c>
      <c r="B13" s="147" t="s">
        <v>52</v>
      </c>
      <c r="C13" s="148"/>
      <c r="D13" s="50">
        <v>2000</v>
      </c>
      <c r="E13" s="142"/>
      <c r="F13" s="151">
        <f>SUM(D13+D14+E13)</f>
        <v>18800</v>
      </c>
      <c r="G13" s="144"/>
      <c r="H13" s="136" t="s">
        <v>24</v>
      </c>
    </row>
    <row r="14" spans="1:8" ht="25.15">
      <c r="A14" s="139"/>
      <c r="B14" s="55">
        <v>56</v>
      </c>
      <c r="C14" s="51">
        <v>300</v>
      </c>
      <c r="D14" s="50">
        <f>B14*C14</f>
        <v>16800</v>
      </c>
      <c r="E14" s="143"/>
      <c r="F14" s="151"/>
      <c r="G14" s="145"/>
      <c r="H14" s="137"/>
    </row>
    <row r="15" spans="1:8" ht="28.15">
      <c r="A15" s="53" t="s">
        <v>51</v>
      </c>
      <c r="B15" s="55">
        <v>53</v>
      </c>
      <c r="C15" s="51">
        <v>300</v>
      </c>
      <c r="D15" s="50">
        <f>B15*C15</f>
        <v>15900</v>
      </c>
      <c r="E15" s="49"/>
      <c r="F15" s="49">
        <f>SUM(D15+E15)</f>
        <v>15900</v>
      </c>
      <c r="G15" s="48"/>
      <c r="H15" s="54" t="s">
        <v>50</v>
      </c>
    </row>
    <row r="16" spans="1:8" ht="28.15">
      <c r="A16" s="53" t="s">
        <v>49</v>
      </c>
      <c r="B16" s="52">
        <v>47</v>
      </c>
      <c r="C16" s="51">
        <v>300</v>
      </c>
      <c r="D16" s="50">
        <f>B16*C16</f>
        <v>14100</v>
      </c>
      <c r="E16" s="49"/>
      <c r="F16" s="49">
        <f>SUM(D16+E16)</f>
        <v>14100</v>
      </c>
      <c r="G16" s="48"/>
      <c r="H16" s="54" t="s">
        <v>48</v>
      </c>
    </row>
    <row r="17" spans="1:8" ht="28.15">
      <c r="A17" s="53" t="s">
        <v>47</v>
      </c>
      <c r="B17" s="52">
        <v>41</v>
      </c>
      <c r="C17" s="51">
        <v>300</v>
      </c>
      <c r="D17" s="50">
        <f>B17*C17</f>
        <v>12300</v>
      </c>
      <c r="E17" s="49"/>
      <c r="F17" s="49">
        <f>SUM(D17+E17)</f>
        <v>12300</v>
      </c>
      <c r="G17" s="48"/>
      <c r="H17" s="47" t="s">
        <v>46</v>
      </c>
    </row>
    <row r="18" spans="1:8" ht="28.5" thickBot="1">
      <c r="A18" s="46" t="s">
        <v>45</v>
      </c>
      <c r="B18" s="45"/>
      <c r="C18" s="45"/>
      <c r="D18" s="44">
        <f>SUM(D4:D17)</f>
        <v>188700</v>
      </c>
      <c r="E18" s="44">
        <f>SUM(E4:E17)</f>
        <v>0</v>
      </c>
      <c r="F18" s="44">
        <f>SUM(F4:F17)</f>
        <v>188700</v>
      </c>
      <c r="G18" s="43"/>
      <c r="H18" s="42"/>
    </row>
  </sheetData>
  <mergeCells count="28">
    <mergeCell ref="H7:H9"/>
    <mergeCell ref="B8:C8"/>
    <mergeCell ref="A2:H2"/>
    <mergeCell ref="A4:A6"/>
    <mergeCell ref="B4:C4"/>
    <mergeCell ref="E4:E6"/>
    <mergeCell ref="F4:F6"/>
    <mergeCell ref="G4:G6"/>
    <mergeCell ref="H4:H6"/>
    <mergeCell ref="B5:C5"/>
    <mergeCell ref="A7:A9"/>
    <mergeCell ref="B7:C7"/>
    <mergeCell ref="E7:E9"/>
    <mergeCell ref="F7:F9"/>
    <mergeCell ref="G7:G9"/>
    <mergeCell ref="H13:H14"/>
    <mergeCell ref="A10:A12"/>
    <mergeCell ref="B10:C10"/>
    <mergeCell ref="E10:E12"/>
    <mergeCell ref="F10:F12"/>
    <mergeCell ref="G10:G12"/>
    <mergeCell ref="H10:H12"/>
    <mergeCell ref="B11:C11"/>
    <mergeCell ref="A13:A14"/>
    <mergeCell ref="B13:C13"/>
    <mergeCell ref="E13:E14"/>
    <mergeCell ref="F13:F14"/>
    <mergeCell ref="G13:G14"/>
  </mergeCells>
  <phoneticPr fontId="3" type="noConversion"/>
  <conditionalFormatting sqref="C15:F17">
    <cfRule type="cellIs" dxfId="9" priority="1" stopIfTrue="1" operator="lessThan">
      <formula>0</formula>
    </cfRule>
  </conditionalFormatting>
  <conditionalFormatting sqref="D11 C12:D12 C14:D14">
    <cfRule type="cellIs" dxfId="8" priority="4" stopIfTrue="1" operator="lessThan">
      <formula>0</formula>
    </cfRule>
  </conditionalFormatting>
  <conditionalFormatting sqref="D4:F4 D5:D6 D7:F7 D8:D9">
    <cfRule type="cellIs" dxfId="7" priority="5" stopIfTrue="1" operator="lessThan">
      <formula>0</formula>
    </cfRule>
  </conditionalFormatting>
  <conditionalFormatting sqref="D10:F10">
    <cfRule type="cellIs" dxfId="6" priority="3" stopIfTrue="1" operator="lessThan">
      <formula>0</formula>
    </cfRule>
  </conditionalFormatting>
  <conditionalFormatting sqref="D13:F13">
    <cfRule type="cellIs" dxfId="5" priority="2" stopIfTrue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DA66-DB4C-4D59-BE68-CC4AAFBFC0D9}">
  <dimension ref="A1:H18"/>
  <sheetViews>
    <sheetView topLeftCell="A6" workbookViewId="0">
      <selection activeCell="A13" sqref="A13:A14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1" spans="1:8" ht="24.6" customHeight="1">
      <c r="A1" s="64"/>
    </row>
    <row r="2" spans="1:8" ht="28.8" customHeight="1" thickBot="1">
      <c r="A2" s="260" t="s">
        <v>76</v>
      </c>
      <c r="B2" s="261"/>
      <c r="C2" s="261"/>
      <c r="D2" s="261"/>
      <c r="E2" s="261"/>
      <c r="F2" s="261"/>
      <c r="G2" s="261"/>
      <c r="H2" s="261"/>
    </row>
    <row r="3" spans="1:8" ht="45.75">
      <c r="A3" s="63" t="s">
        <v>68</v>
      </c>
      <c r="B3" s="62" t="s">
        <v>67</v>
      </c>
      <c r="C3" s="60" t="s">
        <v>1</v>
      </c>
      <c r="D3" s="60" t="s">
        <v>2</v>
      </c>
      <c r="E3" s="61" t="s">
        <v>66</v>
      </c>
      <c r="F3" s="60" t="s">
        <v>4</v>
      </c>
      <c r="G3" s="60" t="s">
        <v>65</v>
      </c>
      <c r="H3" s="59" t="s">
        <v>64</v>
      </c>
    </row>
    <row r="4" spans="1:8" ht="25.15">
      <c r="A4" s="138" t="s">
        <v>63</v>
      </c>
      <c r="B4" s="140" t="s">
        <v>54</v>
      </c>
      <c r="C4" s="141"/>
      <c r="D4" s="58">
        <v>37000</v>
      </c>
      <c r="E4" s="142"/>
      <c r="F4" s="142">
        <f>SUM(D4+D5+D6+E4)</f>
        <v>49800</v>
      </c>
      <c r="G4" s="155"/>
      <c r="H4" s="136" t="s">
        <v>62</v>
      </c>
    </row>
    <row r="5" spans="1:8" ht="25.15">
      <c r="A5" s="139"/>
      <c r="B5" s="147" t="s">
        <v>52</v>
      </c>
      <c r="C5" s="148"/>
      <c r="D5" s="58">
        <v>2000</v>
      </c>
      <c r="E5" s="143"/>
      <c r="F5" s="143"/>
      <c r="G5" s="156"/>
      <c r="H5" s="146"/>
    </row>
    <row r="6" spans="1:8" ht="25.15">
      <c r="A6" s="139"/>
      <c r="B6" s="57" t="s">
        <v>61</v>
      </c>
      <c r="C6" s="56" t="s">
        <v>60</v>
      </c>
      <c r="D6" s="50">
        <f>B6*C6</f>
        <v>10800</v>
      </c>
      <c r="E6" s="143"/>
      <c r="F6" s="143"/>
      <c r="G6" s="156"/>
      <c r="H6" s="146"/>
    </row>
    <row r="7" spans="1:8" ht="25.15">
      <c r="A7" s="138" t="s">
        <v>59</v>
      </c>
      <c r="B7" s="140" t="s">
        <v>54</v>
      </c>
      <c r="C7" s="141"/>
      <c r="D7" s="58">
        <v>32000</v>
      </c>
      <c r="E7" s="142"/>
      <c r="F7" s="142">
        <f>SUM(D7+D8+D9+E7)</f>
        <v>44200</v>
      </c>
      <c r="G7" s="155"/>
      <c r="H7" s="136" t="s">
        <v>58</v>
      </c>
    </row>
    <row r="8" spans="1:8" ht="25.15">
      <c r="A8" s="139"/>
      <c r="B8" s="147" t="str">
        <f>B5</f>
        <v>勞健保補貼</v>
      </c>
      <c r="C8" s="148"/>
      <c r="D8" s="58">
        <v>2000</v>
      </c>
      <c r="E8" s="143"/>
      <c r="F8" s="143"/>
      <c r="G8" s="156"/>
      <c r="H8" s="146"/>
    </row>
    <row r="9" spans="1:8" ht="25.15">
      <c r="A9" s="139"/>
      <c r="B9" s="57" t="s">
        <v>57</v>
      </c>
      <c r="C9" s="56" t="s">
        <v>56</v>
      </c>
      <c r="D9" s="50">
        <f>B9*C9</f>
        <v>10200</v>
      </c>
      <c r="E9" s="143"/>
      <c r="F9" s="143"/>
      <c r="G9" s="156"/>
      <c r="H9" s="146"/>
    </row>
    <row r="10" spans="1:8" ht="25.15">
      <c r="A10" s="138" t="s">
        <v>55</v>
      </c>
      <c r="B10" s="140" t="s">
        <v>54</v>
      </c>
      <c r="C10" s="141"/>
      <c r="D10" s="50">
        <v>31000</v>
      </c>
      <c r="E10" s="142"/>
      <c r="F10" s="142">
        <f>SUM(D10+D11+D12+E10)</f>
        <v>33600</v>
      </c>
      <c r="G10" s="144"/>
      <c r="H10" s="136" t="s">
        <v>53</v>
      </c>
    </row>
    <row r="11" spans="1:8" ht="25.15">
      <c r="A11" s="139"/>
      <c r="B11" s="147" t="s">
        <v>52</v>
      </c>
      <c r="C11" s="148"/>
      <c r="D11" s="50">
        <v>2000</v>
      </c>
      <c r="E11" s="143"/>
      <c r="F11" s="143"/>
      <c r="G11" s="145"/>
      <c r="H11" s="146"/>
    </row>
    <row r="12" spans="1:8" ht="25.15">
      <c r="A12" s="139"/>
      <c r="B12" s="55">
        <v>2</v>
      </c>
      <c r="C12" s="51">
        <v>300</v>
      </c>
      <c r="D12" s="50">
        <f>B12*C12</f>
        <v>600</v>
      </c>
      <c r="E12" s="143"/>
      <c r="F12" s="143"/>
      <c r="G12" s="145"/>
      <c r="H12" s="146"/>
    </row>
    <row r="13" spans="1:8" ht="25.15">
      <c r="A13" s="138" t="s">
        <v>101</v>
      </c>
      <c r="B13" s="147" t="s">
        <v>52</v>
      </c>
      <c r="C13" s="148"/>
      <c r="D13" s="50">
        <v>2000</v>
      </c>
      <c r="E13" s="142"/>
      <c r="F13" s="151">
        <f>SUM(D13+D14+E13)</f>
        <v>18800</v>
      </c>
      <c r="G13" s="144"/>
      <c r="H13" s="136" t="s">
        <v>24</v>
      </c>
    </row>
    <row r="14" spans="1:8" ht="25.15">
      <c r="A14" s="139"/>
      <c r="B14" s="55">
        <v>56</v>
      </c>
      <c r="C14" s="51">
        <v>300</v>
      </c>
      <c r="D14" s="50">
        <f>B14*C14</f>
        <v>16800</v>
      </c>
      <c r="E14" s="143"/>
      <c r="F14" s="151"/>
      <c r="G14" s="145"/>
      <c r="H14" s="137"/>
    </row>
    <row r="15" spans="1:8" ht="28.15">
      <c r="A15" s="53" t="s">
        <v>51</v>
      </c>
      <c r="B15" s="55">
        <v>53</v>
      </c>
      <c r="C15" s="51">
        <v>300</v>
      </c>
      <c r="D15" s="50">
        <f>B15*C15</f>
        <v>15900</v>
      </c>
      <c r="E15" s="49"/>
      <c r="F15" s="49">
        <f>SUM(D15+E15)</f>
        <v>15900</v>
      </c>
      <c r="G15" s="48"/>
      <c r="H15" s="54" t="s">
        <v>50</v>
      </c>
    </row>
    <row r="16" spans="1:8" ht="28.15">
      <c r="A16" s="53" t="s">
        <v>49</v>
      </c>
      <c r="B16" s="52">
        <v>47</v>
      </c>
      <c r="C16" s="51">
        <v>300</v>
      </c>
      <c r="D16" s="50">
        <f>B16*C16</f>
        <v>14100</v>
      </c>
      <c r="E16" s="49"/>
      <c r="F16" s="49">
        <f>SUM(D16+E16)</f>
        <v>14100</v>
      </c>
      <c r="G16" s="48"/>
      <c r="H16" s="54" t="s">
        <v>48</v>
      </c>
    </row>
    <row r="17" spans="1:8" ht="28.15">
      <c r="A17" s="53" t="s">
        <v>47</v>
      </c>
      <c r="B17" s="52">
        <v>41</v>
      </c>
      <c r="C17" s="51">
        <v>300</v>
      </c>
      <c r="D17" s="50">
        <f>B17*C17</f>
        <v>12300</v>
      </c>
      <c r="E17" s="49"/>
      <c r="F17" s="49">
        <f>SUM(D17+E17)</f>
        <v>12300</v>
      </c>
      <c r="G17" s="48"/>
      <c r="H17" s="47" t="s">
        <v>46</v>
      </c>
    </row>
    <row r="18" spans="1:8" ht="28.5" thickBot="1">
      <c r="A18" s="46" t="s">
        <v>45</v>
      </c>
      <c r="B18" s="45"/>
      <c r="C18" s="45"/>
      <c r="D18" s="44">
        <f>SUM(D4:D17)</f>
        <v>188700</v>
      </c>
      <c r="E18" s="44">
        <f>SUM(E4:E17)</f>
        <v>0</v>
      </c>
      <c r="F18" s="44">
        <f>SUM(F4:F17)</f>
        <v>188700</v>
      </c>
      <c r="G18" s="43"/>
      <c r="H18" s="42"/>
    </row>
  </sheetData>
  <mergeCells count="28">
    <mergeCell ref="H7:H9"/>
    <mergeCell ref="B8:C8"/>
    <mergeCell ref="A2:H2"/>
    <mergeCell ref="A4:A6"/>
    <mergeCell ref="B4:C4"/>
    <mergeCell ref="E4:E6"/>
    <mergeCell ref="F4:F6"/>
    <mergeCell ref="G4:G6"/>
    <mergeCell ref="H4:H6"/>
    <mergeCell ref="B5:C5"/>
    <mergeCell ref="A7:A9"/>
    <mergeCell ref="B7:C7"/>
    <mergeCell ref="E7:E9"/>
    <mergeCell ref="F7:F9"/>
    <mergeCell ref="G7:G9"/>
    <mergeCell ref="H13:H14"/>
    <mergeCell ref="A10:A12"/>
    <mergeCell ref="B10:C10"/>
    <mergeCell ref="E10:E12"/>
    <mergeCell ref="F10:F12"/>
    <mergeCell ref="G10:G12"/>
    <mergeCell ref="H10:H12"/>
    <mergeCell ref="B11:C11"/>
    <mergeCell ref="A13:A14"/>
    <mergeCell ref="B13:C13"/>
    <mergeCell ref="E13:E14"/>
    <mergeCell ref="F13:F14"/>
    <mergeCell ref="G13:G14"/>
  </mergeCells>
  <phoneticPr fontId="3" type="noConversion"/>
  <conditionalFormatting sqref="C15:F17">
    <cfRule type="cellIs" dxfId="4" priority="1" stopIfTrue="1" operator="lessThan">
      <formula>0</formula>
    </cfRule>
  </conditionalFormatting>
  <conditionalFormatting sqref="D11 C12:D12 C14:D14">
    <cfRule type="cellIs" dxfId="3" priority="4" stopIfTrue="1" operator="lessThan">
      <formula>0</formula>
    </cfRule>
  </conditionalFormatting>
  <conditionalFormatting sqref="D4:F4 D5:D6 D7:F7 D8:D9">
    <cfRule type="cellIs" dxfId="2" priority="5" stopIfTrue="1" operator="lessThan">
      <formula>0</formula>
    </cfRule>
  </conditionalFormatting>
  <conditionalFormatting sqref="D10:F10">
    <cfRule type="cellIs" dxfId="1" priority="3" stopIfTrue="1" operator="lessThan">
      <formula>0</formula>
    </cfRule>
  </conditionalFormatting>
  <conditionalFormatting sqref="D13:F13">
    <cfRule type="cellIs" dxfId="0" priority="2" stopIfTrue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441A-69E1-4ACA-96D2-14A98F53AC32}">
  <dimension ref="A1:G24"/>
  <sheetViews>
    <sheetView workbookViewId="0">
      <selection activeCell="F1" sqref="F1:F12"/>
    </sheetView>
  </sheetViews>
  <sheetFormatPr defaultRowHeight="15"/>
  <sheetData>
    <row r="1" spans="1:7">
      <c r="A1">
        <v>2</v>
      </c>
      <c r="B1">
        <v>4</v>
      </c>
      <c r="C1">
        <v>2</v>
      </c>
      <c r="D1">
        <v>2</v>
      </c>
      <c r="E1">
        <v>2</v>
      </c>
      <c r="F1">
        <v>2</v>
      </c>
      <c r="G1">
        <v>2</v>
      </c>
    </row>
    <row r="2" spans="1:7">
      <c r="A2">
        <v>2</v>
      </c>
      <c r="B2">
        <v>4</v>
      </c>
      <c r="C2">
        <v>2</v>
      </c>
      <c r="D2">
        <v>4</v>
      </c>
      <c r="E2">
        <v>2</v>
      </c>
      <c r="F2">
        <v>2</v>
      </c>
      <c r="G2">
        <v>2</v>
      </c>
    </row>
    <row r="3" spans="1:7">
      <c r="A3">
        <v>2</v>
      </c>
      <c r="B3">
        <v>1</v>
      </c>
      <c r="D3">
        <v>2</v>
      </c>
      <c r="E3">
        <v>4</v>
      </c>
      <c r="F3">
        <v>3</v>
      </c>
      <c r="G3">
        <v>2</v>
      </c>
    </row>
    <row r="4" spans="1:7">
      <c r="A4">
        <v>2</v>
      </c>
      <c r="B4">
        <v>4</v>
      </c>
      <c r="D4">
        <v>4</v>
      </c>
      <c r="E4">
        <v>2</v>
      </c>
      <c r="F4">
        <v>2</v>
      </c>
      <c r="G4">
        <v>2</v>
      </c>
    </row>
    <row r="5" spans="1:7">
      <c r="A5">
        <v>2</v>
      </c>
      <c r="B5">
        <v>1</v>
      </c>
      <c r="D5">
        <v>3</v>
      </c>
      <c r="E5">
        <v>4</v>
      </c>
      <c r="F5">
        <v>2</v>
      </c>
      <c r="G5">
        <v>4</v>
      </c>
    </row>
    <row r="6" spans="1:7">
      <c r="A6">
        <v>2</v>
      </c>
      <c r="B6">
        <v>4</v>
      </c>
      <c r="D6">
        <v>2</v>
      </c>
      <c r="E6">
        <v>3</v>
      </c>
      <c r="F6">
        <v>3</v>
      </c>
      <c r="G6">
        <v>3</v>
      </c>
    </row>
    <row r="7" spans="1:7">
      <c r="A7">
        <v>4</v>
      </c>
      <c r="B7">
        <v>4</v>
      </c>
      <c r="D7">
        <v>4</v>
      </c>
      <c r="E7">
        <v>2</v>
      </c>
      <c r="F7">
        <v>2</v>
      </c>
      <c r="G7">
        <v>2</v>
      </c>
    </row>
    <row r="8" spans="1:7">
      <c r="A8">
        <v>4</v>
      </c>
      <c r="B8">
        <v>1</v>
      </c>
      <c r="D8">
        <v>2</v>
      </c>
      <c r="E8">
        <v>2</v>
      </c>
      <c r="F8">
        <v>2</v>
      </c>
      <c r="G8">
        <v>2</v>
      </c>
    </row>
    <row r="9" spans="1:7">
      <c r="A9">
        <v>2</v>
      </c>
      <c r="B9">
        <v>4</v>
      </c>
      <c r="D9">
        <v>4</v>
      </c>
      <c r="E9">
        <v>4</v>
      </c>
      <c r="F9">
        <v>3</v>
      </c>
      <c r="G9">
        <v>2</v>
      </c>
    </row>
    <row r="10" spans="1:7">
      <c r="A10">
        <v>2</v>
      </c>
      <c r="B10">
        <v>4</v>
      </c>
      <c r="D10">
        <v>2</v>
      </c>
      <c r="E10">
        <v>2</v>
      </c>
      <c r="F10">
        <v>2</v>
      </c>
      <c r="G10">
        <v>2</v>
      </c>
    </row>
    <row r="11" spans="1:7">
      <c r="A11">
        <v>2</v>
      </c>
      <c r="B11">
        <v>1</v>
      </c>
      <c r="D11">
        <v>2</v>
      </c>
      <c r="E11">
        <v>2</v>
      </c>
      <c r="F11">
        <v>2</v>
      </c>
      <c r="G11">
        <v>2</v>
      </c>
    </row>
    <row r="12" spans="1:7">
      <c r="A12">
        <v>2</v>
      </c>
      <c r="D12">
        <v>4</v>
      </c>
      <c r="E12">
        <v>3</v>
      </c>
      <c r="F12">
        <v>3</v>
      </c>
      <c r="G12">
        <v>3</v>
      </c>
    </row>
    <row r="13" spans="1:7">
      <c r="A13">
        <v>2</v>
      </c>
      <c r="D13">
        <v>2</v>
      </c>
      <c r="E13">
        <v>2</v>
      </c>
      <c r="G13">
        <v>2</v>
      </c>
    </row>
    <row r="14" spans="1:7">
      <c r="A14">
        <v>2</v>
      </c>
      <c r="D14">
        <v>4</v>
      </c>
      <c r="E14">
        <v>2</v>
      </c>
      <c r="G14">
        <v>2</v>
      </c>
    </row>
    <row r="15" spans="1:7">
      <c r="A15">
        <v>2</v>
      </c>
      <c r="D15">
        <v>3</v>
      </c>
      <c r="E15">
        <v>2</v>
      </c>
      <c r="G15">
        <v>2</v>
      </c>
    </row>
    <row r="16" spans="1:7">
      <c r="D16">
        <v>2</v>
      </c>
      <c r="E16">
        <v>2</v>
      </c>
      <c r="G16">
        <v>2</v>
      </c>
    </row>
    <row r="17" spans="4:7">
      <c r="D17">
        <v>2</v>
      </c>
      <c r="E17">
        <v>4</v>
      </c>
      <c r="G17">
        <v>2</v>
      </c>
    </row>
    <row r="18" spans="4:7">
      <c r="D18">
        <v>4</v>
      </c>
      <c r="E18">
        <v>3</v>
      </c>
      <c r="G18">
        <v>3</v>
      </c>
    </row>
    <row r="19" spans="4:7">
      <c r="D19">
        <v>4</v>
      </c>
      <c r="E19">
        <v>2</v>
      </c>
      <c r="G19">
        <v>2</v>
      </c>
    </row>
    <row r="20" spans="4:7">
      <c r="D20">
        <v>3</v>
      </c>
      <c r="E20">
        <v>2</v>
      </c>
      <c r="G20">
        <v>2</v>
      </c>
    </row>
    <row r="21" spans="4:7">
      <c r="E21">
        <v>4</v>
      </c>
      <c r="G21">
        <v>2</v>
      </c>
    </row>
    <row r="22" spans="4:7">
      <c r="E22">
        <v>2</v>
      </c>
      <c r="G22">
        <v>2</v>
      </c>
    </row>
    <row r="23" spans="4:7">
      <c r="E23">
        <v>2</v>
      </c>
      <c r="G23">
        <v>2</v>
      </c>
    </row>
    <row r="24" spans="4:7">
      <c r="E24">
        <v>3</v>
      </c>
      <c r="G24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115.01</vt:lpstr>
      <vt:lpstr>115.02</vt:lpstr>
      <vt:lpstr>115.03</vt:lpstr>
      <vt:lpstr>115.04</vt:lpstr>
      <vt:lpstr>115.05</vt:lpstr>
      <vt:lpstr>115.06</vt:lpstr>
      <vt:lpstr>115.07</vt:lpstr>
      <vt:lpstr>115.08</vt:lpstr>
      <vt:lpstr>115.09</vt:lpstr>
      <vt:lpstr>115.10</vt:lpstr>
      <vt:lpstr>115.11</vt:lpstr>
      <vt:lpstr>115.12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士銀 邱</cp:lastModifiedBy>
  <cp:lastPrinted>2026-07-01T00:42:05Z</cp:lastPrinted>
  <dcterms:created xsi:type="dcterms:W3CDTF">2015-06-05T18:19:34Z</dcterms:created>
  <dcterms:modified xsi:type="dcterms:W3CDTF">2026-07-01T00:42:19Z</dcterms:modified>
</cp:coreProperties>
</file>